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7F04C0E7-4484-4656-9AE9-6822A5AFDD1E}" xr6:coauthVersionLast="47" xr6:coauthVersionMax="47" xr10:uidLastSave="{00000000-0000-0000-0000-000000000000}"/>
  <bookViews>
    <workbookView xWindow="-110" yWindow="-110" windowWidth="25820" windowHeight="14620" activeTab="1"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97" i="1" l="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296" i="1" a="1"/>
  <c r="O296"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84" i="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7">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bk>
      <extLst>
        <ext uri="{3e2802c4-a4d2-4d8b-9148-e3be6c30e623}">
          <xlrd:rvb i="3123"/>
        </ext>
      </extLst>
    </bk>
  </futureMetadata>
  <futureMetadata name="XLDAPR" count="1">
    <bk>
      <extLst>
        <ext uri="{bdbb8cdc-fa1e-496e-a857-3c3f30c029c3}">
          <xda:dynamicArrayProperties fDynamic="1" fCollapsed="0"/>
        </ext>
      </extLst>
    </bk>
  </futureMetadata>
  <cellMetadata count="1">
    <bk>
      <rc t="2" v="0"/>
    </bk>
  </cellMetadata>
  <valueMetadata count="3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valueMetadata>
</metadata>
</file>

<file path=xl/sharedStrings.xml><?xml version="1.0" encoding="utf-8"?>
<sst xmlns="http://schemas.openxmlformats.org/spreadsheetml/2006/main" count="3235" uniqueCount="967">
  <si>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</si>
  <si>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</si>
  <si>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</si>
  <si>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</si>
  <si>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</si>
  <si>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</si>
  <si>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</si>
  <si>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</si>
  <si>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</si>
  <si>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</si>
  <si>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</si>
  <si>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</si>
  <si>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</si>
  <si>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</si>
  <si>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</si>
  <si>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</si>
  <si>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</si>
  <si>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</si>
  <si>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</si>
  <si>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</si>
  <si>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</si>
  <si>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</si>
  <si>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</si>
  <si>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</si>
  <si>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</si>
  <si>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</si>
  <si>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</si>
  <si>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</si>
  <si>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</si>
  <si>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</si>
  <si>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</si>
  <si>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</si>
  <si>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</si>
  <si>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</si>
  <si>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</si>
  <si>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</si>
  <si>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</si>
  <si>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</si>
  <si>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</si>
  <si>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</si>
  <si>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</si>
  <si>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</si>
  <si>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</si>
  <si>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</si>
  <si>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</si>
  <si>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</si>
  <si>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</si>
  <si>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</si>
  <si>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</si>
  <si>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</si>
  <si>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</si>
  <si>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</si>
  <si>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</si>
  <si>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</si>
  <si>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</si>
  <si>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</si>
  <si>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</si>
  <si>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</si>
  <si>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</si>
  <si>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</si>
  <si>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</si>
  <si>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</si>
  <si>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</si>
  <si>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</si>
  <si>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</si>
  <si>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</si>
  <si>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</si>
  <si>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</si>
  <si>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</si>
  <si>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</si>
  <si>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</si>
  <si>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</si>
  <si>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</si>
  <si>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</si>
  <si>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</si>
  <si>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</si>
  <si>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</si>
  <si>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</si>
  <si>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</si>
  <si>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</si>
  <si>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</si>
  <si>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</si>
  <si>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</si>
  <si>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</si>
  <si>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</si>
  <si>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</si>
  <si>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</si>
  <si>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</si>
  <si>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</si>
  <si>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</si>
  <si>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</si>
  <si>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</si>
  <si>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</si>
  <si>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</si>
  <si>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</si>
  <si>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</si>
  <si>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</si>
  <si>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</si>
  <si>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</si>
  <si>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</si>
  <si>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</si>
  <si>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</si>
  <si>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</si>
  <si>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</si>
  <si>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</si>
  <si>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</si>
  <si>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</si>
  <si>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</si>
  <si>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</si>
  <si>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</si>
  <si>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</si>
  <si>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</si>
  <si>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</si>
  <si>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</si>
  <si>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</si>
  <si>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</si>
  <si>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</si>
  <si>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</si>
  <si>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</si>
  <si>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</si>
  <si>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</si>
  <si>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</si>
  <si>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</si>
  <si>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</si>
  <si>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</si>
  <si>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</si>
  <si>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</si>
  <si>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</si>
  <si>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</si>
  <si>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</si>
  <si>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</si>
  <si>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</si>
  <si>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</si>
  <si>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</si>
  <si>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</si>
  <si>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</si>
  <si>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</si>
  <si>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</si>
  <si>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</si>
  <si>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</si>
  <si>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</si>
  <si>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</si>
  <si>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</si>
  <si>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</si>
  <si>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</si>
  <si>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</si>
  <si>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</si>
  <si>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</si>
  <si>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</si>
  <si>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</si>
  <si>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</si>
  <si>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</si>
  <si>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</si>
  <si>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</si>
  <si>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</si>
  <si>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</si>
  <si>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</si>
  <si>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</si>
  <si>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</si>
  <si>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</si>
  <si>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</si>
  <si>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</si>
  <si>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</si>
  <si>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</si>
  <si>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</si>
  <si>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</si>
  <si>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</si>
  <si>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</si>
  <si>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</si>
  <si>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</si>
  <si>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</si>
  <si>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</si>
  <si>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</si>
  <si>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</si>
  <si>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</si>
  <si>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</si>
  <si>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</si>
  <si>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</si>
  <si>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</si>
  <si>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</si>
  <si>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</si>
  <si>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</si>
  <si>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</si>
  <si>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</si>
  <si>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</si>
  <si>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</si>
  <si>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</si>
  <si>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</si>
  <si>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</si>
  <si>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</si>
  <si>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</si>
  <si>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</si>
  <si>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</si>
  <si>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</si>
  <si>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</si>
  <si>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</si>
  <si>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</si>
  <si>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</si>
  <si>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</si>
  <si>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</si>
  <si>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</si>
  <si>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</si>
  <si>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</si>
  <si>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</si>
  <si>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</si>
  <si>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</si>
  <si>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</si>
  <si>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</si>
  <si>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</si>
  <si>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</si>
  <si>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</si>
  <si>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</si>
  <si>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</si>
  <si>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</si>
  <si>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</si>
  <si>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</si>
  <si>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</si>
  <si>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</si>
  <si>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</si>
  <si>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</si>
  <si>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</si>
  <si>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</si>
  <si>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</si>
  <si>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</si>
  <si>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</si>
  <si>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</si>
  <si>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</si>
  <si>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</si>
  <si>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</si>
  <si>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</si>
  <si>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</si>
  <si>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</si>
  <si>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</si>
  <si>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</si>
  <si>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</si>
  <si>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</si>
  <si>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</si>
  <si>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</si>
  <si>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</si>
  <si>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</si>
  <si>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</si>
  <si>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</si>
  <si>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</si>
  <si>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</si>
  <si>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</si>
  <si>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</si>
  <si>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</si>
  <si>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</si>
  <si>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</si>
  <si>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</si>
  <si>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</si>
  <si>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</si>
  <si>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</si>
  <si>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</si>
  <si>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</si>
  <si>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</si>
  <si>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</si>
  <si>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</si>
  <si>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</si>
  <si>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</si>
  <si>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</si>
  <si>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</si>
  <si>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</si>
  <si>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</si>
  <si>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</si>
  <si>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</si>
  <si>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</si>
  <si>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</si>
  <si>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</si>
  <si>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</si>
  <si>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</si>
  <si>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</si>
  <si>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</si>
  <si>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</si>
  <si>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</si>
  <si>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</si>
  <si>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</si>
  <si>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</si>
  <si>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</si>
  <si>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</si>
  <si>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</si>
  <si>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</si>
  <si>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</si>
  <si>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</si>
  <si>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</si>
  <si>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</si>
  <si>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</si>
  <si>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</si>
  <si>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</si>
  <si>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</si>
  <si>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</si>
  <si>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</si>
  <si>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</si>
  <si>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</si>
  <si>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</si>
  <si>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</si>
  <si>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</si>
  <si>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</si>
  <si>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</si>
  <si>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</si>
  <si>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</si>
  <si>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</si>
  <si>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</si>
  <si>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</si>
  <si>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</si>
  <si>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</si>
  <si>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</si>
  <si>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</si>
  <si>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</si>
  <si>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</si>
  <si>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</si>
  <si>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</si>
  <si>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</si>
  <si>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</si>
  <si>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</si>
  <si>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</si>
  <si>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</si>
  <si>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</si>
  <si>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</si>
  <si>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</si>
  <si>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</si>
  <si>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</si>
  <si>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</si>
  <si>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</si>
  <si>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</si>
  <si>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</si>
  <si>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</si>
  <si>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</si>
  <si>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</si>
  <si>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</si>
  <si>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</si>
  <si>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</si>
  <si>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</si>
  <si>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</si>
  <si>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</si>
  <si>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</si>
  <si>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</si>
  <si>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</si>
  <si>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</si>
  <si>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</si>
  <si>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</si>
  <si>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</si>
  <si>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</si>
  <si>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</si>
  <si>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</si>
  <si>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</si>
  <si>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</si>
  <si>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</si>
  <si>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</si>
  <si>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</si>
  <si>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</si>
  <si>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</si>
  <si>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</si>
  <si>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</si>
  <si>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</si>
  <si>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</si>
  <si>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</si>
  <si>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</si>
  <si>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</si>
  <si>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</si>
  <si>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</si>
  <si>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</si>
  <si>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</si>
  <si>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</si>
  <si>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</si>
  <si>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</si>
  <si>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</si>
  <si>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</si>
  <si>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</si>
  <si>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</si>
  <si>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</si>
  <si>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</si>
  <si>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</si>
  <si>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</si>
  <si>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</si>
  <si>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</si>
  <si>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</si>
  <si>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</si>
  <si>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</si>
  <si>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</si>
  <si>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</si>
  <si>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</si>
  <si>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</si>
  <si>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</si>
  <si>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</si>
  <si>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</si>
  <si>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</si>
  <si>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</si>
  <si>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</si>
  <si>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</si>
  <si>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</si>
  <si>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</si>
  <si>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</si>
  <si>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</si>
  <si>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</si>
  <si>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</si>
  <si>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</si>
  <si>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</si>
  <si>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</si>
  <si>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</si>
  <si>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</si>
  <si>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</si>
  <si>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</si>
  <si>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</si>
  <si>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</si>
  <si>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</si>
  <si>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</si>
  <si>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</si>
  <si>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</si>
  <si>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</si>
  <si>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</si>
  <si>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</si>
  <si>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</si>
  <si>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</si>
  <si>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</si>
  <si>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</si>
  <si>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</si>
  <si>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</si>
  <si>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</si>
  <si>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</si>
  <si>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</si>
  <si>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</si>
  <si>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</si>
  <si>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</si>
  <si>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</si>
  <si>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</si>
  <si>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</si>
  <si>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</si>
  <si>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</si>
  <si>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</si>
  <si>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</si>
  <si>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</si>
  <si>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</si>
  <si>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</si>
  <si>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</si>
  <si>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</si>
  <si>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</si>
  <si>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</si>
  <si>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</si>
  <si>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</si>
  <si>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</si>
  <si>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</si>
  <si>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</si>
  <si>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</si>
  <si>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</si>
  <si>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</si>
  <si>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</si>
  <si>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</si>
  <si>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</si>
  <si>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</si>
  <si>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</si>
  <si>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</si>
  <si>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</si>
  <si>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</si>
  <si>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</si>
  <si>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</si>
  <si>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</si>
  <si>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</si>
  <si>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</si>
  <si>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</si>
  <si>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</si>
  <si>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</si>
  <si>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</si>
  <si>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</si>
  <si>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</si>
  <si>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</si>
  <si>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</si>
  <si>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</si>
  <si>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</si>
  <si>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</si>
  <si>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</si>
  <si>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</si>
  <si>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</si>
  <si>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</si>
  <si>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</si>
  <si>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</si>
  <si>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</si>
  <si>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</si>
  <si>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</si>
  <si>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</si>
  <si>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</si>
  <si>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</si>
  <si>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</si>
  <si>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</si>
  <si>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</si>
  <si>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</si>
  <si>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</si>
  <si>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</si>
  <si>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</si>
  <si>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</si>
  <si>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</si>
  <si>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</si>
  <si>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</si>
  <si>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</si>
  <si>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</si>
  <si>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</si>
  <si>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</si>
  <si>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</si>
  <si>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</si>
  <si>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</si>
  <si>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</si>
  <si>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</si>
  <si>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</si>
  <si>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</si>
  <si>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</si>
  <si>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</si>
  <si>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</si>
  <si>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</si>
  <si>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</si>
  <si>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</si>
  <si>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</si>
  <si>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</si>
  <si>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</si>
  <si>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</si>
  <si>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</si>
  <si>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</si>
  <si>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</si>
  <si>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</si>
  <si>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</si>
  <si>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</si>
  <si>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</si>
  <si>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</si>
  <si>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</si>
  <si>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</si>
  <si>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</si>
  <si>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</si>
  <si>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</si>
  <si>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</si>
  <si>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</si>
  <si>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</si>
  <si>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</si>
  <si>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</si>
  <si>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</si>
  <si>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</si>
  <si>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</si>
  <si>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</si>
  <si>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</si>
  <si>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</si>
  <si>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</si>
  <si>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</si>
  <si>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</si>
  <si>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</si>
  <si>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</si>
  <si>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</si>
  <si>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</si>
  <si>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</si>
  <si>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</si>
  <si>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</si>
  <si>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</si>
  <si>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</si>
  <si>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</si>
  <si>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</si>
  <si>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</si>
  <si>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</si>
  <si>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</si>
  <si>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</si>
  <si>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</si>
  <si>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</si>
  <si>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</si>
  <si>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</si>
  <si>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</si>
  <si>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</si>
  <si>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</si>
  <si>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</si>
  <si>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</si>
  <si>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</si>
  <si>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</si>
  <si>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</si>
  <si>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</si>
  <si>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</si>
  <si>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</si>
  <si>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</si>
  <si>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</si>
  <si>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</si>
  <si>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</si>
  <si>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</si>
  <si>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</si>
  <si>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</si>
  <si>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</si>
  <si>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</si>
  <si>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</si>
  <si>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</si>
  <si>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</si>
  <si>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</si>
  <si>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</si>
  <si>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</si>
  <si>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</si>
  <si>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</si>
  <si>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</si>
  <si>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</si>
  <si>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</si>
  <si>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</si>
  <si>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</si>
  <si>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</si>
  <si>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</si>
  <si>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</si>
  <si>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</si>
  <si>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</si>
  <si>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</si>
  <si>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</si>
  <si>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</si>
  <si>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</si>
  <si>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</si>
  <si>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</si>
  <si>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</si>
  <si>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</si>
  <si>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</si>
  <si>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</si>
  <si>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</si>
  <si>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</si>
  <si>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</si>
  <si>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</si>
  <si>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</si>
  <si>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</si>
  <si>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</si>
  <si>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</si>
  <si>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</si>
  <si>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</si>
  <si>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</si>
  <si>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</si>
  <si>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</si>
  <si>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</si>
  <si>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</si>
  <si>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</si>
  <si>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</si>
  <si>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</si>
  <si>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</si>
  <si>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</si>
  <si>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</si>
  <si>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</si>
  <si>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</si>
  <si>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</si>
  <si>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</si>
  <si>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</si>
  <si>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</si>
  <si>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</si>
  <si>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</si>
  <si>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</si>
  <si>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</si>
  <si>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</si>
  <si>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</si>
  <si>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</si>
  <si>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</si>
  <si>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</si>
  <si>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</si>
  <si>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</si>
  <si>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</si>
  <si>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</si>
  <si>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</si>
  <si>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</si>
  <si>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</si>
  <si>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</si>
  <si>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</si>
  <si>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</si>
  <si>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</si>
  <si>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</si>
  <si>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</si>
  <si>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</si>
  <si>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</si>
  <si>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</si>
  <si>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</si>
  <si>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</si>
  <si>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</si>
  <si>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</si>
  <si>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</si>
  <si>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</si>
  <si>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</si>
  <si>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</si>
  <si>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</si>
  <si>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</si>
  <si>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</si>
  <si>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</si>
  <si>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</si>
  <si>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</si>
  <si>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</si>
  <si>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</si>
  <si>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</si>
  <si>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</si>
  <si>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</si>
  <si>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</si>
  <si>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</si>
  <si>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</si>
  <si>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</si>
  <si>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</si>
  <si>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</si>
  <si>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</si>
  <si>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</si>
  <si>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</si>
  <si>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</si>
  <si>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</si>
  <si>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</si>
  <si>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</si>
  <si>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</si>
  <si>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</si>
  <si>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</si>
  <si>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</si>
  <si>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</si>
  <si>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</si>
  <si>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</si>
  <si>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</si>
  <si>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</si>
  <si>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</si>
  <si>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</si>
  <si>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</si>
  <si>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</si>
  <si>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</si>
  <si>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</si>
  <si>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</si>
  <si>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</si>
  <si>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</si>
  <si>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</si>
  <si>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</si>
  <si>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</si>
  <si>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</si>
  <si>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</si>
  <si>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</si>
  <si>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</si>
  <si>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</si>
  <si>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</si>
  <si>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</si>
  <si>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</si>
  <si>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</si>
  <si>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</si>
  <si>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</si>
  <si>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</si>
  <si>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</si>
  <si>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</si>
  <si>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</si>
  <si>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</si>
  <si>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</si>
  <si>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</si>
  <si>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</si>
  <si>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</si>
  <si>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</si>
  <si>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</si>
  <si>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</si>
  <si>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</si>
  <si>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</si>
  <si>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</si>
  <si>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</si>
  <si>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</si>
  <si>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</si>
  <si>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</si>
  <si>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</si>
  <si>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</si>
  <si>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</si>
  <si>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</si>
  <si>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</si>
  <si>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</si>
  <si>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</si>
  <si>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</si>
  <si>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</si>
  <si>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</si>
  <si>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</si>
  <si>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</si>
  <si>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</si>
  <si>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</si>
  <si>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</si>
  <si>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</si>
  <si>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</si>
  <si>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</si>
  <si>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</si>
  <si>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</si>
  <si>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</si>
  <si>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</si>
  <si>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</si>
  <si>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</si>
  <si>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</si>
  <si>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</si>
  <si>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</si>
  <si>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</si>
  <si>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</si>
  <si>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</si>
  <si>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</si>
  <si>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</si>
  <si>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</si>
  <si>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</si>
  <si>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</si>
  <si>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</si>
  <si>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</si>
  <si>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</si>
  <si>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</si>
  <si>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</si>
  <si>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</si>
  <si>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</si>
  <si>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</si>
  <si>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</si>
  <si>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</si>
  <si>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</si>
  <si>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</si>
  <si>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</si>
  <si>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</si>
  <si>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</si>
  <si>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</si>
  <si>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</si>
  <si>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</si>
  <si>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</si>
  <si>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</si>
  <si>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</si>
  <si>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</si>
  <si>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</si>
  <si>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</si>
  <si>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</si>
  <si>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</si>
  <si>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</si>
  <si>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</si>
  <si>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</si>
  <si>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</si>
  <si>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</si>
  <si>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</si>
  <si>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</si>
  <si>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</si>
  <si>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</si>
  <si>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</si>
  <si>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</si>
  <si>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</si>
  <si>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</si>
  <si>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</si>
  <si>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</si>
  <si>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</si>
  <si>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</si>
  <si>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</si>
  <si>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</si>
  <si>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</si>
  <si>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</si>
  <si>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</si>
  <si>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</si>
  <si>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</si>
  <si>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</si>
  <si>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</si>
  <si>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</si>
  <si>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</si>
  <si>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</si>
  <si>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</si>
  <si>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</si>
  <si>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</si>
  <si>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</si>
  <si>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</si>
  <si>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</si>
  <si>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</si>
  <si>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</si>
  <si>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</si>
  <si>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</si>
  <si>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</si>
  <si>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</si>
  <si>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</si>
  <si>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</si>
  <si>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</si>
  <si>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</si>
  <si>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</si>
  <si>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</si>
  <si>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</si>
  <si>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</si>
  <si>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</si>
  <si>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</si>
  <si>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</si>
  <si>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</si>
  <si>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</si>
  <si>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</si>
  <si>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</si>
  <si>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</si>
  <si>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</si>
  <si>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</si>
  <si>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</si>
  <si>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</si>
  <si>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</si>
  <si>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</si>
  <si>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</si>
  <si>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</si>
  <si>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</si>
  <si>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</si>
  <si>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</si>
  <si>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</si>
  <si>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</si>
  <si>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</si>
  <si>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</si>
  <si>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</si>
  <si>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</si>
  <si>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</si>
  <si>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</si>
  <si>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</si>
  <si>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</si>
  <si>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</si>
  <si>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</si>
  <si>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</si>
  <si>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</si>
  <si>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</si>
  <si>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</si>
  <si>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</si>
  <si>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</si>
  <si>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</si>
  <si>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</si>
  <si>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</si>
  <si>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</si>
  <si>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</si>
  <si>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</si>
  <si>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</si>
  <si>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</si>
  <si>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</si>
  <si>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</si>
  <si>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</si>
  <si>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</si>
  <si>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</si>
  <si>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</si>
  <si>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</si>
  <si>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</si>
  <si>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</si>
  <si>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</si>
  <si>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</si>
  <si>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</si>
  <si>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</si>
  <si>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</si>
  <si>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</si>
  <si>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</si>
  <si>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</si>
  <si>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</si>
  <si>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</si>
  <si>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</si>
  <si>
    <t>tilurg_postdoc</t>
  </si>
  <si>
    <t>Tilurg University</t>
  </si>
  <si>
    <t>south_denmark</t>
  </si>
  <si>
    <t>https://fa-eosd-saasfaprod1.fa.ocs.oraclecloud.com/hcmUI/CandidateExperience/en/sites/CX_1001/job/3205</t>
  </si>
  <si>
    <t>Danish Institute for Advanced Study</t>
  </si>
  <si>
    <t>full</t>
  </si>
  <si>
    <t>thisnis for a full professorship but I applied nonetheless</t>
  </si>
  <si>
    <t>denison</t>
  </si>
  <si>
    <t>Denison University</t>
  </si>
  <si>
    <t>https://apply.interfolio.com/180665</t>
  </si>
  <si>
    <t>wilfrid</t>
  </si>
  <si>
    <t>Wilfrid Laurier University</t>
  </si>
  <si>
    <t>https://www.aeaweb.org/joe/listing.php?JOE_ID=2026-01_111477276&amp;</t>
  </si>
  <si>
    <t>wake_forest</t>
  </si>
  <si>
    <t>https://apply.interfolio.com/181254</t>
  </si>
  <si>
    <t>Wake Forest University</t>
  </si>
  <si>
    <t>hiroshima_2</t>
  </si>
  <si>
    <t>https://www.hiroshima-u.ac.jp/en/employment/kyoinkobo/ningen</t>
  </si>
  <si>
    <t>There is one applied econometrics and a micro economtrics (do these together! Need to send applications via email</t>
  </si>
  <si>
    <t>puget</t>
  </si>
  <si>
    <t>https://apptrkr.com/6895610</t>
  </si>
  <si>
    <t>University of Puget Sound</t>
  </si>
  <si>
    <t>compiling more job post to apply</t>
  </si>
  <si>
    <t>eria</t>
  </si>
  <si>
    <t>for senior data analyst</t>
  </si>
  <si>
    <t>https://www.eria.org/about-us/career-opportunities</t>
  </si>
  <si>
    <t>Economic Research Institute for ASEAN and East Asia(ERIA)</t>
  </si>
  <si>
    <t>data analyst</t>
  </si>
  <si>
    <t>u_barcelona</t>
  </si>
  <si>
    <t>https://seu.ub.edu/ofertaPublicaCategoriaPublic/listPublicacionsAmbCategoria?categoria.id=854740</t>
  </si>
  <si>
    <t>would jneed to dive deep into how to apply</t>
  </si>
  <si>
    <t>edinburg</t>
  </si>
  <si>
    <t>Universitad de Barcelona</t>
  </si>
  <si>
    <t>University of Edinburgh</t>
  </si>
  <si>
    <t>leibniz_digital</t>
  </si>
  <si>
    <t>https://jobs.zew.de/jobposting/3f77f7ab4c309cc0acb22cf7c49d1f933b1a9b780</t>
  </si>
  <si>
    <t>Leibniz Centre for European Economic Research in Mannheim</t>
  </si>
  <si>
    <t>socium</t>
  </si>
  <si>
    <t>send email to edda.boehning@uni-bremen.de</t>
  </si>
  <si>
    <t>cover letter, resume including list of publications, certificates in one PDF</t>
  </si>
  <si>
    <t>SOCIUM Research Center on Inequality and Social Policy</t>
  </si>
  <si>
    <t>sao_paulo</t>
  </si>
  <si>
    <t>https://uspdigital.usp.br/gr/admissao</t>
  </si>
  <si>
    <t>University of São Paulo</t>
  </si>
  <si>
    <t>need to look for it on the page search for economia + might need to create an account</t>
  </si>
  <si>
    <t>Aix-Marseille School of Economics</t>
  </si>
  <si>
    <t>aix_marseille_post</t>
  </si>
  <si>
    <t>brown_post_2</t>
  </si>
  <si>
    <t>Brown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</si>
</sst>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70" Type="http://schemas.openxmlformats.org/officeDocument/2006/relationships/hyperlink" Target="https://www.bing.com/images/search?form=xlimg&amp;q=Indonesia"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33" Type="http://schemas.openxmlformats.org/officeDocument/2006/relationships/hyperlink" Target="https://www.bing.com/th?id=OSK.1cd4f85af3824efb5042b916ad3717a9&amp;qlt=95" TargetMode="External"/><Relationship Id="rId108" Type="http://schemas.openxmlformats.org/officeDocument/2006/relationships/hyperlink" Target="https://www.bing.com/images/search?form=xlimg&amp;q=Italy"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169" Type="http://schemas.openxmlformats.org/officeDocument/2006/relationships/hyperlink" Target="https://www.bing.com/th?id=OSK.Zl2rYbEOa6RnR5PxgY7VLDcsFkfskAZrZiNUjyMAlyM&amp;qlt=95"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 Id="rId17" Type="http://schemas.openxmlformats.org/officeDocument/2006/relationships/hyperlink" Target="https://www.bing.com/th?id=OSK.5c9644308dc1fc218d48a103b8cf93f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24" Type="http://schemas.openxmlformats.org/officeDocument/2006/relationships/hyperlink" Target="https://www.bing.com/images/search?form=xlimg&amp;q=Dublin"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Srd>
</file>

<file path=xl/richData/rdarray.xml><?xml version="1.0" encoding="utf-8"?>
<arrayData xmlns="http://schemas.microsoft.com/office/spreadsheetml/2017/richdata2" count="187">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 r="3">
    <v t="r">3143</v>
    <v t="r">3144</v>
    <v t="r">3145</v>
  </a>
  <a r="1">
    <v t="s">Indonesian language</v>
  </a>
  <a r="34">
    <v t="r">3160</v>
    <v t="r">3161</v>
    <v t="r">3162</v>
    <v t="r">3163</v>
    <v t="r">3164</v>
    <v t="r">3165</v>
    <v t="r">3166</v>
    <v t="r">3167</v>
    <v t="r">3168</v>
    <v t="r">3169</v>
    <v t="r">3170</v>
    <v t="r">3171</v>
    <v t="r">3172</v>
    <v t="r">3173</v>
    <v t="r">3174</v>
    <v t="r">3175</v>
    <v t="r">3176</v>
    <v t="r">3177</v>
    <v t="r">3178</v>
    <v t="r">3179</v>
    <v t="r">3180</v>
    <v t="r">3181</v>
    <v t="r">3182</v>
    <v t="r">3183</v>
    <v t="r">3184</v>
    <v t="r">3185</v>
    <v t="r">3186</v>
    <v t="r">3187</v>
    <v t="r">3188</v>
    <v t="r">3189</v>
    <v t="r">3190</v>
    <v t="r">3129</v>
    <v t="r">3191</v>
    <v t="r">3192</v>
  </a>
  <a r="3">
    <v t="s">Indonesia Western Standard Time</v>
    <v t="s">Indonesia Central Standard Time</v>
    <v t="s">Indonesia Eastern Standard Time</v>
  </a>
</arrayData>
</file>

<file path=xl/richData/rdrichvalue.xml><?xml version="1.0" encoding="utf-8"?>
<rvData xmlns="http://schemas.microsoft.com/office/spreadsheetml/2017/richdata" count="3200">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 s="0">
    <v>536870912</v>
    <v>Indonesia</v>
    <v>b4a5bd62-2259-21e3-4627-bf249ae6ee84</v>
    <v>en-US</v>
    <v>Map</v>
  </rv>
  <rv s="1">
    <fb>0.31464420364656098</fb>
    <v>23</v>
  </rv>
  <rv s="1">
    <fb>1904570</fb>
    <v>24</v>
  </rv>
  <rv s="1">
    <fb>676000</fb>
    <v>24</v>
  </rv>
  <rv s="1">
    <fb>18.071999999999999</fb>
    <v>25</v>
  </rv>
  <rv s="1">
    <fb>62</fb>
    <v>26</v>
  </rv>
  <rv s="0">
    <v>536870912</v>
    <v>Jakarta</v>
    <v>6261fc72-a172-5cdd-9c67-a7644a026c29</v>
    <v>en-US</v>
    <v>Map</v>
  </rv>
  <rv s="1">
    <fb>563324.54</fb>
    <v>24</v>
  </rv>
  <rv s="1">
    <fb>151.17667507135201</fb>
    <v>27</v>
  </rv>
  <rv s="1">
    <fb>3.0305866496949097E-2</fb>
    <v>23</v>
  </rv>
  <rv s="1">
    <fb>811.90690494758496</fb>
    <v>24</v>
  </rv>
  <rv s="1">
    <fb>2.3109999999999999</fb>
    <v>25</v>
  </rv>
  <rv s="1">
    <fb>0.49860398197419897</fb>
    <v>23</v>
  </rv>
  <rv s="1">
    <fb>66.089475456589</fb>
    <v>28</v>
  </rv>
  <rv s="1">
    <fb>0.63</fb>
    <v>29</v>
  </rv>
  <rv s="1">
    <fb>1119190780752.8</fb>
    <v>30</v>
  </rv>
  <rv s="1">
    <fb>1.0641081999999999</fb>
    <v>23</v>
  </rv>
  <rv s="1">
    <fb>0.3631104</fb>
    <v>23</v>
  </rv>
  <rv s="2">
    <v>84</v>
    <v>21</v>
    <v>426</v>
    <v>7</v>
    <v>0</v>
    <v>Image of Indonesia</v>
  </rv>
  <rv s="1">
    <fb>21.1</fb>
    <v>28</v>
  </rv>
  <rv s="0">
    <v>805306368</v>
    <v>Prabowo Subianto (President)</v>
    <v>0356dbb9-1da7-3c83-437a-0e7f85c9b902</v>
    <v>en-US</v>
    <v>Generic</v>
  </rv>
  <rv s="0">
    <v>805306368</v>
    <v>Gibran Rakabuming Raka (Vice president)</v>
    <v>014321a1-e983-74ac-d4a9-648e88776d13</v>
    <v>en-US</v>
    <v>Generic</v>
  </rv>
  <rv s="0">
    <v>805306368</v>
    <v>Puan Maharani (Speaker)</v>
    <v>bce5e50c-23e7-f796-fb15-4e7093b47fbe</v>
    <v>en-US</v>
    <v>Generic</v>
  </rv>
  <rv s="3">
    <v>183</v>
  </rv>
  <rv s="4">
    <v>https://www.bing.com/search?q=indonesia&amp;form=skydnc</v>
    <v>Learn more on Bing</v>
  </rv>
  <rv s="1">
    <fb>71.509</fb>
    <v>28</v>
  </rv>
  <rv s="1">
    <fb>523321860000</fb>
    <v>30</v>
  </rv>
  <rv s="1">
    <fb>177</fb>
    <v>28</v>
  </rv>
  <rv s="1">
    <fb>0.48</fb>
    <v>29</v>
  </rv>
  <rv s="3">
    <v>184</v>
  </rv>
  <rv s="1">
    <fb>0.48302203660000004</fb>
    <v>23</v>
  </rv>
  <rv s="1">
    <fb>0.4269</fb>
    <v>25</v>
  </rv>
  <rv s="1">
    <fb>275501339</fb>
    <v>24</v>
  </rv>
  <rv s="1">
    <fb>0.30399999999999999</fb>
    <v>23</v>
  </rv>
  <rv s="1">
    <fb>0.105</fb>
    <v>23</v>
  </rv>
  <rv s="1">
    <fb>0.14899999999999999</fb>
    <v>23</v>
  </rv>
  <rv s="1">
    <fb>0.67496002197265592</fb>
    <v>23</v>
  </rv>
  <rv s="0">
    <v>536870912</v>
    <v>Bali</v>
    <v>c4f6d9fa-e141-4316-1f4b-6dff75b71985</v>
    <v>en-US</v>
    <v>Map</v>
  </rv>
  <rv s="0">
    <v>536870912</v>
    <v>Bangka Belitung Islands</v>
    <v>3af40073-e8c1-5118-afe5-3cbc63eec4de</v>
    <v>en-US</v>
    <v>Map</v>
  </rv>
  <rv s="0">
    <v>536870912</v>
    <v>Banten</v>
    <v>b4e3eb01-c9fd-7eab-acf2-789027f22206</v>
    <v>en-US</v>
    <v>Map</v>
  </rv>
  <rv s="0">
    <v>536870912</v>
    <v>Bengkulu</v>
    <v>ca439385-218f-1525-c930-ce7acb910fd2</v>
    <v>en-US</v>
    <v>Map</v>
  </rv>
  <rv s="0">
    <v>536870912</v>
    <v>West Java</v>
    <v>931eb2be-2b48-b0ff-4997-05f06cf85b18</v>
    <v>en-US</v>
    <v>Map</v>
  </rv>
  <rv s="0">
    <v>536870912</v>
    <v>Central Java</v>
    <v>39b12ecc-e3fb-184d-0602-e36314b32c5d</v>
    <v>en-US</v>
    <v>Map</v>
  </rv>
  <rv s="0">
    <v>536870912</v>
    <v>East Java</v>
    <v>f76a129e-0160-9c71-d6b5-fb788a91af78</v>
    <v>en-US</v>
    <v>Map</v>
  </rv>
  <rv s="0">
    <v>536870912</v>
    <v>Riau Islands</v>
    <v>e3471e28-8f42-6ecf-4ccf-4698fdb6ba7b</v>
    <v>en-US</v>
    <v>Map</v>
  </rv>
  <rv s="0">
    <v>536870912</v>
    <v>Jambi</v>
    <v>f9f17551-f6f4-8e98-3914-364646c1f529</v>
    <v>en-US</v>
    <v>Map</v>
  </rv>
  <rv s="0">
    <v>536870912</v>
    <v>Central Kalimantan</v>
    <v>8d3f7094-f4c0-94dc-e426-1fcab06739ff</v>
    <v>en-US</v>
    <v>Map</v>
  </rv>
  <rv s="0">
    <v>536870912</v>
    <v>South Kalimantan</v>
    <v>d0e9b3fa-cc83-7afb-07e9-c2d457864e16</v>
    <v>en-US</v>
    <v>Map</v>
  </rv>
  <rv s="0">
    <v>536870912</v>
    <v>West Kalimantan</v>
    <v>5febf7f0-5901-95c6-deac-984325a2c927</v>
    <v>en-US</v>
    <v>Map</v>
  </rv>
  <rv s="0">
    <v>536870912</v>
    <v>East Kalimantan</v>
    <v>1c25ef68-f0fa-78fc-107b-520cea759d8a</v>
    <v>en-US</v>
    <v>Map</v>
  </rv>
  <rv s="0">
    <v>536870912</v>
    <v>Lampung</v>
    <v>c37bf0bc-29d7-8a9d-c9ca-5d41aeee72da</v>
    <v>en-US</v>
    <v>Map</v>
  </rv>
  <rv s="0">
    <v>536870912</v>
    <v>West Nusa Tenggara</v>
    <v>0407c75f-c808-9cce-028b-f2d85975e54a</v>
    <v>en-US</v>
    <v>Map</v>
  </rv>
  <rv s="0">
    <v>536870912</v>
    <v>East Nusa Tenggara</v>
    <v>0f9a80a8-52fa-396b-9da0-b9128a05870d</v>
    <v>en-US</v>
    <v>Map</v>
  </rv>
  <rv s="0">
    <v>536870912</v>
    <v>Gorontalo</v>
    <v>e2330abd-3509-8dcd-5446-d0bdb068233e</v>
    <v>en-US</v>
    <v>Map</v>
  </rv>
  <rv s="0">
    <v>536870912</v>
    <v>Maluku</v>
    <v>39a3c290-4f4b-b61e-f197-a09ae7642267</v>
    <v>en-US</v>
    <v>Map</v>
  </rv>
  <rv s="0">
    <v>536870912</v>
    <v>North Maluku</v>
    <v>4d1d7c2d-e3a4-666c-5b1d-1a8b18de3a5c</v>
    <v>en-US</v>
    <v>Map</v>
  </rv>
  <rv s="0">
    <v>536870912</v>
    <v>Papua</v>
    <v>0f2c1326-0491-269f-31e1-74488078a32a</v>
    <v>en-US</v>
    <v>Map</v>
  </rv>
  <rv s="0">
    <v>536870912</v>
    <v>West Papua</v>
    <v>2bd66757-1154-0845-4ab3-b533eaafb66a</v>
    <v>en-US</v>
    <v>Map</v>
  </rv>
  <rv s="0">
    <v>536870912</v>
    <v>Central Sulawesi</v>
    <v>fca0651b-c50d-6497-3564-cf378d76f7ca</v>
    <v>en-US</v>
    <v>Map</v>
  </rv>
  <rv s="0">
    <v>536870912</v>
    <v>West Sulawesi</v>
    <v>50e1c5b6-8c37-abe2-96fd-7b0ddfe17455</v>
    <v>en-US</v>
    <v>Map</v>
  </rv>
  <rv s="0">
    <v>536870912</v>
    <v>South Sulawesi</v>
    <v>f6bf6682-f96f-24d6-1b1b-b05c77b899cd</v>
    <v>en-US</v>
    <v>Map</v>
  </rv>
  <rv s="0">
    <v>536870912</v>
    <v>North Sulawesi</v>
    <v>70a8dc2d-0ecd-0471-3c78-516c671329a4</v>
    <v>en-US</v>
    <v>Map</v>
  </rv>
  <rv s="0">
    <v>536870912</v>
    <v>Southeast Sulawesi</v>
    <v>4aff599f-5e3f-801e-344a-16dcaacba1b8</v>
    <v>en-US</v>
    <v>Map</v>
  </rv>
  <rv s="0">
    <v>536870912</v>
    <v>South Sumatra</v>
    <v>3f0b33c1-6f1e-a592-3d72-2b8e053c5609</v>
    <v>en-US</v>
    <v>Map</v>
  </rv>
  <rv s="0">
    <v>536870912</v>
    <v>West Sumatra</v>
    <v>3ad5cdb7-7630-6662-ae72-367bbd112dc0</v>
    <v>en-US</v>
    <v>Map</v>
  </rv>
  <rv s="0">
    <v>536870912</v>
    <v>North Sumatra</v>
    <v>42ca1f6c-e43e-bf42-fe72-4ad9e000d932</v>
    <v>en-US</v>
    <v>Map</v>
  </rv>
  <rv s="0">
    <v>536870912</v>
    <v>Aceh</v>
    <v>a7512e23-3525-d514-b5ee-6adb3af70ca0</v>
    <v>en-US</v>
    <v>Map</v>
  </rv>
  <rv s="0">
    <v>536870912</v>
    <v>Special Region of Yogyakarta</v>
    <v>7a5ea5db-f9d5-434b-8ed3-d1dbe5b4e377</v>
    <v>en-US</v>
    <v>Map</v>
  </rv>
  <rv s="0">
    <v>536870912</v>
    <v>North Kalimantan</v>
    <v>669e45da-91e6-45ec-af06-a29b2ed52f69</v>
    <v>en-US</v>
    <v>Map</v>
  </rv>
  <rv s="0">
    <v>536870912</v>
    <v>Riau</v>
    <v>f537ab07-cdad-a175-50d8-b58eb136e125</v>
    <v>en-US</v>
    <v>Map</v>
  </rv>
  <rv s="3">
    <v>185</v>
  </rv>
  <rv s="1">
    <fb>0.10230449477737399</fb>
    <v>23</v>
  </rv>
  <rv s="3">
    <v>186</v>
  </rv>
  <rv s="1">
    <fb>0.30099999999999999</fb>
    <v>23</v>
  </rv>
  <rv s="1">
    <fb>4.6869997978210398E-2</fb>
    <v>31</v>
  </rv>
  <rv s="1">
    <fb>151509724</fb>
    <v>24</v>
  </rv>
  <rv s="5">
    <v>#VALUE!</v>
    <v>en-US</v>
    <v>b4a5bd62-2259-21e3-4627-bf249ae6ee84</v>
    <v>536870912</v>
    <v>1</v>
    <v>429</v>
    <v>17</v>
    <v>Indonesia</v>
    <v>19</v>
    <v>20</v>
    <v>Map</v>
    <v>21</v>
    <v>262</v>
    <v>ID</v>
    <v>3124</v>
    <v>3125</v>
    <v>3126</v>
    <v>3127</v>
    <v>3128</v>
    <v>3129</v>
    <v>3130</v>
    <v>3131</v>
    <v>3132</v>
    <v>IDR</v>
    <v>Indonesia, officially the Republic of Indonesia, is a country in Southeast Asia and Oceania, between the Indian and Pacific oceans. Comprising over 17,000 islands, including Sumatra, Java, Sulawesi, and parts of Borneo and New Guinea, Indonesia ...</v>
    <v>3133</v>
    <v>3134</v>
    <v>3135</v>
    <v>3136</v>
    <v>3137</v>
    <v>3138</v>
    <v>3139</v>
    <v>3140</v>
    <v>3141</v>
    <v>3142</v>
    <v>3129</v>
    <v>3146</v>
    <v>3147</v>
    <v>3148</v>
    <v>3149</v>
    <v>3150</v>
    <v>3151</v>
    <v>Indonesia</v>
    <v>Indonesia Raya</v>
    <v>3152</v>
    <v>Republik Indonesia</v>
    <v>3153</v>
    <v>3154</v>
    <v>3155</v>
    <v>1083</v>
    <v>3156</v>
    <v>2876</v>
    <v>333</v>
    <v>456</v>
    <v>3157</v>
    <v>3158</v>
    <v>3159</v>
    <v>3193</v>
    <v>3194</v>
    <v>3195</v>
    <v>3196</v>
    <v>3197</v>
    <v>Indonesia</v>
    <v>3198</v>
    <v>mdp/vdpid/111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30">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 s="0">
      <v xml:space="preserve">Wikipedia	Cia	travel.state.gov	</v>
      <v xml:space="preserve">CC-BY-SA			</v>
      <v xml:space="preserve">http://en.wikipedia.org/wiki/Indonesia	https://www.cia.gov/library/publications/the-world-factbook/geos/id.html?Transportation	https://travel.state.gov/content/travel/en/international-travel/International-Travel-Country-Information-Pages/Indonesia.html	</v>
      <v xml:space="preserve">http://creativecommons.org/licenses/by-sa/3.0/			</v>
    </spb>
    <spb s="0">
      <v xml:space="preserve">Wikipedia	</v>
      <v xml:space="preserve">CC BY-SA 3.0	</v>
      <v xml:space="preserve">https://en.wikipedia.org/wiki/Indonesia	</v>
      <v xml:space="preserve">https://creativecommons.org/licenses/by-sa/3.0	</v>
    </spb>
    <spb s="0">
      <v xml:space="preserve">Wikipedia	</v>
      <v xml:space="preserve">CC-BY-SA	</v>
      <v xml:space="preserve">http://en.wikipedia.org/wiki/Indonesia	</v>
      <v xml:space="preserve">http://creativecommons.org/licenses/by-sa/3.0/	</v>
    </spb>
    <spb s="0">
      <v xml:space="preserve">Cia	</v>
      <v xml:space="preserve">	</v>
      <v xml:space="preserve">https://www.cia.gov/library/publications/the-world-factbook/geos/id.html?Transportation	</v>
      <v xml:space="preserve">	</v>
    </spb>
    <spb s="17">
      <v>0</v>
      <v>425</v>
      <v>426</v>
      <v>426</v>
      <v>3</v>
      <v>426</v>
      <v>426</v>
      <v>426</v>
      <v>427</v>
      <v>426</v>
      <v>426</v>
      <v>427</v>
      <v>426</v>
      <v>426</v>
      <v>428</v>
      <v>5</v>
      <v>425</v>
      <v>428</v>
      <v>7</v>
      <v>426</v>
      <v>428</v>
      <v>8</v>
      <v>9</v>
      <v>10</v>
      <v>428</v>
      <v>428</v>
      <v>426</v>
      <v>428</v>
      <v>11</v>
      <v>12</v>
      <v>13</v>
      <v>14</v>
      <v>428</v>
      <v>425</v>
      <v>428</v>
      <v>428</v>
      <v>428</v>
      <v>428</v>
      <v>428</v>
      <v>428</v>
      <v>428</v>
      <v>428</v>
      <v>428</v>
      <v>428</v>
      <v>15</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117" Type="http://schemas.openxmlformats.org/officeDocument/2006/relationships/hyperlink" Target="https://jobs.zew.de/jobposting/3f77f7ab4c309cc0acb22cf7c49d1f933b1a9b780"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hyperlink" Target="https://fa-eosd-saasfaprod1.fa.ocs.oraclecloud.com/hcmUI/CandidateExperience/en/sites/CX_1001/job/3205" TargetMode="External"/><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113" Type="http://schemas.openxmlformats.org/officeDocument/2006/relationships/hyperlink" Target="https://apply.interfolio.com/180665" TargetMode="External"/><Relationship Id="rId118" Type="http://schemas.openxmlformats.org/officeDocument/2006/relationships/printerSettings" Target="../printerSettings/printerSettings1.bin"/><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49" Type="http://schemas.openxmlformats.org/officeDocument/2006/relationships/hyperlink" Target="https://associatecareers-analysisgroup.icims.com/jobs/2760/associate---generalist---montreal---toronto-%282026-start-date%29/job" TargetMode="External"/><Relationship Id="rId114" Type="http://schemas.openxmlformats.org/officeDocument/2006/relationships/hyperlink" Target="https://www.hiroshima-u.ac.jp/en/employment/kyoinkobo/ningen"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115" Type="http://schemas.openxmlformats.org/officeDocument/2006/relationships/hyperlink" Target="https://www.eria.org/about-us/career-opportunities"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116" Type="http://schemas.openxmlformats.org/officeDocument/2006/relationships/hyperlink" Target="https://seu.ub.edu/ofertaPublicaCategoriaPublic/listPublicacionsAmbCategoria?categoria.id=854740"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 Id="rId15" Type="http://schemas.openxmlformats.org/officeDocument/2006/relationships/hyperlink" Target="https://www.babson.edu/" TargetMode="External"/><Relationship Id="rId36" Type="http://schemas.openxmlformats.org/officeDocument/2006/relationships/hyperlink" Target="mailto:ferran.mane@urv.cat"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309"/>
  <sheetViews>
    <sheetView zoomScale="145" zoomScaleNormal="145" workbookViewId="0">
      <pane ySplit="1" topLeftCell="A242" activePane="bottomLeft" state="frozen"/>
      <selection pane="bottomLeft" activeCell="A259" sqref="A259"/>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4">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4">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4">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4">
      <c r="A285" t="s">
        <v>893</v>
      </c>
      <c r="D285" s="1">
        <v>46082</v>
      </c>
      <c r="E285" t="s">
        <v>15</v>
      </c>
      <c r="I285" t="s">
        <v>95</v>
      </c>
      <c r="J285" t="s">
        <v>401</v>
      </c>
      <c r="M285" t="s">
        <v>807</v>
      </c>
      <c r="N285" t="e" vm="4">
        <v>#VALUE!</v>
      </c>
      <c r="O285" t="str" cm="1">
        <f t="array" aca="1" ref="O285" ca="1">_FV(N285,"Name")</f>
        <v>France</v>
      </c>
      <c r="P285" t="s">
        <v>25</v>
      </c>
      <c r="R285" t="s">
        <v>775</v>
      </c>
      <c r="S285" s="1">
        <v>46113</v>
      </c>
      <c r="U285">
        <v>1</v>
      </c>
      <c r="V285">
        <v>0</v>
      </c>
      <c r="W285">
        <v>0</v>
      </c>
    </row>
    <row r="286" spans="1:23" x14ac:dyDescent="0.4">
      <c r="A286" t="s">
        <v>894</v>
      </c>
      <c r="D286" s="1">
        <v>46069</v>
      </c>
      <c r="E286" t="s">
        <v>15</v>
      </c>
      <c r="I286" t="s">
        <v>95</v>
      </c>
      <c r="J286" t="s">
        <v>401</v>
      </c>
      <c r="M286" t="s">
        <v>895</v>
      </c>
      <c r="N286" t="e" vm="10">
        <v>#VALUE!</v>
      </c>
      <c r="O286" t="str" cm="1">
        <f t="array" aca="1" ref="O286" ca="1">_FV(N286,"Name")</f>
        <v>Canada</v>
      </c>
      <c r="P286" t="s">
        <v>25</v>
      </c>
      <c r="R286" t="s">
        <v>775</v>
      </c>
      <c r="S286" s="1">
        <v>46107</v>
      </c>
      <c r="U286">
        <v>1</v>
      </c>
      <c r="V286">
        <v>0</v>
      </c>
      <c r="W286">
        <v>0</v>
      </c>
    </row>
    <row r="287" spans="1:23" x14ac:dyDescent="0.4">
      <c r="A287" t="s">
        <v>896</v>
      </c>
      <c r="D287" s="1">
        <v>46081</v>
      </c>
      <c r="E287" t="s">
        <v>15</v>
      </c>
      <c r="I287" t="s">
        <v>95</v>
      </c>
      <c r="J287" t="s">
        <v>401</v>
      </c>
      <c r="M287" t="s">
        <v>897</v>
      </c>
      <c r="N287" t="e" vm="22">
        <v>#VALUE!</v>
      </c>
      <c r="O287" t="str" cm="1">
        <f t="array" aca="1" ref="O287" ca="1">_FV(N287,"Name")</f>
        <v>Portugal</v>
      </c>
      <c r="P287" t="s">
        <v>11</v>
      </c>
      <c r="R287" t="s">
        <v>775</v>
      </c>
      <c r="S287" s="1">
        <v>46081</v>
      </c>
      <c r="U287">
        <v>1</v>
      </c>
      <c r="V287">
        <v>0</v>
      </c>
      <c r="W287">
        <v>0</v>
      </c>
    </row>
    <row r="288" spans="1:23" x14ac:dyDescent="0.4">
      <c r="A288" t="s">
        <v>898</v>
      </c>
      <c r="D288" s="1">
        <v>46069</v>
      </c>
      <c r="E288" t="s">
        <v>15</v>
      </c>
      <c r="I288" t="s">
        <v>95</v>
      </c>
      <c r="J288" t="s">
        <v>401</v>
      </c>
      <c r="M288" t="s">
        <v>899</v>
      </c>
      <c r="N288" t="e" vm="4">
        <v>#VALUE!</v>
      </c>
      <c r="O288" t="str" cm="1">
        <f t="array" aca="1" ref="O288" ca="1">_FV(N288,"Name")</f>
        <v>France</v>
      </c>
      <c r="P288" t="s">
        <v>25</v>
      </c>
      <c r="R288" t="s">
        <v>775</v>
      </c>
      <c r="S288" s="1">
        <v>46082</v>
      </c>
      <c r="U288">
        <v>1</v>
      </c>
      <c r="V288">
        <v>0</v>
      </c>
      <c r="W288">
        <v>0</v>
      </c>
    </row>
    <row r="289" spans="1:23" x14ac:dyDescent="0.4">
      <c r="A289" t="s">
        <v>900</v>
      </c>
      <c r="D289" s="1">
        <v>46069</v>
      </c>
      <c r="E289" t="s">
        <v>15</v>
      </c>
      <c r="I289" t="s">
        <v>95</v>
      </c>
      <c r="J289" t="s">
        <v>401</v>
      </c>
      <c r="M289" t="s">
        <v>901</v>
      </c>
      <c r="N289" t="e" vm="2">
        <v>#VALUE!</v>
      </c>
      <c r="O289" t="str" cm="1">
        <f t="array" aca="1" ref="O289" ca="1">_FV(N289,"Name")</f>
        <v>Spain</v>
      </c>
      <c r="P289" t="s">
        <v>25</v>
      </c>
      <c r="R289" t="s">
        <v>775</v>
      </c>
      <c r="S289" s="1">
        <v>46073</v>
      </c>
      <c r="U289">
        <v>1</v>
      </c>
      <c r="V289">
        <v>0</v>
      </c>
      <c r="W289">
        <v>0</v>
      </c>
    </row>
    <row r="290" spans="1:23" x14ac:dyDescent="0.4">
      <c r="A290" t="s">
        <v>904</v>
      </c>
      <c r="D290" s="1">
        <v>46063</v>
      </c>
      <c r="E290" t="s">
        <v>39</v>
      </c>
      <c r="F290" t="s">
        <v>905</v>
      </c>
      <c r="I290" t="s">
        <v>95</v>
      </c>
      <c r="J290" t="s">
        <v>401</v>
      </c>
      <c r="M290" t="s">
        <v>831</v>
      </c>
      <c r="N290" t="e" vm="1">
        <v>#VALUE!</v>
      </c>
      <c r="O290" t="str" cm="1">
        <f t="array" aca="1" ref="O290" ca="1">_FV(N290,"Name")</f>
        <v>United States</v>
      </c>
      <c r="P290" t="s">
        <v>19</v>
      </c>
      <c r="R290" t="s">
        <v>19</v>
      </c>
      <c r="S290" s="1">
        <v>46055</v>
      </c>
      <c r="U290">
        <v>1</v>
      </c>
      <c r="V290">
        <v>0</v>
      </c>
      <c r="W290">
        <v>0</v>
      </c>
    </row>
    <row r="291" spans="1:23" x14ac:dyDescent="0.4">
      <c r="A291" t="s">
        <v>906</v>
      </c>
      <c r="D291" s="1">
        <v>46068</v>
      </c>
      <c r="E291" t="s">
        <v>39</v>
      </c>
      <c r="F291" s="2" t="s">
        <v>909</v>
      </c>
      <c r="H291" t="s">
        <v>908</v>
      </c>
      <c r="I291" t="s">
        <v>95</v>
      </c>
      <c r="J291" t="s">
        <v>401</v>
      </c>
      <c r="M291" t="s">
        <v>907</v>
      </c>
      <c r="N291" t="e" vm="21">
        <v>#VALUE!</v>
      </c>
      <c r="O291" t="str" cm="1">
        <f t="array" aca="1" ref="O291" ca="1">_FV(N291,"Name")</f>
        <v>United Kingdom</v>
      </c>
      <c r="P291" t="s">
        <v>11</v>
      </c>
      <c r="R291" t="s">
        <v>775</v>
      </c>
      <c r="S291" s="1">
        <v>46068</v>
      </c>
      <c r="U291">
        <v>1</v>
      </c>
      <c r="V291">
        <v>0</v>
      </c>
      <c r="W291">
        <v>0</v>
      </c>
    </row>
    <row r="292" spans="1:23" x14ac:dyDescent="0.4">
      <c r="A292" t="s">
        <v>910</v>
      </c>
      <c r="D292" s="1">
        <v>46069</v>
      </c>
      <c r="E292" t="s">
        <v>39</v>
      </c>
      <c r="F292" t="s">
        <v>911</v>
      </c>
      <c r="I292" t="s">
        <v>95</v>
      </c>
      <c r="J292" t="s">
        <v>401</v>
      </c>
      <c r="M292" t="s">
        <v>912</v>
      </c>
      <c r="N292" t="e" vm="1">
        <v>#VALUE!</v>
      </c>
      <c r="O292" t="str" cm="1">
        <f t="array" aca="1" ref="O292" ca="1">_FV(N292,"Name")</f>
        <v>United States</v>
      </c>
      <c r="P292" t="s">
        <v>11</v>
      </c>
      <c r="R292" t="s">
        <v>19</v>
      </c>
      <c r="S292" s="1">
        <v>46080</v>
      </c>
      <c r="U292">
        <v>1</v>
      </c>
      <c r="V292">
        <v>0</v>
      </c>
      <c r="W292">
        <v>0</v>
      </c>
    </row>
    <row r="293" spans="1:23" x14ac:dyDescent="0.4">
      <c r="A293" t="s">
        <v>913</v>
      </c>
      <c r="D293" s="1">
        <v>46069</v>
      </c>
      <c r="E293" t="s">
        <v>39</v>
      </c>
      <c r="F293" t="s">
        <v>914</v>
      </c>
      <c r="I293" t="s">
        <v>95</v>
      </c>
      <c r="J293" t="s">
        <v>401</v>
      </c>
      <c r="M293" t="s">
        <v>198</v>
      </c>
      <c r="N293" t="e" vm="10">
        <v>#VALUE!</v>
      </c>
      <c r="O293" t="str" cm="1">
        <f t="array" aca="1" ref="O293" ca="1">_FV(N293,"Name")</f>
        <v>Canada</v>
      </c>
      <c r="P293" t="s">
        <v>11</v>
      </c>
      <c r="R293" t="s">
        <v>19</v>
      </c>
      <c r="S293" s="1">
        <v>46082</v>
      </c>
      <c r="U293">
        <v>1</v>
      </c>
      <c r="V293">
        <v>0</v>
      </c>
      <c r="W293">
        <v>0</v>
      </c>
    </row>
    <row r="294" spans="1:23" x14ac:dyDescent="0.4">
      <c r="A294" t="s">
        <v>915</v>
      </c>
      <c r="D294" s="1">
        <v>46063</v>
      </c>
      <c r="E294" t="s">
        <v>39</v>
      </c>
      <c r="F294" t="s">
        <v>916</v>
      </c>
      <c r="I294" t="s">
        <v>95</v>
      </c>
      <c r="J294" t="s">
        <v>401</v>
      </c>
      <c r="M294" t="s">
        <v>917</v>
      </c>
      <c r="N294" t="e" vm="1">
        <v>#VALUE!</v>
      </c>
      <c r="O294" t="str" cm="1">
        <f t="array" aca="1" ref="O294" ca="1">_FV(N294,"Name")</f>
        <v>United States</v>
      </c>
      <c r="P294" t="s">
        <v>11</v>
      </c>
      <c r="R294" t="s">
        <v>775</v>
      </c>
      <c r="S294" s="1">
        <v>46082</v>
      </c>
      <c r="U294">
        <v>1</v>
      </c>
      <c r="V294">
        <v>0</v>
      </c>
      <c r="W294">
        <v>0</v>
      </c>
    </row>
    <row r="295" spans="1:23" x14ac:dyDescent="0.4">
      <c r="A295" t="s">
        <v>918</v>
      </c>
      <c r="D295" s="1">
        <v>46068</v>
      </c>
      <c r="E295" t="s">
        <v>15</v>
      </c>
      <c r="I295" t="s">
        <v>95</v>
      </c>
      <c r="J295" t="s">
        <v>401</v>
      </c>
      <c r="M295" t="s">
        <v>919</v>
      </c>
      <c r="N295" t="e" vm="6">
        <v>#VALUE!</v>
      </c>
      <c r="O295" t="str" cm="1">
        <f t="array" aca="1" ref="O295" ca="1">_FV(N295,"Name")</f>
        <v>Netherlands</v>
      </c>
      <c r="P295" t="s">
        <v>25</v>
      </c>
      <c r="R295" t="s">
        <v>775</v>
      </c>
      <c r="S295" s="1">
        <v>46068</v>
      </c>
      <c r="U295">
        <v>1</v>
      </c>
      <c r="V295">
        <v>0</v>
      </c>
      <c r="W295">
        <v>0</v>
      </c>
    </row>
    <row r="296" spans="1:23" x14ac:dyDescent="0.4">
      <c r="A296" t="s">
        <v>920</v>
      </c>
      <c r="C296" t="s">
        <v>924</v>
      </c>
      <c r="D296" s="1">
        <v>46069</v>
      </c>
      <c r="F296" s="2" t="s">
        <v>921</v>
      </c>
      <c r="I296" t="s">
        <v>95</v>
      </c>
      <c r="J296" t="s">
        <v>401</v>
      </c>
      <c r="M296" t="s">
        <v>922</v>
      </c>
      <c r="N296" t="e" vm="20">
        <v>#VALUE!</v>
      </c>
      <c r="O296" t="str" cm="1">
        <f t="array" aca="1" ref="O296" ca="1">_FV(N296,"Name")</f>
        <v>Denmark</v>
      </c>
      <c r="P296" t="s">
        <v>923</v>
      </c>
      <c r="R296" t="s">
        <v>775</v>
      </c>
      <c r="S296" s="1">
        <v>46082</v>
      </c>
      <c r="U296">
        <v>1</v>
      </c>
      <c r="V296">
        <v>0</v>
      </c>
      <c r="W296">
        <v>0</v>
      </c>
    </row>
    <row r="297" spans="1:23" x14ac:dyDescent="0.4">
      <c r="A297" t="s">
        <v>925</v>
      </c>
      <c r="D297" s="1">
        <v>46073</v>
      </c>
      <c r="E297" t="s">
        <v>39</v>
      </c>
      <c r="F297" s="2" t="s">
        <v>927</v>
      </c>
      <c r="I297" t="s">
        <v>95</v>
      </c>
      <c r="J297" t="s">
        <v>401</v>
      </c>
      <c r="M297" t="s">
        <v>926</v>
      </c>
      <c r="N297" t="e" vm="1">
        <v>#VALUE!</v>
      </c>
      <c r="O297" t="str" cm="1">
        <f t="array" aca="1" ref="O297" ca="1">_FV(N297,"Name")</f>
        <v>United States</v>
      </c>
      <c r="P297" t="s">
        <v>11</v>
      </c>
      <c r="R297" t="s">
        <v>19</v>
      </c>
      <c r="S297" s="1">
        <v>46089</v>
      </c>
      <c r="U297">
        <v>1</v>
      </c>
      <c r="V297">
        <v>0</v>
      </c>
      <c r="W297">
        <v>0</v>
      </c>
    </row>
    <row r="298" spans="1:23" x14ac:dyDescent="0.4">
      <c r="A298" t="s">
        <v>928</v>
      </c>
      <c r="D298" s="1">
        <v>46073</v>
      </c>
      <c r="E298" t="s">
        <v>39</v>
      </c>
      <c r="F298" t="s">
        <v>930</v>
      </c>
      <c r="I298" t="s">
        <v>95</v>
      </c>
      <c r="J298" t="s">
        <v>401</v>
      </c>
      <c r="M298" t="s">
        <v>929</v>
      </c>
      <c r="N298" t="e" vm="10">
        <v>#VALUE!</v>
      </c>
      <c r="O298" t="str" cm="1">
        <f t="array" aca="1" ref="O298" ca="1">_FV(N298,"Name")</f>
        <v>Canada</v>
      </c>
      <c r="P298" t="s">
        <v>19</v>
      </c>
      <c r="R298" t="s">
        <v>19</v>
      </c>
      <c r="S298" s="1">
        <v>46082</v>
      </c>
      <c r="U298">
        <v>1</v>
      </c>
      <c r="V298">
        <v>0</v>
      </c>
      <c r="W298">
        <v>0</v>
      </c>
    </row>
    <row r="299" spans="1:23" x14ac:dyDescent="0.4">
      <c r="A299" t="s">
        <v>931</v>
      </c>
      <c r="D299" s="1">
        <v>46073</v>
      </c>
      <c r="F299" t="s">
        <v>932</v>
      </c>
      <c r="I299" t="s">
        <v>95</v>
      </c>
      <c r="J299" t="s">
        <v>401</v>
      </c>
      <c r="M299" t="s">
        <v>933</v>
      </c>
      <c r="N299" t="e" vm="1">
        <v>#VALUE!</v>
      </c>
      <c r="O299" t="str" cm="1">
        <f t="array" aca="1" ref="O299" ca="1">_FV(N299,"Name")</f>
        <v>United States</v>
      </c>
      <c r="P299" t="s">
        <v>11</v>
      </c>
      <c r="R299" t="s">
        <v>775</v>
      </c>
      <c r="S299" s="1">
        <v>46096</v>
      </c>
      <c r="U299">
        <v>1</v>
      </c>
      <c r="V299">
        <v>0</v>
      </c>
      <c r="W299">
        <v>0</v>
      </c>
    </row>
    <row r="300" spans="1:23" x14ac:dyDescent="0.4">
      <c r="A300" t="s">
        <v>934</v>
      </c>
      <c r="C300" t="s">
        <v>936</v>
      </c>
      <c r="D300" s="1">
        <v>46073</v>
      </c>
      <c r="E300" t="s">
        <v>39</v>
      </c>
      <c r="F300" s="2" t="s">
        <v>935</v>
      </c>
      <c r="I300" t="s">
        <v>95</v>
      </c>
      <c r="J300" t="s">
        <v>401</v>
      </c>
      <c r="M300" t="s">
        <v>205</v>
      </c>
      <c r="N300" t="e" vm="3">
        <v>#VALUE!</v>
      </c>
      <c r="O300" t="str" cm="1">
        <f t="array" aca="1" ref="O300" ca="1">_FV(N300,"Name")</f>
        <v>Japan</v>
      </c>
      <c r="P300" t="s">
        <v>11</v>
      </c>
      <c r="R300" t="s">
        <v>775</v>
      </c>
      <c r="S300" s="1">
        <v>46143</v>
      </c>
      <c r="U300">
        <v>1</v>
      </c>
      <c r="V300">
        <v>0</v>
      </c>
      <c r="W300">
        <v>0</v>
      </c>
    </row>
    <row r="301" spans="1:23" x14ac:dyDescent="0.4">
      <c r="A301" t="s">
        <v>937</v>
      </c>
      <c r="D301" s="1">
        <v>46073</v>
      </c>
      <c r="E301" t="s">
        <v>39</v>
      </c>
      <c r="F301" t="s">
        <v>938</v>
      </c>
      <c r="I301" t="s">
        <v>95</v>
      </c>
      <c r="J301" t="s">
        <v>401</v>
      </c>
      <c r="M301" t="s">
        <v>939</v>
      </c>
      <c r="N301" t="e" vm="1">
        <v>#VALUE!</v>
      </c>
      <c r="O301" t="str" cm="1">
        <f t="array" aca="1" ref="O301" ca="1">_FV(N301,"Name")</f>
        <v>United States</v>
      </c>
      <c r="P301" t="s">
        <v>485</v>
      </c>
      <c r="R301" t="s">
        <v>19</v>
      </c>
      <c r="S301" s="1">
        <v>46082</v>
      </c>
      <c r="U301">
        <v>1</v>
      </c>
      <c r="V301">
        <v>0</v>
      </c>
      <c r="W301">
        <v>0</v>
      </c>
    </row>
    <row r="302" spans="1:23" x14ac:dyDescent="0.4">
      <c r="A302" t="s">
        <v>941</v>
      </c>
      <c r="C302" t="s">
        <v>942</v>
      </c>
      <c r="D302" s="1">
        <v>46073</v>
      </c>
      <c r="E302" t="s">
        <v>39</v>
      </c>
      <c r="F302" s="2" t="s">
        <v>943</v>
      </c>
      <c r="I302" t="s">
        <v>95</v>
      </c>
      <c r="J302" t="s">
        <v>401</v>
      </c>
      <c r="M302" t="s">
        <v>944</v>
      </c>
      <c r="N302" t="e" vm="37">
        <v>#VALUE!</v>
      </c>
      <c r="O302" t="str" cm="1">
        <f t="array" aca="1" ref="O302" ca="1">_FV(N302,"Name")</f>
        <v>Indonesia</v>
      </c>
      <c r="P302" t="s">
        <v>945</v>
      </c>
      <c r="R302" t="s">
        <v>775</v>
      </c>
      <c r="S302" s="1">
        <v>46082</v>
      </c>
      <c r="U302">
        <v>1</v>
      </c>
      <c r="V302">
        <v>0</v>
      </c>
      <c r="W302">
        <v>0</v>
      </c>
    </row>
    <row r="303" spans="1:23" x14ac:dyDescent="0.4">
      <c r="A303" t="s">
        <v>946</v>
      </c>
      <c r="C303" t="s">
        <v>948</v>
      </c>
      <c r="D303" s="1">
        <v>46073</v>
      </c>
      <c r="F303" s="2" t="s">
        <v>947</v>
      </c>
      <c r="I303" t="s">
        <v>151</v>
      </c>
      <c r="J303" t="s">
        <v>401</v>
      </c>
      <c r="M303" t="s">
        <v>950</v>
      </c>
      <c r="N303" t="e" vm="2">
        <v>#VALUE!</v>
      </c>
      <c r="O303" t="str" cm="1">
        <f t="array" aca="1" ref="O303" ca="1">_FV(N303,"Name")</f>
        <v>Spain</v>
      </c>
      <c r="P303" t="s">
        <v>11</v>
      </c>
      <c r="R303" t="s">
        <v>775</v>
      </c>
      <c r="S303" s="1">
        <v>46082</v>
      </c>
      <c r="U303">
        <v>1</v>
      </c>
      <c r="V303">
        <v>0</v>
      </c>
      <c r="W303">
        <v>0</v>
      </c>
    </row>
    <row r="304" spans="1:23" x14ac:dyDescent="0.4">
      <c r="A304" t="s">
        <v>949</v>
      </c>
      <c r="D304" s="1">
        <v>46073</v>
      </c>
      <c r="E304" t="s">
        <v>15</v>
      </c>
      <c r="I304" t="s">
        <v>95</v>
      </c>
      <c r="J304" t="s">
        <v>401</v>
      </c>
      <c r="M304" t="s">
        <v>951</v>
      </c>
      <c r="N304" t="e" vm="21">
        <v>#VALUE!</v>
      </c>
      <c r="O304" t="str" cm="1">
        <f t="array" aca="1" ref="O304" ca="1">_FV(N304,"Name")</f>
        <v>United Kingdom</v>
      </c>
      <c r="P304" t="s">
        <v>11</v>
      </c>
      <c r="R304" t="s">
        <v>775</v>
      </c>
      <c r="S304" s="1">
        <v>46073</v>
      </c>
      <c r="U304">
        <v>1</v>
      </c>
      <c r="V304">
        <v>0</v>
      </c>
      <c r="W304">
        <v>0</v>
      </c>
    </row>
    <row r="305" spans="1:23" x14ac:dyDescent="0.4">
      <c r="A305" t="s">
        <v>952</v>
      </c>
      <c r="D305" s="1">
        <v>46081</v>
      </c>
      <c r="E305" t="s">
        <v>15</v>
      </c>
      <c r="F305" s="2" t="s">
        <v>953</v>
      </c>
      <c r="I305" t="s">
        <v>95</v>
      </c>
      <c r="J305" t="s">
        <v>401</v>
      </c>
      <c r="M305" t="s">
        <v>954</v>
      </c>
      <c r="N305" t="e" vm="9">
        <v>#VALUE!</v>
      </c>
      <c r="O305" t="str" cm="1">
        <f t="array" aca="1" ref="O305" ca="1">_FV(N305,"Name")</f>
        <v>Germany</v>
      </c>
      <c r="P305" t="s">
        <v>25</v>
      </c>
      <c r="R305" t="s">
        <v>775</v>
      </c>
      <c r="S305" s="1">
        <v>46081</v>
      </c>
      <c r="U305">
        <v>1</v>
      </c>
      <c r="V305">
        <v>0</v>
      </c>
      <c r="W305">
        <v>0</v>
      </c>
    </row>
    <row r="306" spans="1:23" x14ac:dyDescent="0.4">
      <c r="A306" t="s">
        <v>955</v>
      </c>
      <c r="C306" t="s">
        <v>957</v>
      </c>
      <c r="D306" s="1">
        <v>46073</v>
      </c>
      <c r="E306" t="s">
        <v>15</v>
      </c>
      <c r="F306" t="s">
        <v>956</v>
      </c>
      <c r="I306" t="s">
        <v>95</v>
      </c>
      <c r="J306" t="s">
        <v>401</v>
      </c>
      <c r="M306" t="s">
        <v>958</v>
      </c>
      <c r="N306" t="e" vm="9">
        <v>#VALUE!</v>
      </c>
      <c r="O306" t="str" cm="1">
        <f t="array" aca="1" ref="O306" ca="1">_FV(N306,"Name")</f>
        <v>Germany</v>
      </c>
      <c r="P306" t="s">
        <v>25</v>
      </c>
      <c r="R306" t="s">
        <v>775</v>
      </c>
      <c r="S306" s="1">
        <v>46084</v>
      </c>
      <c r="U306">
        <v>1</v>
      </c>
      <c r="V306">
        <v>0</v>
      </c>
      <c r="W306">
        <v>0</v>
      </c>
    </row>
    <row r="307" spans="1:23" x14ac:dyDescent="0.4">
      <c r="A307" t="s">
        <v>959</v>
      </c>
      <c r="C307" t="s">
        <v>962</v>
      </c>
      <c r="D307" s="1">
        <v>46073</v>
      </c>
      <c r="E307" t="s">
        <v>15</v>
      </c>
      <c r="F307" t="s">
        <v>960</v>
      </c>
      <c r="I307" t="s">
        <v>151</v>
      </c>
      <c r="J307" t="s">
        <v>401</v>
      </c>
      <c r="M307" t="s">
        <v>961</v>
      </c>
      <c r="N307" t="e" vm="16">
        <v>#VALUE!</v>
      </c>
      <c r="O307" t="str" cm="1">
        <f t="array" aca="1" ref="O307" ca="1">_FV(N307,"Name")</f>
        <v>Brazil</v>
      </c>
      <c r="P307" t="s">
        <v>11</v>
      </c>
      <c r="R307" t="s">
        <v>775</v>
      </c>
      <c r="S307" s="1">
        <v>46084</v>
      </c>
      <c r="U307">
        <v>1</v>
      </c>
      <c r="V307">
        <v>0</v>
      </c>
      <c r="W307">
        <v>0</v>
      </c>
    </row>
    <row r="308" spans="1:23" x14ac:dyDescent="0.4">
      <c r="A308" t="s">
        <v>964</v>
      </c>
      <c r="D308" s="1">
        <v>45716</v>
      </c>
      <c r="E308" t="s">
        <v>15</v>
      </c>
      <c r="I308" t="s">
        <v>95</v>
      </c>
      <c r="J308" t="s">
        <v>401</v>
      </c>
      <c r="M308" t="s">
        <v>963</v>
      </c>
      <c r="N308" t="e" vm="4">
        <v>#VALUE!</v>
      </c>
      <c r="O308" t="str" cm="1">
        <f t="array" aca="1" ref="O308" ca="1">_FV(N308,"Name")</f>
        <v>France</v>
      </c>
      <c r="P308" t="s">
        <v>25</v>
      </c>
      <c r="R308" t="s">
        <v>775</v>
      </c>
      <c r="S308" s="1">
        <v>46084</v>
      </c>
      <c r="U308">
        <v>1</v>
      </c>
      <c r="V308">
        <v>0</v>
      </c>
      <c r="W308">
        <v>0</v>
      </c>
    </row>
    <row r="309" spans="1:23" x14ac:dyDescent="0.4">
      <c r="A309" t="s">
        <v>965</v>
      </c>
      <c r="D309" s="1">
        <v>46073</v>
      </c>
      <c r="E309" t="s">
        <v>15</v>
      </c>
      <c r="I309" t="s">
        <v>95</v>
      </c>
      <c r="J309" t="s">
        <v>401</v>
      </c>
      <c r="M309" t="s">
        <v>966</v>
      </c>
      <c r="N309" t="e" vm="1">
        <v>#VALUE!</v>
      </c>
      <c r="O309" t="str" cm="1">
        <f t="array" aca="1" ref="O309" ca="1">_FV(N309,"Name")</f>
        <v>United States</v>
      </c>
      <c r="P309" t="s">
        <v>25</v>
      </c>
      <c r="R309" t="s">
        <v>775</v>
      </c>
      <c r="S309" s="1">
        <v>46082</v>
      </c>
      <c r="U309">
        <v>1</v>
      </c>
      <c r="V309">
        <v>0</v>
      </c>
      <c r="W309">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26" priority="23"/>
  </conditionalFormatting>
  <conditionalFormatting sqref="A2:B22">
    <cfRule type="duplicateValues" dxfId="25" priority="24"/>
  </conditionalFormatting>
  <conditionalFormatting sqref="A61:B61">
    <cfRule type="duplicateValues" dxfId="24" priority="22"/>
  </conditionalFormatting>
  <conditionalFormatting sqref="I1:I1048576">
    <cfRule type="containsText" dxfId="23" priority="15" operator="containsText" text="closed">
      <formula>NOT(ISERROR(SEARCH("closed",I1)))</formula>
    </cfRule>
    <cfRule type="containsText" dxfId="22" priority="16" operator="containsText" text="abandoned">
      <formula>NOT(ISERROR(SEARCH("abandoned",I1)))</formula>
    </cfRule>
    <cfRule type="containsText" dxfId="21"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P276:P309 R276:R309 I1:J1">
    <cfRule type="containsText" dxfId="20" priority="21" operator="containsText" text="completed">
      <formula>NOT(ISERROR(SEARCH("completed",I1)))</formula>
    </cfRule>
  </conditionalFormatting>
  <conditionalFormatting sqref="J1:J1048576">
    <cfRule type="containsText" dxfId="19" priority="10" operator="containsText" text="no news">
      <formula>NOT(ISERROR(SEARCH("no news",J1)))</formula>
    </cfRule>
    <cfRule type="containsText" dxfId="18" priority="11" operator="containsText" text="offer">
      <formula>NOT(ISERROR(SEARCH("offer",J1)))</formula>
    </cfRule>
    <cfRule type="containsText" dxfId="17" priority="12" operator="containsText" text="fly out">
      <formula>NOT(ISERROR(SEARCH("fly out",J1)))</formula>
    </cfRule>
    <cfRule type="containsText" dxfId="16" priority="13" operator="containsText" text="interview">
      <formula>NOT(ISERROR(SEARCH("interview",J1)))</formula>
    </cfRule>
    <cfRule type="containsText" dxfId="15"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P276:P309 R276:R309">
    <cfRule type="containsText" dxfId="14" priority="19" operator="containsText" text="NO">
      <formula>NOT(ISERROR(SEARCH("NO",K1)))</formula>
    </cfRule>
    <cfRule type="containsText" dxfId="13" priority="20" operator="containsText" text="YES">
      <formula>NOT(ISERROR(SEARCH("YES",K1)))</formula>
    </cfRule>
  </conditionalFormatting>
  <conditionalFormatting sqref="P250:P267">
    <cfRule type="containsText" dxfId="12" priority="1" operator="containsText" text="NO">
      <formula>NOT(ISERROR(SEARCH("NO",P250)))</formula>
    </cfRule>
    <cfRule type="containsText" dxfId="11" priority="2" operator="containsText" text="YES">
      <formula>NOT(ISERROR(SEARCH("YES",P250)))</formula>
    </cfRule>
    <cfRule type="containsText" dxfId="10"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 ref="F296" r:id="rId112" xr:uid="{6122D6CC-37C2-48AE-B198-BBEB4D956A30}"/>
    <hyperlink ref="F297" r:id="rId113" xr:uid="{178A12FB-D897-C447-A5D1-9E0BD4BE3AC5}"/>
    <hyperlink ref="F300" r:id="rId114" xr:uid="{E665AFFD-EAA2-D64C-BC9A-2512D61F3A12}"/>
    <hyperlink ref="F302" r:id="rId115" xr:uid="{621E9B7A-5B56-4C45-9045-49FCB21BC49B}"/>
    <hyperlink ref="F303" r:id="rId116" xr:uid="{F4364787-D8B2-C648-8686-107829E70F8B}"/>
    <hyperlink ref="F305" r:id="rId117" xr:uid="{3E9A41B2-7B20-6A4A-BB9E-E086F4C04BDB}"/>
  </hyperlinks>
  <pageMargins left="0.7" right="0.7" top="0.75" bottom="0.75" header="0.3" footer="0.3"/>
  <pageSetup orientation="portrait" horizontalDpi="300" verticalDpi="300" r:id="rId11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94"/>
  <sheetViews>
    <sheetView tabSelected="1" topLeftCell="A385" zoomScale="208" workbookViewId="0">
      <selection activeCell="B394" sqref="B394"/>
    </sheetView>
  </sheetViews>
  <sheetFormatPr defaultColWidth="10.6640625" defaultRowHeight="16" x14ac:dyDescent="0.4"/>
  <cols>
    <col min="1" max="1" width="32.83203125" customWidth="1"/>
    <col min="2" max="2" width="17.16406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881</v>
      </c>
      <c r="C334" t="s">
        <v>96</v>
      </c>
    </row>
    <row r="335" spans="1:3" x14ac:dyDescent="0.4">
      <c r="A335" s="1">
        <v>46049</v>
      </c>
      <c r="B335" t="s">
        <v>879</v>
      </c>
      <c r="C335" t="s">
        <v>96</v>
      </c>
    </row>
    <row r="336" spans="1:3" x14ac:dyDescent="0.4">
      <c r="A336" s="1">
        <v>46050</v>
      </c>
      <c r="B336" t="s">
        <v>494</v>
      </c>
      <c r="C336" t="s">
        <v>402</v>
      </c>
    </row>
    <row r="337" spans="1:3" x14ac:dyDescent="0.4">
      <c r="A337" s="1">
        <v>46052</v>
      </c>
      <c r="B337" t="s">
        <v>883</v>
      </c>
      <c r="C337" t="s">
        <v>96</v>
      </c>
    </row>
    <row r="338" spans="1:3" x14ac:dyDescent="0.4">
      <c r="A338" s="1">
        <v>46052</v>
      </c>
      <c r="B338" t="s">
        <v>884</v>
      </c>
      <c r="C338" t="s">
        <v>96</v>
      </c>
    </row>
    <row r="339" spans="1:3" x14ac:dyDescent="0.4">
      <c r="A339" s="1">
        <v>46052</v>
      </c>
      <c r="B339" t="s">
        <v>886</v>
      </c>
      <c r="C339" t="s">
        <v>96</v>
      </c>
    </row>
    <row r="340" spans="1:3" x14ac:dyDescent="0.4">
      <c r="A340" s="1">
        <v>46052</v>
      </c>
      <c r="B340" t="s">
        <v>888</v>
      </c>
      <c r="C340" t="s">
        <v>96</v>
      </c>
    </row>
    <row r="341" spans="1:3" x14ac:dyDescent="0.4">
      <c r="A341" s="1">
        <v>46052</v>
      </c>
      <c r="B341" t="s">
        <v>889</v>
      </c>
      <c r="C341" t="s">
        <v>96</v>
      </c>
    </row>
    <row r="342" spans="1:3" x14ac:dyDescent="0.4">
      <c r="A342" s="1">
        <v>46055</v>
      </c>
      <c r="B342" t="s">
        <v>721</v>
      </c>
      <c r="C342" t="s">
        <v>402</v>
      </c>
    </row>
    <row r="343" spans="1:3" x14ac:dyDescent="0.4">
      <c r="A343" s="1">
        <v>46056</v>
      </c>
      <c r="B343" t="s">
        <v>889</v>
      </c>
      <c r="C343" t="s">
        <v>403</v>
      </c>
    </row>
    <row r="344" spans="1:3" x14ac:dyDescent="0.4">
      <c r="A344" s="1">
        <v>46056</v>
      </c>
      <c r="B344" t="s">
        <v>889</v>
      </c>
      <c r="C344" t="s">
        <v>404</v>
      </c>
    </row>
    <row r="345" spans="1:3" x14ac:dyDescent="0.4">
      <c r="A345" s="1">
        <v>46056</v>
      </c>
      <c r="B345" t="s">
        <v>224</v>
      </c>
      <c r="C345" t="s">
        <v>402</v>
      </c>
    </row>
    <row r="346" spans="1:3" x14ac:dyDescent="0.4">
      <c r="A346" s="1">
        <v>46058</v>
      </c>
      <c r="B346" t="s">
        <v>738</v>
      </c>
      <c r="C346" t="s">
        <v>402</v>
      </c>
    </row>
    <row r="347" spans="1:3" x14ac:dyDescent="0.4">
      <c r="A347" s="1">
        <v>46058</v>
      </c>
      <c r="B347" t="s">
        <v>478</v>
      </c>
      <c r="C347" t="s">
        <v>402</v>
      </c>
    </row>
    <row r="348" spans="1:3" x14ac:dyDescent="0.4">
      <c r="A348" s="1">
        <v>46058</v>
      </c>
      <c r="B348" t="s">
        <v>890</v>
      </c>
      <c r="C348" t="s">
        <v>96</v>
      </c>
    </row>
    <row r="349" spans="1:3" x14ac:dyDescent="0.4">
      <c r="A349" s="1">
        <v>46059</v>
      </c>
      <c r="C349" t="s">
        <v>902</v>
      </c>
    </row>
    <row r="350" spans="1:3" x14ac:dyDescent="0.4">
      <c r="A350" s="1">
        <v>46062</v>
      </c>
      <c r="B350" t="s">
        <v>893</v>
      </c>
      <c r="C350" t="s">
        <v>96</v>
      </c>
    </row>
    <row r="351" spans="1:3" x14ac:dyDescent="0.4">
      <c r="A351" s="1">
        <v>46062</v>
      </c>
      <c r="B351" t="s">
        <v>894</v>
      </c>
      <c r="C351" t="s">
        <v>96</v>
      </c>
    </row>
    <row r="352" spans="1:3" x14ac:dyDescent="0.4">
      <c r="A352" s="1">
        <v>46062</v>
      </c>
      <c r="B352" t="s">
        <v>896</v>
      </c>
      <c r="C352" t="s">
        <v>96</v>
      </c>
    </row>
    <row r="353" spans="1:3" x14ac:dyDescent="0.4">
      <c r="A353" s="1">
        <v>46062</v>
      </c>
      <c r="B353" t="s">
        <v>898</v>
      </c>
      <c r="C353" t="s">
        <v>96</v>
      </c>
    </row>
    <row r="354" spans="1:3" x14ac:dyDescent="0.4">
      <c r="A354" s="1">
        <v>46062</v>
      </c>
      <c r="B354" t="s">
        <v>900</v>
      </c>
      <c r="C354" t="s">
        <v>96</v>
      </c>
    </row>
    <row r="355" spans="1:3" x14ac:dyDescent="0.4">
      <c r="A355" s="1">
        <v>46062</v>
      </c>
      <c r="B355" t="s">
        <v>918</v>
      </c>
      <c r="C355" t="s">
        <v>96</v>
      </c>
    </row>
    <row r="356" spans="1:3" x14ac:dyDescent="0.4">
      <c r="A356" s="1">
        <v>46062</v>
      </c>
      <c r="B356" t="s">
        <v>904</v>
      </c>
      <c r="C356" t="s">
        <v>96</v>
      </c>
    </row>
    <row r="357" spans="1:3" x14ac:dyDescent="0.4">
      <c r="A357" s="1">
        <v>46062</v>
      </c>
      <c r="B357" t="s">
        <v>906</v>
      </c>
      <c r="C357" t="s">
        <v>96</v>
      </c>
    </row>
    <row r="358" spans="1:3" x14ac:dyDescent="0.4">
      <c r="A358" s="1">
        <v>46062</v>
      </c>
      <c r="B358" t="s">
        <v>910</v>
      </c>
      <c r="C358" t="s">
        <v>96</v>
      </c>
    </row>
    <row r="359" spans="1:3" x14ac:dyDescent="0.4">
      <c r="A359" s="1">
        <v>46062</v>
      </c>
      <c r="B359" t="s">
        <v>913</v>
      </c>
      <c r="C359" t="s">
        <v>96</v>
      </c>
    </row>
    <row r="360" spans="1:3" x14ac:dyDescent="0.4">
      <c r="A360" s="1">
        <v>46062</v>
      </c>
      <c r="B360" t="s">
        <v>915</v>
      </c>
      <c r="C360" t="s">
        <v>96</v>
      </c>
    </row>
    <row r="361" spans="1:3" x14ac:dyDescent="0.4">
      <c r="A361" s="1">
        <v>46062</v>
      </c>
      <c r="B361" t="s">
        <v>920</v>
      </c>
      <c r="C361" t="s">
        <v>96</v>
      </c>
    </row>
    <row r="362" spans="1:3" x14ac:dyDescent="0.4">
      <c r="A362" s="1">
        <v>46063</v>
      </c>
      <c r="B362" t="s">
        <v>111</v>
      </c>
      <c r="C362" t="s">
        <v>402</v>
      </c>
    </row>
    <row r="363" spans="1:3" x14ac:dyDescent="0.4">
      <c r="A363" s="1">
        <v>46063</v>
      </c>
      <c r="B363" t="s">
        <v>323</v>
      </c>
      <c r="C363" t="s">
        <v>402</v>
      </c>
    </row>
    <row r="364" spans="1:3" x14ac:dyDescent="0.4">
      <c r="A364" s="1">
        <v>46063</v>
      </c>
      <c r="B364" t="s">
        <v>108</v>
      </c>
      <c r="C364" t="s">
        <v>402</v>
      </c>
    </row>
    <row r="365" spans="1:3" x14ac:dyDescent="0.4">
      <c r="A365" s="1">
        <v>46066</v>
      </c>
      <c r="B365" t="s">
        <v>634</v>
      </c>
      <c r="C365" t="s">
        <v>402</v>
      </c>
    </row>
    <row r="366" spans="1:3" x14ac:dyDescent="0.4">
      <c r="A366" s="1">
        <v>46066</v>
      </c>
      <c r="B366" t="s">
        <v>426</v>
      </c>
      <c r="C366" t="s">
        <v>402</v>
      </c>
    </row>
    <row r="367" spans="1:3" x14ac:dyDescent="0.4">
      <c r="A367" s="1">
        <v>46066</v>
      </c>
      <c r="B367" t="s">
        <v>721</v>
      </c>
      <c r="C367" t="s">
        <v>402</v>
      </c>
    </row>
    <row r="368" spans="1:3" x14ac:dyDescent="0.4">
      <c r="A368" s="1">
        <v>46069</v>
      </c>
      <c r="C368" t="s">
        <v>940</v>
      </c>
    </row>
    <row r="369" spans="1:3" x14ac:dyDescent="0.4">
      <c r="A369" s="1">
        <v>46069</v>
      </c>
      <c r="B369" t="s">
        <v>949</v>
      </c>
      <c r="C369" t="s">
        <v>96</v>
      </c>
    </row>
    <row r="370" spans="1:3" x14ac:dyDescent="0.4">
      <c r="A370" s="1">
        <v>46069</v>
      </c>
      <c r="B370" t="s">
        <v>925</v>
      </c>
      <c r="C370" t="s">
        <v>96</v>
      </c>
    </row>
    <row r="371" spans="1:3" x14ac:dyDescent="0.4">
      <c r="A371" s="1">
        <v>46069</v>
      </c>
      <c r="B371" t="s">
        <v>928</v>
      </c>
      <c r="C371" t="s">
        <v>96</v>
      </c>
    </row>
    <row r="372" spans="1:3" x14ac:dyDescent="0.4">
      <c r="A372" s="1">
        <v>46069</v>
      </c>
      <c r="B372" t="s">
        <v>937</v>
      </c>
      <c r="C372" t="s">
        <v>96</v>
      </c>
    </row>
    <row r="373" spans="1:3" x14ac:dyDescent="0.4">
      <c r="A373" s="1">
        <v>46069</v>
      </c>
      <c r="B373" t="s">
        <v>941</v>
      </c>
      <c r="C373" t="s">
        <v>96</v>
      </c>
    </row>
    <row r="374" spans="1:3" x14ac:dyDescent="0.4">
      <c r="A374" s="1">
        <v>46070</v>
      </c>
      <c r="B374" t="s">
        <v>964</v>
      </c>
      <c r="C374" t="s">
        <v>96</v>
      </c>
    </row>
    <row r="375" spans="1:3" x14ac:dyDescent="0.4">
      <c r="A375" s="1">
        <v>46070</v>
      </c>
      <c r="B375" t="s">
        <v>883</v>
      </c>
      <c r="C375" t="s">
        <v>402</v>
      </c>
    </row>
    <row r="376" spans="1:3" x14ac:dyDescent="0.4">
      <c r="A376" s="1">
        <v>46070</v>
      </c>
      <c r="B376" t="s">
        <v>540</v>
      </c>
      <c r="C376" t="s">
        <v>402</v>
      </c>
    </row>
    <row r="377" spans="1:3" x14ac:dyDescent="0.4">
      <c r="A377" s="1">
        <v>46070</v>
      </c>
      <c r="B377" t="s">
        <v>934</v>
      </c>
      <c r="C377" t="s">
        <v>96</v>
      </c>
    </row>
    <row r="378" spans="1:3" x14ac:dyDescent="0.4">
      <c r="A378" s="1">
        <v>46070</v>
      </c>
      <c r="B378" t="s">
        <v>955</v>
      </c>
      <c r="C378" t="s">
        <v>96</v>
      </c>
    </row>
    <row r="379" spans="1:3" x14ac:dyDescent="0.4">
      <c r="A379" s="1">
        <v>46070</v>
      </c>
      <c r="B379" t="s">
        <v>952</v>
      </c>
      <c r="C379" t="s">
        <v>96</v>
      </c>
    </row>
    <row r="380" spans="1:3" x14ac:dyDescent="0.4">
      <c r="A380" s="1">
        <v>46070</v>
      </c>
      <c r="B380" t="s">
        <v>797</v>
      </c>
      <c r="C380" t="s">
        <v>402</v>
      </c>
    </row>
    <row r="381" spans="1:3" x14ac:dyDescent="0.4">
      <c r="A381" s="1">
        <v>46072</v>
      </c>
      <c r="B381" t="s">
        <v>965</v>
      </c>
      <c r="C381" t="s">
        <v>96</v>
      </c>
    </row>
    <row r="382" spans="1:3" x14ac:dyDescent="0.4">
      <c r="A382" s="1">
        <v>46073</v>
      </c>
      <c r="B382" t="s">
        <v>889</v>
      </c>
      <c r="C382" t="s">
        <v>405</v>
      </c>
    </row>
    <row r="383" spans="1:3" x14ac:dyDescent="0.4">
      <c r="A383" s="1">
        <v>46076</v>
      </c>
      <c r="B383" t="s">
        <v>598</v>
      </c>
      <c r="C383" t="s">
        <v>402</v>
      </c>
    </row>
    <row r="384" spans="1:3" x14ac:dyDescent="0.4">
      <c r="A384" s="1">
        <v>46076</v>
      </c>
      <c r="B384" t="s">
        <v>825</v>
      </c>
      <c r="C384" t="s">
        <v>402</v>
      </c>
    </row>
    <row r="385" spans="1:3" x14ac:dyDescent="0.4">
      <c r="A385" s="1">
        <v>46076</v>
      </c>
      <c r="B385" t="s">
        <v>88</v>
      </c>
      <c r="C385" t="s">
        <v>402</v>
      </c>
    </row>
    <row r="386" spans="1:3" x14ac:dyDescent="0.4">
      <c r="A386" s="1">
        <v>46079</v>
      </c>
      <c r="B386" t="s">
        <v>277</v>
      </c>
      <c r="C386" t="s">
        <v>402</v>
      </c>
    </row>
    <row r="387" spans="1:3" x14ac:dyDescent="0.4">
      <c r="A387" s="1">
        <v>46079</v>
      </c>
      <c r="B387" t="s">
        <v>65</v>
      </c>
      <c r="C387" t="s">
        <v>402</v>
      </c>
    </row>
    <row r="388" spans="1:3" x14ac:dyDescent="0.4">
      <c r="A388" s="1">
        <v>46080</v>
      </c>
      <c r="B388" t="s">
        <v>723</v>
      </c>
      <c r="C388" t="s">
        <v>402</v>
      </c>
    </row>
    <row r="389" spans="1:3" x14ac:dyDescent="0.4">
      <c r="A389" s="1">
        <v>46083</v>
      </c>
      <c r="B389" t="s">
        <v>593</v>
      </c>
      <c r="C389" t="s">
        <v>402</v>
      </c>
    </row>
    <row r="390" spans="1:3" x14ac:dyDescent="0.4">
      <c r="A390" s="1">
        <v>46083</v>
      </c>
      <c r="B390" t="s">
        <v>855</v>
      </c>
      <c r="C390" t="s">
        <v>402</v>
      </c>
    </row>
    <row r="391" spans="1:3" x14ac:dyDescent="0.4">
      <c r="A391" s="1">
        <v>46084</v>
      </c>
      <c r="B391" t="s">
        <v>721</v>
      </c>
      <c r="C391" t="s">
        <v>402</v>
      </c>
    </row>
    <row r="392" spans="1:3" x14ac:dyDescent="0.4">
      <c r="A392" s="1">
        <v>46084</v>
      </c>
      <c r="B392" t="s">
        <v>619</v>
      </c>
      <c r="C392" t="s">
        <v>402</v>
      </c>
    </row>
    <row r="393" spans="1:3" x14ac:dyDescent="0.4">
      <c r="A393" s="1">
        <v>46086</v>
      </c>
      <c r="B393" t="s">
        <v>820</v>
      </c>
      <c r="C393" t="s">
        <v>402</v>
      </c>
    </row>
    <row r="394" spans="1:3" x14ac:dyDescent="0.4">
      <c r="A394" s="1">
        <v>46086</v>
      </c>
      <c r="B394" t="s">
        <v>808</v>
      </c>
      <c r="C394" t="s">
        <v>402</v>
      </c>
    </row>
  </sheetData>
  <conditionalFormatting sqref="B383">
    <cfRule type="duplicateValues" dxfId="9" priority="10"/>
  </conditionalFormatting>
  <conditionalFormatting sqref="B384">
    <cfRule type="duplicateValues" dxfId="8" priority="9"/>
  </conditionalFormatting>
  <conditionalFormatting sqref="B385">
    <cfRule type="duplicateValues" dxfId="7" priority="8"/>
  </conditionalFormatting>
  <conditionalFormatting sqref="B387">
    <cfRule type="duplicateValues" dxfId="6" priority="7"/>
  </conditionalFormatting>
  <conditionalFormatting sqref="B389">
    <cfRule type="duplicateValues" dxfId="5" priority="6"/>
  </conditionalFormatting>
  <conditionalFormatting sqref="B390">
    <cfRule type="duplicateValues" dxfId="4" priority="5"/>
  </conditionalFormatting>
  <conditionalFormatting sqref="B391">
    <cfRule type="duplicateValues" dxfId="3" priority="4"/>
  </conditionalFormatting>
  <conditionalFormatting sqref="B392">
    <cfRule type="duplicateValues" dxfId="2" priority="3"/>
  </conditionalFormatting>
  <conditionalFormatting sqref="B393">
    <cfRule type="duplicateValues" dxfId="1" priority="2"/>
  </conditionalFormatting>
  <conditionalFormatting sqref="B394">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A11" sqref="A11"/>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308</v>
      </c>
      <c r="C1" s="22">
        <f>COUNTIF(sum!I:I, "completed")/(B1-COUNTIF(sum!I:I, "abandoned")-COUNTIF(sum!I:I, "late app"))</f>
        <v>1</v>
      </c>
      <c r="D1" s="21">
        <f>COUNTIF(sum!I:I, "completed")</f>
        <v>297</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308</v>
      </c>
      <c r="C5" s="14">
        <f>B5/B1</f>
        <v>1</v>
      </c>
    </row>
    <row r="6" spans="1:4" x14ac:dyDescent="0.4">
      <c r="A6" s="13" t="s">
        <v>401</v>
      </c>
      <c r="B6" s="16">
        <f>COUNTIFS(sum!J:J,"no news")</f>
        <v>272</v>
      </c>
      <c r="C6" s="10">
        <f>B6/$B$5</f>
        <v>0.88311688311688308</v>
      </c>
    </row>
    <row r="7" spans="1:4" x14ac:dyDescent="0.4">
      <c r="A7" s="13" t="s">
        <v>402</v>
      </c>
      <c r="B7" s="16">
        <f>COUNTIFS(sum!J:J,"rejected")</f>
        <v>28</v>
      </c>
      <c r="C7" s="10">
        <f t="shared" ref="C7:C10" si="0">B7/$B$5</f>
        <v>9.0909090909090912E-2</v>
      </c>
    </row>
    <row r="8" spans="1:4" x14ac:dyDescent="0.4">
      <c r="A8" s="13" t="s">
        <v>403</v>
      </c>
      <c r="B8" s="16">
        <f>COUNTIFS(sum!J:J,"interview") + COUNTIFS(sum!J:J,"fly out") + COUNTIFS(sum!J:J,"offer")</f>
        <v>8</v>
      </c>
      <c r="C8" s="10">
        <f t="shared" si="0"/>
        <v>2.5974025974025976E-2</v>
      </c>
    </row>
    <row r="9" spans="1:4" x14ac:dyDescent="0.4">
      <c r="A9" s="18" t="s">
        <v>404</v>
      </c>
      <c r="B9" s="16">
        <f xml:space="preserve"> COUNTIFS(sum!J:J,"fly out") + COUNTIFS(sum!J:J,"offer")</f>
        <v>1</v>
      </c>
      <c r="C9" s="10">
        <f t="shared" si="0"/>
        <v>3.246753246753247E-3</v>
      </c>
    </row>
    <row r="10" spans="1:4" x14ac:dyDescent="0.4">
      <c r="A10" s="13" t="s">
        <v>405</v>
      </c>
      <c r="B10" s="16">
        <f>COUNTIFS(sum!J:J,"offer")</f>
        <v>0</v>
      </c>
      <c r="C10" s="10">
        <f t="shared" si="0"/>
        <v>0</v>
      </c>
    </row>
    <row r="11" spans="1:4" x14ac:dyDescent="0.4">
      <c r="A11" s="23" t="s">
        <v>903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2026-03-06T03:03:49Z</dcterms:modified>
</cp:coreProperties>
</file>