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javie\Dropbox\Work\Job Search\2025 EconJM\"/>
    </mc:Choice>
  </mc:AlternateContent>
  <xr:revisionPtr revIDLastSave="0" documentId="13_ncr:1_{B5E492A9-30AE-401B-9934-DDC120683073}" xr6:coauthVersionLast="47" xr6:coauthVersionMax="47" xr10:uidLastSave="{00000000-0000-0000-0000-000000000000}"/>
  <bookViews>
    <workbookView xWindow="-110" yWindow="-110" windowWidth="25820" windowHeight="14620" xr2:uid="{6FE48536-7E5C-BF4C-9490-2A6392576298}"/>
  </bookViews>
  <sheets>
    <sheet name="sum" sheetId="1" r:id="rId1"/>
    <sheet name="timeline" sheetId="2" r:id="rId2"/>
    <sheet name="stats" sheetId="3" r:id="rId3"/>
  </sheets>
  <definedNames>
    <definedName name="_xlnm._FilterDatabase" localSheetId="0" hidden="1">sum!$A$1:$V$19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3" l="1"/>
  <c r="B3" i="3"/>
  <c r="C3" i="3" s="1"/>
  <c r="B5" i="3"/>
  <c r="B10" i="3"/>
  <c r="B9" i="3"/>
  <c r="B8" i="3"/>
  <c r="B7" i="3"/>
  <c r="B2" i="3"/>
  <c r="C2" i="3" s="1"/>
  <c r="B1" i="3"/>
  <c r="C1" i="3" s="1"/>
  <c r="C7" i="3" l="1"/>
  <c r="C10" i="3"/>
  <c r="C5" i="3"/>
  <c r="C8" i="3"/>
  <c r="C6" i="3"/>
  <c r="C9" i="3"/>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03">
    <bk>
      <extLst>
        <ext uri="{3e2802c4-a4d2-4d8b-9148-e3be6c30e623}">
          <xlrd:rvb i="0"/>
        </ext>
      </extLst>
    </bk>
    <bk>
      <extLst>
        <ext uri="{3e2802c4-a4d2-4d8b-9148-e3be6c30e623}">
          <xlrd:rvb i="980"/>
        </ext>
      </extLst>
    </bk>
    <bk>
      <extLst>
        <ext uri="{3e2802c4-a4d2-4d8b-9148-e3be6c30e623}">
          <xlrd:rvb i="1059"/>
        </ext>
      </extLst>
    </bk>
    <bk>
      <extLst>
        <ext uri="{3e2802c4-a4d2-4d8b-9148-e3be6c30e623}">
          <xlrd:rvb i="52"/>
        </ext>
      </extLst>
    </bk>
    <bk>
      <extLst>
        <ext uri="{3e2802c4-a4d2-4d8b-9148-e3be6c30e623}">
          <xlrd:rvb i="1070"/>
        </ext>
      </extLst>
    </bk>
    <bk>
      <extLst>
        <ext uri="{3e2802c4-a4d2-4d8b-9148-e3be6c30e623}">
          <xlrd:rvb i="1153"/>
        </ext>
      </extLst>
    </bk>
    <bk>
      <extLst>
        <ext uri="{3e2802c4-a4d2-4d8b-9148-e3be6c30e623}">
          <xlrd:rvb i="1250"/>
        </ext>
      </extLst>
    </bk>
    <bk>
      <extLst>
        <ext uri="{3e2802c4-a4d2-4d8b-9148-e3be6c30e623}">
          <xlrd:rvb i="128"/>
        </ext>
      </extLst>
    </bk>
    <bk>
      <extLst>
        <ext uri="{3e2802c4-a4d2-4d8b-9148-e3be6c30e623}">
          <xlrd:rvb i="1259"/>
        </ext>
      </extLst>
    </bk>
    <bk>
      <extLst>
        <ext uri="{3e2802c4-a4d2-4d8b-9148-e3be6c30e623}">
          <xlrd:rvb i="1089"/>
        </ext>
      </extLst>
    </bk>
    <bk>
      <extLst>
        <ext uri="{3e2802c4-a4d2-4d8b-9148-e3be6c30e623}">
          <xlrd:rvb i="132"/>
        </ext>
      </extLst>
    </bk>
    <bk>
      <extLst>
        <ext uri="{3e2802c4-a4d2-4d8b-9148-e3be6c30e623}">
          <xlrd:rvb i="97"/>
        </ext>
      </extLst>
    </bk>
    <bk>
      <extLst>
        <ext uri="{3e2802c4-a4d2-4d8b-9148-e3be6c30e623}">
          <xlrd:rvb i="1336"/>
        </ext>
      </extLst>
    </bk>
    <bk>
      <extLst>
        <ext uri="{3e2802c4-a4d2-4d8b-9148-e3be6c30e623}">
          <xlrd:rvb i="1401"/>
        </ext>
      </extLst>
    </bk>
    <bk>
      <extLst>
        <ext uri="{3e2802c4-a4d2-4d8b-9148-e3be6c30e623}">
          <xlrd:rvb i="1456"/>
        </ext>
      </extLst>
    </bk>
    <bk>
      <extLst>
        <ext uri="{3e2802c4-a4d2-4d8b-9148-e3be6c30e623}">
          <xlrd:rvb i="130"/>
        </ext>
      </extLst>
    </bk>
    <bk>
      <extLst>
        <ext uri="{3e2802c4-a4d2-4d8b-9148-e3be6c30e623}">
          <xlrd:rvb i="92"/>
        </ext>
      </extLst>
    </bk>
    <bk>
      <extLst>
        <ext uri="{3e2802c4-a4d2-4d8b-9148-e3be6c30e623}">
          <xlrd:rvb i="1467"/>
        </ext>
      </extLst>
    </bk>
    <bk>
      <extLst>
        <ext uri="{3e2802c4-a4d2-4d8b-9148-e3be6c30e623}">
          <xlrd:rvb i="112"/>
        </ext>
      </extLst>
    </bk>
    <bk>
      <extLst>
        <ext uri="{3e2802c4-a4d2-4d8b-9148-e3be6c30e623}">
          <xlrd:rvb i="124"/>
        </ext>
      </extLst>
    </bk>
    <bk>
      <extLst>
        <ext uri="{3e2802c4-a4d2-4d8b-9148-e3be6c30e623}">
          <xlrd:rvb i="1478"/>
        </ext>
      </extLst>
    </bk>
    <bk>
      <extLst>
        <ext uri="{3e2802c4-a4d2-4d8b-9148-e3be6c30e623}">
          <xlrd:rvb i="496"/>
        </ext>
      </extLst>
    </bk>
    <bk>
      <extLst>
        <ext uri="{3e2802c4-a4d2-4d8b-9148-e3be6c30e623}">
          <xlrd:rvb i="129"/>
        </ext>
      </extLst>
    </bk>
    <bk>
      <extLst>
        <ext uri="{3e2802c4-a4d2-4d8b-9148-e3be6c30e623}">
          <xlrd:rvb i="1553"/>
        </ext>
      </extLst>
    </bk>
    <bk>
      <extLst>
        <ext uri="{3e2802c4-a4d2-4d8b-9148-e3be6c30e623}">
          <xlrd:rvb i="1564"/>
        </ext>
      </extLst>
    </bk>
    <bk>
      <extLst>
        <ext uri="{3e2802c4-a4d2-4d8b-9148-e3be6c30e623}">
          <xlrd:rvb i="416"/>
        </ext>
      </extLst>
    </bk>
    <bk>
      <extLst>
        <ext uri="{3e2802c4-a4d2-4d8b-9148-e3be6c30e623}">
          <xlrd:rvb i="105"/>
        </ext>
      </extLst>
    </bk>
    <bk>
      <extLst>
        <ext uri="{3e2802c4-a4d2-4d8b-9148-e3be6c30e623}">
          <xlrd:rvb i="121"/>
        </ext>
      </extLst>
    </bk>
    <bk>
      <extLst>
        <ext uri="{3e2802c4-a4d2-4d8b-9148-e3be6c30e623}">
          <xlrd:rvb i="1482"/>
        </ext>
      </extLst>
    </bk>
    <bk>
      <extLst>
        <ext uri="{3e2802c4-a4d2-4d8b-9148-e3be6c30e623}">
          <xlrd:rvb i="102"/>
        </ext>
      </extLst>
    </bk>
    <bk>
      <extLst>
        <ext uri="{3e2802c4-a4d2-4d8b-9148-e3be6c30e623}">
          <xlrd:rvb i="114"/>
        </ext>
      </extLst>
    </bk>
    <bk>
      <extLst>
        <ext uri="{3e2802c4-a4d2-4d8b-9148-e3be6c30e623}">
          <xlrd:rvb i="93"/>
        </ext>
      </extLst>
    </bk>
    <bk>
      <extLst>
        <ext uri="{3e2802c4-a4d2-4d8b-9148-e3be6c30e623}">
          <xlrd:rvb i="1626"/>
        </ext>
      </extLst>
    </bk>
    <bk>
      <extLst>
        <ext uri="{3e2802c4-a4d2-4d8b-9148-e3be6c30e623}">
          <xlrd:rvb i="1637"/>
        </ext>
      </extLst>
    </bk>
    <bk>
      <extLst>
        <ext uri="{3e2802c4-a4d2-4d8b-9148-e3be6c30e623}">
          <xlrd:rvb i="191"/>
        </ext>
      </extLst>
    </bk>
    <bk>
      <extLst>
        <ext uri="{3e2802c4-a4d2-4d8b-9148-e3be6c30e623}">
          <xlrd:rvb i="1647"/>
        </ext>
      </extLst>
    </bk>
    <bk>
      <extLst>
        <ext uri="{3e2802c4-a4d2-4d8b-9148-e3be6c30e623}">
          <xlrd:rvb i="1648"/>
        </ext>
      </extLst>
    </bk>
    <bk>
      <extLst>
        <ext uri="{3e2802c4-a4d2-4d8b-9148-e3be6c30e623}">
          <xlrd:rvb i="135"/>
        </ext>
      </extLst>
    </bk>
    <bk>
      <extLst>
        <ext uri="{3e2802c4-a4d2-4d8b-9148-e3be6c30e623}">
          <xlrd:rvb i="100"/>
        </ext>
      </extLst>
    </bk>
    <bk>
      <extLst>
        <ext uri="{3e2802c4-a4d2-4d8b-9148-e3be6c30e623}">
          <xlrd:rvb i="108"/>
        </ext>
      </extLst>
    </bk>
    <bk>
      <extLst>
        <ext uri="{3e2802c4-a4d2-4d8b-9148-e3be6c30e623}">
          <xlrd:rvb i="984"/>
        </ext>
      </extLst>
    </bk>
    <bk>
      <extLst>
        <ext uri="{3e2802c4-a4d2-4d8b-9148-e3be6c30e623}">
          <xlrd:rvb i="96"/>
        </ext>
      </extLst>
    </bk>
    <bk>
      <extLst>
        <ext uri="{3e2802c4-a4d2-4d8b-9148-e3be6c30e623}">
          <xlrd:rvb i="122"/>
        </ext>
      </extLst>
    </bk>
    <bk>
      <extLst>
        <ext uri="{3e2802c4-a4d2-4d8b-9148-e3be6c30e623}">
          <xlrd:rvb i="1724"/>
        </ext>
      </extLst>
    </bk>
    <bk>
      <extLst>
        <ext uri="{3e2802c4-a4d2-4d8b-9148-e3be6c30e623}">
          <xlrd:rvb i="1735"/>
        </ext>
      </extLst>
    </bk>
    <bk>
      <extLst>
        <ext uri="{3e2802c4-a4d2-4d8b-9148-e3be6c30e623}">
          <xlrd:rvb i="1793"/>
        </ext>
      </extLst>
    </bk>
    <bk>
      <extLst>
        <ext uri="{3e2802c4-a4d2-4d8b-9148-e3be6c30e623}">
          <xlrd:rvb i="1863"/>
        </ext>
      </extLst>
    </bk>
    <bk>
      <extLst>
        <ext uri="{3e2802c4-a4d2-4d8b-9148-e3be6c30e623}">
          <xlrd:rvb i="1933"/>
        </ext>
      </extLst>
    </bk>
    <bk>
      <extLst>
        <ext uri="{3e2802c4-a4d2-4d8b-9148-e3be6c30e623}">
          <xlrd:rvb i="1028"/>
        </ext>
      </extLst>
    </bk>
    <bk>
      <extLst>
        <ext uri="{3e2802c4-a4d2-4d8b-9148-e3be6c30e623}">
          <xlrd:rvb i="1942"/>
        </ext>
      </extLst>
    </bk>
    <bk>
      <extLst>
        <ext uri="{3e2802c4-a4d2-4d8b-9148-e3be6c30e623}">
          <xlrd:rvb i="127"/>
        </ext>
      </extLst>
    </bk>
    <bk>
      <extLst>
        <ext uri="{3e2802c4-a4d2-4d8b-9148-e3be6c30e623}">
          <xlrd:rvb i="1953"/>
        </ext>
      </extLst>
    </bk>
    <bk>
      <extLst>
        <ext uri="{3e2802c4-a4d2-4d8b-9148-e3be6c30e623}">
          <xlrd:rvb i="1965"/>
        </ext>
      </extLst>
    </bk>
    <bk>
      <extLst>
        <ext uri="{3e2802c4-a4d2-4d8b-9148-e3be6c30e623}">
          <xlrd:rvb i="1263"/>
        </ext>
      </extLst>
    </bk>
    <bk>
      <extLst>
        <ext uri="{3e2802c4-a4d2-4d8b-9148-e3be6c30e623}">
          <xlrd:rvb i="2035"/>
        </ext>
      </extLst>
    </bk>
    <bk>
      <extLst>
        <ext uri="{3e2802c4-a4d2-4d8b-9148-e3be6c30e623}">
          <xlrd:rvb i="2046"/>
        </ext>
      </extLst>
    </bk>
    <bk>
      <extLst>
        <ext uri="{3e2802c4-a4d2-4d8b-9148-e3be6c30e623}">
          <xlrd:rvb i="2107"/>
        </ext>
      </extLst>
    </bk>
    <bk>
      <extLst>
        <ext uri="{3e2802c4-a4d2-4d8b-9148-e3be6c30e623}">
          <xlrd:rvb i="2116"/>
        </ext>
      </extLst>
    </bk>
    <bk>
      <extLst>
        <ext uri="{3e2802c4-a4d2-4d8b-9148-e3be6c30e623}">
          <xlrd:rvb i="2127"/>
        </ext>
      </extLst>
    </bk>
    <bk>
      <extLst>
        <ext uri="{3e2802c4-a4d2-4d8b-9148-e3be6c30e623}">
          <xlrd:rvb i="1074"/>
        </ext>
      </extLst>
    </bk>
    <bk>
      <extLst>
        <ext uri="{3e2802c4-a4d2-4d8b-9148-e3be6c30e623}">
          <xlrd:rvb i="1583"/>
        </ext>
      </extLst>
    </bk>
    <bk>
      <extLst>
        <ext uri="{3e2802c4-a4d2-4d8b-9148-e3be6c30e623}">
          <xlrd:rvb i="2134"/>
        </ext>
      </extLst>
    </bk>
    <bk>
      <extLst>
        <ext uri="{3e2802c4-a4d2-4d8b-9148-e3be6c30e623}">
          <xlrd:rvb i="2146"/>
        </ext>
      </extLst>
    </bk>
    <bk>
      <extLst>
        <ext uri="{3e2802c4-a4d2-4d8b-9148-e3be6c30e623}">
          <xlrd:rvb i="1799"/>
        </ext>
      </extLst>
    </bk>
    <bk>
      <extLst>
        <ext uri="{3e2802c4-a4d2-4d8b-9148-e3be6c30e623}">
          <xlrd:rvb i="2157"/>
        </ext>
      </extLst>
    </bk>
    <bk>
      <extLst>
        <ext uri="{3e2802c4-a4d2-4d8b-9148-e3be6c30e623}">
          <xlrd:rvb i="118"/>
        </ext>
      </extLst>
    </bk>
    <bk>
      <extLst>
        <ext uri="{3e2802c4-a4d2-4d8b-9148-e3be6c30e623}">
          <xlrd:rvb i="2193"/>
        </ext>
      </extLst>
    </bk>
    <bk>
      <extLst>
        <ext uri="{3e2802c4-a4d2-4d8b-9148-e3be6c30e623}">
          <xlrd:rvb i="2205"/>
        </ext>
      </extLst>
    </bk>
    <bk>
      <extLst>
        <ext uri="{3e2802c4-a4d2-4d8b-9148-e3be6c30e623}">
          <xlrd:rvb i="1496"/>
        </ext>
      </extLst>
    </bk>
    <bk>
      <extLst>
        <ext uri="{3e2802c4-a4d2-4d8b-9148-e3be6c30e623}">
          <xlrd:rvb i="2247"/>
        </ext>
      </extLst>
    </bk>
    <bk>
      <extLst>
        <ext uri="{3e2802c4-a4d2-4d8b-9148-e3be6c30e623}">
          <xlrd:rvb i="2300"/>
        </ext>
      </extLst>
    </bk>
    <bk>
      <extLst>
        <ext uri="{3e2802c4-a4d2-4d8b-9148-e3be6c30e623}">
          <xlrd:rvb i="2307"/>
        </ext>
      </extLst>
    </bk>
    <bk>
      <extLst>
        <ext uri="{3e2802c4-a4d2-4d8b-9148-e3be6c30e623}">
          <xlrd:rvb i="109"/>
        </ext>
      </extLst>
    </bk>
    <bk>
      <extLst>
        <ext uri="{3e2802c4-a4d2-4d8b-9148-e3be6c30e623}">
          <xlrd:rvb i="2373"/>
        </ext>
      </extLst>
    </bk>
    <bk>
      <extLst>
        <ext uri="{3e2802c4-a4d2-4d8b-9148-e3be6c30e623}">
          <xlrd:rvb i="2310"/>
        </ext>
      </extLst>
    </bk>
    <bk>
      <extLst>
        <ext uri="{3e2802c4-a4d2-4d8b-9148-e3be6c30e623}">
          <xlrd:rvb i="2431"/>
        </ext>
      </extLst>
    </bk>
    <bk>
      <extLst>
        <ext uri="{3e2802c4-a4d2-4d8b-9148-e3be6c30e623}">
          <xlrd:rvb i="2485"/>
        </ext>
      </extLst>
    </bk>
    <bk>
      <extLst>
        <ext uri="{3e2802c4-a4d2-4d8b-9148-e3be6c30e623}">
          <xlrd:rvb i="91"/>
        </ext>
      </extLst>
    </bk>
    <bk>
      <extLst>
        <ext uri="{3e2802c4-a4d2-4d8b-9148-e3be6c30e623}">
          <xlrd:rvb i="90"/>
        </ext>
      </extLst>
    </bk>
    <bk>
      <extLst>
        <ext uri="{3e2802c4-a4d2-4d8b-9148-e3be6c30e623}">
          <xlrd:rvb i="2253"/>
        </ext>
      </extLst>
    </bk>
    <bk>
      <extLst>
        <ext uri="{3e2802c4-a4d2-4d8b-9148-e3be6c30e623}">
          <xlrd:rvb i="2559"/>
        </ext>
      </extLst>
    </bk>
    <bk>
      <extLst>
        <ext uri="{3e2802c4-a4d2-4d8b-9148-e3be6c30e623}">
          <xlrd:rvb i="1"/>
        </ext>
      </extLst>
    </bk>
    <bk>
      <extLst>
        <ext uri="{3e2802c4-a4d2-4d8b-9148-e3be6c30e623}">
          <xlrd:rvb i="890"/>
        </ext>
      </extLst>
    </bk>
    <bk>
      <extLst>
        <ext uri="{3e2802c4-a4d2-4d8b-9148-e3be6c30e623}">
          <xlrd:rvb i="2613"/>
        </ext>
      </extLst>
    </bk>
    <bk>
      <extLst>
        <ext uri="{3e2802c4-a4d2-4d8b-9148-e3be6c30e623}">
          <xlrd:rvb i="2738"/>
        </ext>
      </extLst>
    </bk>
    <bk>
      <extLst>
        <ext uri="{3e2802c4-a4d2-4d8b-9148-e3be6c30e623}">
          <xlrd:rvb i="1339"/>
        </ext>
      </extLst>
    </bk>
    <bk>
      <extLst>
        <ext uri="{3e2802c4-a4d2-4d8b-9148-e3be6c30e623}">
          <xlrd:rvb i="2749"/>
        </ext>
      </extLst>
    </bk>
    <bk>
      <extLst>
        <ext uri="{3e2802c4-a4d2-4d8b-9148-e3be6c30e623}">
          <xlrd:rvb i="2801"/>
        </ext>
      </extLst>
    </bk>
    <bk>
      <extLst>
        <ext uri="{3e2802c4-a4d2-4d8b-9148-e3be6c30e623}">
          <xlrd:rvb i="2852"/>
        </ext>
      </extLst>
    </bk>
    <bk>
      <extLst>
        <ext uri="{3e2802c4-a4d2-4d8b-9148-e3be6c30e623}">
          <xlrd:rvb i="2863"/>
        </ext>
      </extLst>
    </bk>
    <bk>
      <extLst>
        <ext uri="{3e2802c4-a4d2-4d8b-9148-e3be6c30e623}">
          <xlrd:rvb i="819"/>
        </ext>
      </extLst>
    </bk>
    <bk>
      <extLst>
        <ext uri="{3e2802c4-a4d2-4d8b-9148-e3be6c30e623}">
          <xlrd:rvb i="120"/>
        </ext>
      </extLst>
    </bk>
    <bk>
      <extLst>
        <ext uri="{3e2802c4-a4d2-4d8b-9148-e3be6c30e623}">
          <xlrd:rvb i="2803"/>
        </ext>
      </extLst>
    </bk>
    <bk>
      <extLst>
        <ext uri="{3e2802c4-a4d2-4d8b-9148-e3be6c30e623}">
          <xlrd:rvb i="2922"/>
        </ext>
      </extLst>
    </bk>
    <bk>
      <extLst>
        <ext uri="{3e2802c4-a4d2-4d8b-9148-e3be6c30e623}">
          <xlrd:rvb i="2986"/>
        </ext>
      </extLst>
    </bk>
    <bk>
      <extLst>
        <ext uri="{3e2802c4-a4d2-4d8b-9148-e3be6c30e623}">
          <xlrd:rvb i="110"/>
        </ext>
      </extLst>
    </bk>
    <bk>
      <extLst>
        <ext uri="{3e2802c4-a4d2-4d8b-9148-e3be6c30e623}">
          <xlrd:rvb i="2995"/>
        </ext>
      </extLst>
    </bk>
    <bk>
      <extLst>
        <ext uri="{3e2802c4-a4d2-4d8b-9148-e3be6c30e623}">
          <xlrd:rvb i="2563"/>
        </ext>
      </extLst>
    </bk>
    <bk>
      <extLst>
        <ext uri="{3e2802c4-a4d2-4d8b-9148-e3be6c30e623}">
          <xlrd:rvb i="94"/>
        </ext>
      </extLst>
    </bk>
    <bk>
      <extLst>
        <ext uri="{3e2802c4-a4d2-4d8b-9148-e3be6c30e623}">
          <xlrd:rvb i="3040"/>
        </ext>
      </extLst>
    </bk>
    <bk>
      <extLst>
        <ext uri="{3e2802c4-a4d2-4d8b-9148-e3be6c30e623}">
          <xlrd:rvb i="3164"/>
        </ext>
      </extLst>
    </bk>
    <bk>
      <extLst>
        <ext uri="{3e2802c4-a4d2-4d8b-9148-e3be6c30e623}">
          <xlrd:rvb i="131"/>
        </ext>
      </extLst>
    </bk>
    <bk>
      <extLst>
        <ext uri="{3e2802c4-a4d2-4d8b-9148-e3be6c30e623}">
          <xlrd:rvb i="3209"/>
        </ext>
      </extLst>
    </bk>
  </futureMetadata>
  <valueMetadata count="103">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bk>
      <rc t="1" v="100"/>
    </bk>
    <bk>
      <rc t="1" v="101"/>
    </bk>
    <bk>
      <rc t="1" v="102"/>
    </bk>
  </valueMetadata>
</metadata>
</file>

<file path=xl/sharedStrings.xml><?xml version="1.0" encoding="utf-8"?>
<sst xmlns="http://schemas.openxmlformats.org/spreadsheetml/2006/main" count="2380" uniqueCount="777">
  <si>
    <t>add_id</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</si>
  <si>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</si>
  <si>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</si>
  <si>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</si>
  <si>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</si>
  <si>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</si>
  <si>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</si>
  <si>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</si>
  <si>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</si>
  <si>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</si>
  <si>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</si>
  <si>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</si>
  <si>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</si>
  <si>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</si>
  <si>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</si>
  <si>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</si>
  <si>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</si>
  <si>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</si>
  <si>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</si>
  <si>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teaching</t>
  </si>
  <si>
    <t>need_cover_letter</t>
  </si>
  <si>
    <t>need_RS</t>
  </si>
  <si>
    <t>need_TS</t>
  </si>
  <si>
    <t>generating docs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</si>
  <si>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</si>
  <si>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</si>
  <si>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</si>
  <si>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</si>
  <si>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</si>
  <si>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</si>
  <si>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</si>
  <si>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</si>
  <si>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</si>
  <si>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</si>
  <si>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</si>
  <si>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</si>
  <si>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</si>
  <si>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</si>
  <si>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</si>
  <si>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</si>
  <si>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</si>
  <si>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</si>
  <si>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</si>
  <si>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</si>
  <si>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</si>
  <si>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</si>
  <si>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</si>
  <si>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</si>
  <si>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</si>
  <si>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</si>
  <si>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</si>
  <si>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</si>
  <si>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</si>
  <si>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</si>
  <si>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</si>
  <si>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</si>
  <si>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</si>
  <si>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</si>
  <si>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Analysis Group</t>
  </si>
  <si>
    <t>babson_1</t>
  </si>
  <si>
    <t>Babson College</t>
  </si>
  <si>
    <t>adjunct</t>
  </si>
  <si>
    <t>https://babson.peopleadmin.com/postings/6541</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</si>
  <si>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</si>
  <si>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</si>
  <si>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</si>
  <si>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</si>
  <si>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</si>
  <si>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</si>
  <si>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</si>
  <si>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</si>
  <si>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</si>
  <si>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</si>
  <si>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</si>
  <si>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</si>
  <si>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</si>
  <si>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</si>
  <si>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</si>
  <si>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</si>
  <si>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</si>
  <si>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</si>
  <si>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</si>
  <si>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</si>
  <si>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</si>
  <si>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</si>
  <si>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</si>
  <si>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</si>
  <si>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</si>
  <si>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</si>
  <si>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</si>
  <si>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</si>
  <si>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</si>
  <si>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</si>
  <si>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</si>
  <si>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</si>
  <si>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</si>
  <si>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</si>
  <si>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</si>
  <si>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</si>
  <si>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</si>
  <si>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</si>
  <si>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</si>
  <si>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</si>
  <si>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</si>
  <si>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</si>
  <si>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</si>
  <si>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</si>
  <si>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</si>
  <si>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</si>
  <si>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</si>
  <si>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</si>
  <si>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</si>
  <si>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</si>
  <si>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</si>
  <si>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</si>
  <si>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</si>
  <si>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</si>
  <si>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</si>
  <si>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</si>
  <si>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</si>
  <si>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</si>
  <si>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</si>
  <si>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</si>
  <si>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</si>
  <si>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</si>
  <si>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</si>
  <si>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</si>
  <si>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</si>
  <si>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</si>
  <si>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</si>
  <si>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</si>
  <si>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</si>
  <si>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</si>
  <si>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</si>
  <si>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</si>
  <si>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</si>
  <si>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</si>
  <si>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</si>
  <si>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</si>
  <si>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</si>
  <si>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</si>
  <si>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</si>
  <si>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</si>
  <si>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</si>
  <si>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</si>
  <si>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</si>
  <si>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</si>
  <si>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</si>
  <si>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</si>
  <si>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</si>
  <si>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</si>
  <si>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</si>
  <si>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</si>
  <si>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</si>
  <si>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</si>
  <si>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</si>
  <si>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</si>
  <si>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</si>
  <si>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</si>
  <si>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</si>
  <si>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</si>
  <si>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</si>
  <si>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</si>
  <si>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</si>
  <si>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</si>
  <si>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</si>
  <si>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</si>
  <si>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</si>
  <si>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</si>
  <si>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</si>
  <si>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</si>
  <si>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</si>
  <si>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</si>
  <si>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</si>
  <si>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</si>
  <si>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</si>
  <si>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</si>
  <si>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</si>
  <si>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</si>
  <si>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</si>
  <si>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</si>
  <si>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</si>
  <si>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</si>
  <si>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</si>
  <si>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</si>
  <si>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</si>
  <si>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</si>
  <si>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</si>
  <si>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</si>
  <si>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</si>
  <si>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</si>
  <si>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</si>
  <si>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</si>
  <si>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</si>
  <si>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</si>
  <si>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</si>
  <si>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</si>
  <si>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</si>
  <si>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</si>
  <si>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</si>
  <si>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</si>
  <si>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</si>
  <si>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</si>
  <si>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</si>
  <si>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</si>
  <si>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</si>
  <si>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</si>
  <si>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</si>
  <si>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</si>
  <si>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</si>
  <si>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</si>
  <si>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</si>
  <si>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</si>
  <si>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</si>
  <si>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</si>
  <si>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</si>
  <si>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</si>
  <si>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</si>
  <si>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</si>
  <si>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</si>
  <si>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</si>
  <si>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</si>
  <si>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</si>
  <si>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</si>
  <si>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</si>
  <si>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</si>
  <si>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</si>
  <si>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</si>
  <si>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</si>
  <si>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</si>
  <si>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</si>
  <si>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</si>
  <si>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</si>
  <si>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</si>
  <si>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</si>
  <si>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</si>
  <si>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</si>
  <si>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</si>
  <si>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</si>
  <si>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</si>
  <si>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</si>
  <si>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</si>
  <si>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</si>
  <si>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</si>
  <si>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</si>
  <si>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</si>
  <si>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</si>
  <si>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</si>
  <si>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</si>
  <si>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</si>
  <si>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</si>
  <si>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</si>
  <si>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</si>
  <si>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</si>
  <si>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</si>
  <si>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</si>
  <si>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</si>
  <si>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</si>
  <si>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</si>
  <si>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</si>
  <si>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</si>
  <si>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</si>
  <si>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</si>
  <si>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</si>
  <si>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</si>
  <si>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</si>
  <si>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</si>
  <si>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</si>
  <si>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</si>
  <si>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</si>
  <si>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</si>
  <si>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</si>
  <si>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</si>
  <si>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</si>
  <si>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</si>
  <si>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</si>
  <si>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</si>
  <si>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</si>
  <si>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</si>
  <si>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</si>
  <si>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</si>
  <si>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</si>
  <si>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</si>
  <si>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</si>
  <si>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</si>
  <si>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</si>
  <si>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</si>
  <si>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</si>
  <si>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</si>
  <si>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</si>
  <si>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</si>
  <si>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</si>
  <si>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</si>
  <si>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</si>
  <si>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</si>
  <si>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</si>
  <si>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</si>
  <si>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</si>
  <si>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</si>
  <si>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</si>
  <si>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</si>
  <si>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</si>
  <si>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</si>
  <si>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</si>
  <si>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</si>
  <si>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</si>
  <si>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</si>
  <si>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</si>
  <si>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</si>
  <si>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</si>
  <si>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</si>
  <si>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</si>
  <si>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</si>
  <si>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</si>
  <si>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</si>
  <si>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</si>
  <si>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</si>
  <si>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</si>
  <si>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</si>
  <si>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</si>
  <si>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</si>
  <si>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</si>
  <si>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</si>
  <si>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</si>
  <si>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</si>
  <si>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</si>
  <si>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</si>
  <si>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</si>
  <si>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</si>
  <si>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</si>
  <si>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</si>
  <si>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</si>
  <si>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</si>
  <si>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</si>
  <si>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</si>
  <si>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</si>
  <si>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</si>
  <si>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</si>
  <si>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</si>
  <si>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</si>
  <si>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</si>
  <si>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</si>
  <si>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</si>
  <si>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</si>
  <si>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</si>
  <si>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</si>
  <si>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</si>
  <si>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</si>
  <si>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</si>
  <si>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</si>
  <si>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</si>
  <si>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</si>
  <si>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</si>
  <si>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</si>
  <si>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</si>
  <si>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</si>
  <si>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</si>
  <si>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</si>
  <si>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</si>
  <si>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</si>
  <si>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</si>
  <si>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</si>
  <si>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</si>
  <si>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</si>
  <si>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</si>
  <si>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</si>
  <si>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</si>
  <si>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</si>
  <si>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</si>
  <si>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</si>
  <si>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</si>
  <si>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</si>
  <si>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</si>
  <si>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</si>
  <si>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</si>
  <si>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</si>
  <si>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</si>
  <si>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</si>
  <si>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</si>
  <si>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</si>
  <si>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</si>
  <si>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</si>
  <si>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</si>
  <si>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</si>
  <si>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</si>
  <si>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</si>
  <si>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</si>
  <si>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</si>
  <si>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</si>
  <si>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</si>
  <si>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</si>
  <si>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</si>
  <si>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</si>
  <si>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</si>
  <si>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</si>
  <si>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</si>
  <si>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</si>
  <si>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</si>
  <si>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</si>
  <si>
    <t>Total apps</t>
  </si>
  <si>
    <t>good match</t>
  </si>
  <si>
    <t>Outcomes</t>
  </si>
  <si>
    <t>no news</t>
  </si>
  <si>
    <t>rejected</t>
  </si>
  <si>
    <t>interview</t>
  </si>
  <si>
    <t>fly out</t>
  </si>
  <si>
    <t>offer</t>
  </si>
  <si>
    <t>julia cage as a potential network</t>
  </si>
  <si>
    <t>puc_gob</t>
  </si>
  <si>
    <t>https://airtable.com/appXAkqceBTdmqmoL/pagkrGoMDVnPvz2vD/form</t>
  </si>
  <si>
    <t>https://gobierno.uc.cl/noticias/call-for-applications-2-full-time-academic-positions-preference-for-assistant-professor-level/</t>
  </si>
  <si>
    <t>Diego Gil,</t>
  </si>
  <si>
    <t>oecd_2</t>
  </si>
  <si>
    <t>https://jobs.smartrecruiters.com/OECD/744000089248695-data-analyst-on-international-trade-and-business-statistics</t>
  </si>
  <si>
    <t>yale_cadmy</t>
  </si>
  <si>
    <t>Yale</t>
  </si>
  <si>
    <t>will_mary</t>
  </si>
  <si>
    <t>https://go.wm.edu/VphZB3</t>
  </si>
  <si>
    <t>William and Mary</t>
  </si>
  <si>
    <t>job number JR10004781</t>
  </si>
  <si>
    <t>https://jobs.wisc.edu/jobs/assistant-professor-in-agricultural-and-applied-economics-madison-wisconsin-united-states</t>
  </si>
  <si>
    <t>uw_1</t>
  </si>
  <si>
    <t>Universty at Wisconsin-Maddison</t>
  </si>
  <si>
    <t>uw_2</t>
  </si>
  <si>
    <t>The Job ID is JR10003883</t>
  </si>
  <si>
    <t>https://wisconsin.wd1.myworkdayjobs.com/UW_Comprehensives/job/Whitewater-WI/Assistant-Professor--Tenure-Track---Economics_JR10003883</t>
  </si>
  <si>
    <t>Universty at Wisconsin-Whitewater</t>
  </si>
  <si>
    <t>uw_3</t>
  </si>
  <si>
    <t>https://wisconsin.wd1.myworkdayjobs.com/en-US/UW_Comprehensives/details/Assistant-Professor-Economics_JR10004642?Institution=5adf054562b610142325c7d9ca9e0000</t>
  </si>
  <si>
    <t>Universty at Wisconsin-Stevenson</t>
  </si>
  <si>
    <t>thema</t>
  </si>
  <si>
    <t>THEMA</t>
  </si>
  <si>
    <t>warwik</t>
  </si>
  <si>
    <t>https://warwick-careers.tal.net/vx/lang-en-GB/mobile-0/appcentre-1/brand-4/user-11595/xf-96f0ebc693de/candidate/so/pm/1/pl/3/opp/3445-Assistant-Professor-Economics-x2-30212-1025/en-GB</t>
  </si>
  <si>
    <t>need to apply to EJM AND to the warwik site</t>
  </si>
  <si>
    <t>University of Warwik</t>
  </si>
  <si>
    <t>purdue</t>
  </si>
  <si>
    <t>https://careers.purdue.edu/job/AssistantAssociate-Tenure-Track-Professor%2C-Agricultural%2C-Food-and-Applied-Economics/39067-en_US/</t>
  </si>
  <si>
    <t>Purdue University</t>
  </si>
  <si>
    <t>need to apply to EJM AND another site</t>
  </si>
  <si>
    <t>added some more info on posts</t>
  </si>
  <si>
    <t>utah</t>
  </si>
  <si>
    <t>https://utah.peopleadmin.com/postings/188619</t>
  </si>
  <si>
    <t>The University of Utah</t>
  </si>
  <si>
    <t>south_main</t>
  </si>
  <si>
    <t>https://fa-ewca-saasfaprod1.fa.ocs.oraclecloud.com/hcmUI/CandidateExperience/en/sites/CX_1/job/1521?lastSelectedFacet=ORGANIZATIONS&amp;mode=location&amp;selectedOrganizationsFacet=300000014113625</t>
  </si>
  <si>
    <t>University of Southern Maine</t>
  </si>
  <si>
    <t>make it teaching focused</t>
  </si>
  <si>
    <t>south_florida</t>
  </si>
  <si>
    <t>http://employment.usf.edu</t>
  </si>
  <si>
    <t>joe + other place</t>
  </si>
  <si>
    <t>University of South Florida</t>
  </si>
  <si>
    <t>south_carolina</t>
  </si>
  <si>
    <t>https://uscjobs.sc.edu/postings/195192</t>
  </si>
  <si>
    <t>University of South Carolina</t>
  </si>
  <si>
    <t>about artificial inteligence</t>
  </si>
  <si>
    <t>pittsburg</t>
  </si>
  <si>
    <t>University of Pittsburgh</t>
  </si>
  <si>
    <t>richmond</t>
  </si>
  <si>
    <t>https://robins.richmond.edu/undergraduate/departments/economics/career-opportunities.html</t>
  </si>
  <si>
    <t>University of Richmond</t>
  </si>
  <si>
    <t>oklahoma</t>
  </si>
  <si>
    <t>University of Oklahoma</t>
  </si>
  <si>
    <t>https://apply.interfolio.com/174522</t>
  </si>
  <si>
    <t>notredame</t>
  </si>
  <si>
    <t>https://apply.interfolio.com/173340</t>
  </si>
  <si>
    <t>University of Notre Dame</t>
  </si>
  <si>
    <t>n_iowa</t>
  </si>
  <si>
    <t>https://uni.wd5.myworkdayjobs.com/en-US/UNI/details/Assistant-or-Associate-Professor-of-Economics--Applied-Microeconomics-_JR816?jobFamilyGroup=12b49c095378100522815b04f3340001</t>
  </si>
  <si>
    <t>University of Northern Iowa</t>
  </si>
  <si>
    <t>iowa</t>
  </si>
  <si>
    <t>added 10 JOE</t>
  </si>
  <si>
    <t>misurri_col</t>
  </si>
  <si>
    <t>https://erecruit.umsystem.edu/psc/tamext/COLUM/HRMS/c/HRS_HRAM_FL.HRS_CG_SEARCH_FL.GBL?Page=HRS_APP_SCHJOB_FL&amp;Action=U</t>
  </si>
  <si>
    <t>University of Missouri-Columbia</t>
  </si>
  <si>
    <t>chapel_hill</t>
  </si>
  <si>
    <t>https://unc.peopleadmin.com/postings/307461</t>
  </si>
  <si>
    <t>University of North Carolina at Chapel Hill</t>
  </si>
  <si>
    <t>Gettysburg College</t>
  </si>
  <si>
    <t>getty</t>
  </si>
  <si>
    <t>https://gettysburg.peopleadmin.com/postings/6014</t>
  </si>
  <si>
    <t>miami</t>
  </si>
  <si>
    <t>https://careers.miami.edu/us/en/job/R100081474/MHBS-Assistant-Associate-Full-Professor,</t>
  </si>
  <si>
    <t>University of Miami</t>
  </si>
  <si>
    <t>University of Massachusetts Boston</t>
  </si>
  <si>
    <t>umass</t>
  </si>
  <si>
    <t>visiting</t>
  </si>
  <si>
    <t>https://employmentopportunities.umb.edu/boston/en-us/job/527945/assistant-professor-economics</t>
  </si>
  <si>
    <t>umass_a</t>
  </si>
  <si>
    <t>UMass Amherst</t>
  </si>
  <si>
    <t>https://careers.umass.edu/en-us/job/527367/assistant-professor-of-department-of-economics-commonwealth-honors-college</t>
  </si>
  <si>
    <t>CL needs to be addressed to Professor Patrick Mason, Chair, Department of Economics, (Crotty Hall, 412 North Pleasant Street, Amherst, MA 01002 USA)</t>
  </si>
  <si>
    <t>urbana</t>
  </si>
  <si>
    <t>University of Illinois Urbana-Champaign</t>
  </si>
  <si>
    <t>https://illinois.csod.com/ux/ats/careersite/1/home/requisition/15225?c=illinois&amp;sq=1032897</t>
  </si>
  <si>
    <t>urbana_2</t>
  </si>
  <si>
    <t>https://illinois.csod.com/ux/ats/careersite/1/home/requisition/14762?c=illinois&amp;sq=1031846&amp;referralToken=MX8lYTz4-EapwaM-jNL-bA</t>
  </si>
  <si>
    <t>houston</t>
  </si>
  <si>
    <t>https://careers.uh.edu/jobs/associate-or-full-professor-american-state-urban-politics-and-policy-houston-texas-united-states</t>
  </si>
  <si>
    <t>Universty of Houston</t>
  </si>
  <si>
    <t>u_chile</t>
  </si>
  <si>
    <t>Uuniversidad de Chile</t>
  </si>
  <si>
    <t>added 10 joe</t>
  </si>
  <si>
    <t>Cindy Graf
Department of Economics
University of Pittsburgh
cmg134@pitt.edu</t>
  </si>
  <si>
    <t>https://aprecruit.berkeley.edu/JPF05045</t>
  </si>
  <si>
    <t>University of California, Berkeley</t>
  </si>
  <si>
    <t>berkeley</t>
  </si>
  <si>
    <t>utax</t>
  </si>
  <si>
    <t>https://jobs.lever.co/uaustin/637081c9-3e9b-4540-a3e3-f07ecdba2cb4</t>
  </si>
  <si>
    <t>University of Austin</t>
  </si>
  <si>
    <t>arkansas</t>
  </si>
  <si>
    <t>https://uasys.wd5.myworkdayjobs.com/UAF_External_Career_Site/job/Fayetteville/Assistant--Associate-or-Full-Professor-of-Economics--Open-Rank-_R0076907</t>
  </si>
  <si>
    <t>reference letter on JOE</t>
  </si>
  <si>
    <t>University of Arkansas</t>
  </si>
  <si>
    <t>send teaching dossier</t>
  </si>
  <si>
    <t>albany</t>
  </si>
  <si>
    <t>https://albany.interviewexchange.com/jobofferdetails.jsp;jsessionid=6CE240ADA4E80C56493FC4687C497687?JOBID=193393</t>
  </si>
  <si>
    <t>University at Albany</t>
  </si>
  <si>
    <t>Universidad de Montevideo</t>
  </si>
  <si>
    <t>montevideo</t>
  </si>
  <si>
    <t>Joint Initiative for Latin American Experimental Economics (JILAEE)</t>
  </si>
  <si>
    <t>jilaee</t>
  </si>
  <si>
    <t>tulane</t>
  </si>
  <si>
    <t>https://apply.interfolio.com/172687</t>
  </si>
  <si>
    <t>Tulane University</t>
  </si>
  <si>
    <t>tufs</t>
  </si>
  <si>
    <t>https://apply.interfolio.com/172770.</t>
  </si>
  <si>
    <t>Tufs University</t>
  </si>
  <si>
    <t>vermont</t>
  </si>
  <si>
    <t>https://www.uvmjobs.com/</t>
  </si>
  <si>
    <t>University of Vermont</t>
  </si>
  <si>
    <t>toledo</t>
  </si>
  <si>
    <t>teaching focused</t>
  </si>
  <si>
    <t>https://careers.utoledo.edu/cw/en-us/job/499976/assistant-professor-economics</t>
  </si>
  <si>
    <t>University of Toledo</t>
  </si>
  <si>
    <t>gatehred 10 more from JOE</t>
  </si>
  <si>
    <t>gatehred 10 more from JOE, trying to make up for 31st</t>
  </si>
  <si>
    <t>uta</t>
  </si>
  <si>
    <t>UT Austin</t>
  </si>
  <si>
    <t>The University of Tennessee at Chattanooga</t>
  </si>
  <si>
    <t>https://apply.interfolio.com/172616</t>
  </si>
  <si>
    <t>tennessee</t>
  </si>
  <si>
    <t>The University of Tennessee</t>
  </si>
  <si>
    <t>https://apply.interfolio.com/172749</t>
  </si>
  <si>
    <t>knoxville</t>
  </si>
  <si>
    <t>The University of Iowa</t>
  </si>
  <si>
    <t>https://jobs.uiowa.edu/faculty/view/75674</t>
  </si>
  <si>
    <t>u_chicago</t>
  </si>
  <si>
    <t>https://apply.interfolio.com/172477</t>
  </si>
  <si>
    <t>University of Chicago</t>
  </si>
  <si>
    <t>The University of Akron</t>
  </si>
  <si>
    <t>akron</t>
  </si>
  <si>
    <t>do two apps JOE + extra) mephasize data collection</t>
  </si>
  <si>
    <t>https://uakron.wd1.myworkdayjobs.com/en-US/UACareers</t>
  </si>
  <si>
    <t>https://osu.wd1.myworkdayjobs.com/OSUCareers/job/Columbus-Campus/Post-Doctoral-Scholar-in-Economics-Labor--STEM-Education--and-Household-Finance_R138239-1</t>
  </si>
  <si>
    <t>ohio_state</t>
  </si>
  <si>
    <t>The Ohio State University</t>
  </si>
  <si>
    <t>moscow</t>
  </si>
  <si>
    <t>The New Economic School</t>
  </si>
  <si>
    <t>The College of Wooster</t>
  </si>
  <si>
    <t>wooster</t>
  </si>
  <si>
    <t>texas_state</t>
  </si>
  <si>
    <t>https://jobs.hr.txstate.edu/postings/54208</t>
  </si>
  <si>
    <t>Texas State University</t>
  </si>
  <si>
    <t>john_hopkins</t>
  </si>
  <si>
    <t>interfolio</t>
  </si>
  <si>
    <t>Johns Hopkins University</t>
  </si>
  <si>
    <t>Professors Marian Vidal-Fernandez and Jordi Vidal-Robert (University of Sydney), and Professors Michele Battisti and Sayantan Ghosal (University of Glasgow).</t>
  </si>
  <si>
    <t>givewell</t>
  </si>
  <si>
    <t>https://job-boards.greenhouse.io/givewell/jobs/4253692008</t>
  </si>
  <si>
    <t>GiveWell</t>
  </si>
  <si>
    <t>High Point University</t>
  </si>
  <si>
    <t>high_point</t>
  </si>
  <si>
    <t>tcu</t>
  </si>
  <si>
    <t>https://jobs.tcu.edu/jobs/assistant-or-associate-professor-of-economics-tcu-main-campus-texas-united-states</t>
  </si>
  <si>
    <t>Texas Christian University</t>
  </si>
  <si>
    <t>ref. letter in JOE app in another site</t>
  </si>
  <si>
    <t>Technical University of Denmark</t>
  </si>
  <si>
    <t>tu_denmark</t>
  </si>
  <si>
    <t>https://efzu.fa.em2.oraclecloud.com/hcmUI/CandidateExperience/en/sites/CX_2001/job/6107/?utm_medium=jobshare&amp;utm_source=External+Job+Share</t>
  </si>
  <si>
    <t>https://apply.interfolio.com/174241</t>
  </si>
  <si>
    <t>Swarthmore College</t>
  </si>
  <si>
    <t>stony</t>
  </si>
  <si>
    <t>https://apply.interfolio.com/171290</t>
  </si>
  <si>
    <t>Stony Brook University</t>
  </si>
  <si>
    <t>plus diversity</t>
  </si>
  <si>
    <t>St. John Fisher University</t>
  </si>
  <si>
    <t>st_john</t>
  </si>
  <si>
    <t>https://jobs.sjf.edu/postings/4029</t>
  </si>
  <si>
    <t>st_lawrence</t>
  </si>
  <si>
    <t>https://employment.stlawu.edu/postings/4333</t>
  </si>
  <si>
    <t>St. Lawrence University</t>
  </si>
  <si>
    <t>use both links to apply</t>
  </si>
  <si>
    <t>Skidmore College</t>
  </si>
  <si>
    <t>skidmore</t>
  </si>
  <si>
    <t>https://eodq.fa.us6.oraclecloud.com/hcmUI/CandidateExperience/en/sites/CX/job/3039/?utm_medium=jobshare&amp;utm_source=External+Job+Share</t>
  </si>
  <si>
    <t>added 10 more JOE posting!</t>
  </si>
  <si>
    <t>Rhodes College</t>
  </si>
  <si>
    <t>https://rhodes.wd5.myworkdayjobs.com/Rhodes_Careers/job/Memphis-Tennessee/Assistant-Professor-of-Economics_JR-739</t>
  </si>
  <si>
    <t>rhodes</t>
  </si>
  <si>
    <t>revelio</t>
  </si>
  <si>
    <t>Revelio Labs</t>
  </si>
  <si>
    <t>send resume</t>
  </si>
  <si>
    <t>recruiting@reveliolabs.com</t>
  </si>
  <si>
    <t>puc_cl_2</t>
  </si>
  <si>
    <t>Pomona College</t>
  </si>
  <si>
    <t>pomona</t>
  </si>
  <si>
    <t>https://academicjobsonline.org/ajo/jobs/30847</t>
  </si>
  <si>
    <t>tell Omer for Emilio?</t>
  </si>
  <si>
    <t>Palm Beach Atlantic University</t>
  </si>
  <si>
    <t>https://www.paycomonline.net/v4/ats/web.php/jobs/ViewJobDetails?job=248982&amp;clientkey=85B0677EE5F565F7218786A34C475495</t>
  </si>
  <si>
    <t>palm_beach</t>
  </si>
  <si>
    <t>Ozyegin University</t>
  </si>
  <si>
    <t>ozyegin</t>
  </si>
  <si>
    <t>New College of Florida</t>
  </si>
  <si>
    <t>https://www.schooljobs.com/careers/ncfl/jobs/5083691/applied-microeconomics-faculty-tenure-track?keywords=economic%20development%20manager&amp;pagetype=jobOpportunitiesJobs</t>
  </si>
  <si>
    <t>new_florida</t>
  </si>
  <si>
    <t>National University of Singapore</t>
  </si>
  <si>
    <t>singapore</t>
  </si>
  <si>
    <t>Middle Tennessee State University</t>
  </si>
  <si>
    <t>middle_ten</t>
  </si>
  <si>
    <t>https://careers.mtsu.edu/en-us/job/498375/economics-and-finance-economics-tenuretrack-faculty</t>
  </si>
  <si>
    <t>miami_ohio</t>
  </si>
  <si>
    <t>https://miamioh.wd5.myworkdayjobs.com/miamioh-faculty/job/Farmer-School-of-Business/Assistant-Teaching-Professor---Economics_JR103178</t>
  </si>
  <si>
    <t>both JOE + ohio</t>
  </si>
  <si>
    <t>Miami University</t>
  </si>
  <si>
    <t>ithaca</t>
  </si>
  <si>
    <t>https://ehwy.fa.us2.oraclecloud.com/hcmUI/CandidateExperience/en/sites/CX_1/job/3310</t>
  </si>
  <si>
    <t>Ithaca College</t>
  </si>
  <si>
    <t>hope</t>
  </si>
  <si>
    <t>Hope College</t>
  </si>
  <si>
    <t>https://jobs.hope.edu/postings/4833</t>
  </si>
  <si>
    <t xml:space="preserve"> Satoru Takahashi (ecsst@nus.edu.sg), Chair of the Junior Search Committee,</t>
  </si>
  <si>
    <t>send email to the visitor</t>
  </si>
  <si>
    <t>finish adding some stragelers from JOE</t>
  </si>
  <si>
    <t>swarthmore</t>
  </si>
  <si>
    <t>ppp</t>
  </si>
  <si>
    <t>https://apply.interfolio.com/175034</t>
  </si>
  <si>
    <t>Center for Philosophy, Politics, and Economics at Brown University (PPE Center)</t>
  </si>
  <si>
    <t>CL must fit vission of the center and mix politics and econ</t>
  </si>
  <si>
    <t>Singapore University of Technology and Design</t>
  </si>
  <si>
    <t>add teaching dossier</t>
  </si>
  <si>
    <t>sutd</t>
  </si>
  <si>
    <t>https://careers.sutd.edu.sg/job/Singapore-Lecturer-in-Economics-%28Humanities%2C-Arts-and-Social-Sciences%29-138682/48335944/</t>
  </si>
  <si>
    <t>rbbecon</t>
  </si>
  <si>
    <t>https://cezanneondemand.intervieweb.it/rbbecon/jobs/2526-economist-phd-level-58340/en/</t>
  </si>
  <si>
    <t>RBB Economics</t>
  </si>
  <si>
    <t>send JMP to valentina.ruocco@rbbecon.com</t>
  </si>
  <si>
    <t>cna</t>
  </si>
  <si>
    <t>bank_mx</t>
  </si>
  <si>
    <t>https://jobs.dayforcehcm.com/en-US/cna/CANDIDATEPORTAL/jobs/6202</t>
  </si>
  <si>
    <t>CAN</t>
  </si>
  <si>
    <t>Bank of Mexico</t>
  </si>
  <si>
    <t>emphasize that you command spanish for research</t>
  </si>
  <si>
    <t>Sabanci University</t>
  </si>
  <si>
    <t>sabanci</t>
  </si>
  <si>
    <t>Erasmus University Rotterdam</t>
  </si>
  <si>
    <t>rotterdam</t>
  </si>
  <si>
    <t>swiss_data</t>
  </si>
  <si>
    <t>mention my proficiency is use of LLM both through API or local deployment  open source models</t>
  </si>
  <si>
    <t>Prof. Elliott Ash</t>
  </si>
  <si>
    <t>ETH Zurich</t>
  </si>
  <si>
    <t>bologna_2</t>
  </si>
  <si>
    <t>University of Bologna</t>
  </si>
  <si>
    <t>Prof. Alessandro Tavoni: alessandro.tavoni@unibo.it</t>
  </si>
  <si>
    <t>kiep</t>
  </si>
  <si>
    <t>Korea Institute for International Economic Policy</t>
  </si>
  <si>
    <t>added 10 more from EJM</t>
  </si>
  <si>
    <t>University College Dublin</t>
  </si>
  <si>
    <t>https://my.corehr.com/pls/ucdrecruit/erq_search_package.search_form?p_company=1&amp;p_internal_external=E#</t>
  </si>
  <si>
    <t>ucd_1</t>
  </si>
  <si>
    <t>ucd_2</t>
  </si>
  <si>
    <t>jib ref (019094) and china application</t>
  </si>
  <si>
    <t>job ref (019090)</t>
  </si>
  <si>
    <t>Professor Benjamin Elsner</t>
  </si>
  <si>
    <t>aix</t>
  </si>
  <si>
    <t>Aix-Marseille Université</t>
  </si>
  <si>
    <t>oslo_post</t>
  </si>
  <si>
    <t>cl must match a project</t>
  </si>
  <si>
    <t>laval</t>
  </si>
  <si>
    <t>Université Laval</t>
  </si>
  <si>
    <t>Stephen Gordon, Chair</t>
  </si>
  <si>
    <t>sacro</t>
  </si>
  <si>
    <t>Università Cattolica del Sacro Cuore</t>
  </si>
  <si>
    <t>bank_alemania</t>
  </si>
  <si>
    <t>Deutsche Bundesbank</t>
  </si>
  <si>
    <t>specify the preference of topics (AI effect on finance and macrofinance)</t>
  </si>
  <si>
    <t>luis_guido</t>
  </si>
  <si>
    <t>LUISS Guido Carli</t>
  </si>
  <si>
    <t>Paris School of Economics (PSE)</t>
  </si>
  <si>
    <t>pse</t>
  </si>
  <si>
    <t>https://www.parisschoolofeconomics.eu/en/job-opportunities/assistant-professor/</t>
  </si>
  <si>
    <t>finished adding EJM</t>
  </si>
  <si>
    <t>vienna</t>
  </si>
  <si>
    <t>University of Vienna</t>
  </si>
  <si>
    <t>specify that I want to do applied micro, but have good synergy with behavioral group</t>
  </si>
  <si>
    <t>obrero</t>
  </si>
  <si>
    <t>Örebro University</t>
  </si>
  <si>
    <t>vienna_econ</t>
  </si>
  <si>
    <t>online recruitment system (ID 2601)</t>
  </si>
  <si>
    <t>Vienna University of Economics and Business</t>
  </si>
  <si>
    <t>data science focus</t>
  </si>
  <si>
    <t>s</t>
  </si>
  <si>
    <t>ruben durante</t>
  </si>
  <si>
    <t>https://my.corehr.com/pls/ucdrecruit/core_document_api_2.view_erecruit_document?p_key_1=215BFF4861A4B952AA405B1ABBCB6EAA7B9FAEC5FAF34F60B75385D25F265B8B3A76E605D3729A3546459E8B5E9AAC49B8342A0436E5E8901BD5372C48631CF931C96AD669964E9DEFE50D0B48FCDF201EB69016718BA161F7CDDD905E4FE0121C13D4702060D1874D06C4141170113F5C34EA159610394F9F3A17E3A4DEF90796ABA5C2509295F08F188493660576A0EA8E52DABB978E1186C08C266BAD13465F6EF6796F442650491F920DE17F9B2DBDC810C1179B759A9792E7E44083647F&amp;p_key_2=B3BAFFFED78F9AFA99937CAFCCAF4EC8DD9F74FD7FB0107B771A05D0EBEA027333961EA385C18CCE06D55CEAF1AFA9FCBDCA3CE35F7CEF502B7763D5DFA6DDDA8F6D5A448CEABE781F1DA910CE935229883C55E72278A7F57528ECCE5E490B25999F0D10F5E9411A924C37A181CFE8507B5D13AEDC1510177933385DF6A68C7478C1CB42A2CD8D2A1DE71D0915255FF689155D51671A208E2CF36F9DDB806AC278033A6E025243329BD38D8118D8DE9EDF10FBAFB87478F1059873B4BB0432AE</t>
  </si>
  <si>
    <t>Université Libre de Bruxelles</t>
  </si>
  <si>
    <t>add that I worked on a experimental project</t>
  </si>
  <si>
    <t>free_belgium</t>
  </si>
  <si>
    <t>dulbea@ulb.be</t>
  </si>
  <si>
    <t>Universitat de les Illes Balears</t>
  </si>
  <si>
    <t>illes</t>
  </si>
  <si>
    <t>emphasize that you command spanish to teach</t>
  </si>
  <si>
    <t>Masaryk University</t>
  </si>
  <si>
    <t>https://www.muni.cz/en/about-us/careers/vacancies/79969</t>
  </si>
  <si>
    <t>masaryk</t>
  </si>
  <si>
    <t>Ondřej Krčál, at ondrej.krcal@econ.muni.cz</t>
  </si>
  <si>
    <t>Universitat de Barcelona</t>
  </si>
  <si>
    <t>ubse</t>
  </si>
  <si>
    <t>Collegio Carlo Alberto</t>
  </si>
  <si>
    <t>carlo_alberto</t>
  </si>
  <si>
    <t>Copenhagen Business School</t>
  </si>
  <si>
    <t>https://www.cbs.dk/en/about-cbs/jobs-cbs/vacant-positions/postdoc-in-behavioral-and-applied-microeconomics</t>
  </si>
  <si>
    <t>coppen_postdoc</t>
  </si>
  <si>
    <t>the letter ust emphasize strongs</t>
  </si>
  <si>
    <t>new_mex</t>
  </si>
  <si>
    <t>https://unm.csod.com/ux/ats/careersite/18/home/requisition/34206?c=unm&amp;sq=req34206</t>
  </si>
  <si>
    <t>University of New Mexico</t>
  </si>
  <si>
    <t>comment that I can do development economics</t>
  </si>
  <si>
    <t>texas_tech</t>
  </si>
  <si>
    <t>https://sjobs.brassring.com/TGnewUI/Search/home/HomeWithPreLoad?partnerid=25898&amp;siteid=5637&amp;PageType=JobDetails&amp;jobid=898044#jobDetails=898044_5637</t>
  </si>
  <si>
    <t>Texas Tech University</t>
  </si>
  <si>
    <t>magdeburg</t>
  </si>
  <si>
    <t>University Magdeburg</t>
  </si>
  <si>
    <t>https://jobs.iwh-halle.de/jobposting/f68ad3674ed550f84f3788057ee64c1f8943ff400</t>
  </si>
  <si>
    <t>just apply in the link - in JOE and EJM doesn’t let you</t>
  </si>
  <si>
    <t>bank_itl</t>
  </si>
  <si>
    <t>https://www.bancaditalia.it/chi-siamo/lavorare-bi/borse-ricerca-economisti/index.html?com.dotmarketing.htmlpage.language=1</t>
  </si>
  <si>
    <t>Bank of Italy</t>
  </si>
  <si>
    <t>tell Mykia to send letters to personale.fellowship@bancaditalia.it</t>
  </si>
  <si>
    <t>gigas</t>
  </si>
  <si>
    <t>https://www.giga-hamburg.de/en/career/postdoctoral-research-fellow-m-f-d-development-economics</t>
  </si>
  <si>
    <t>GIGA</t>
  </si>
  <si>
    <t>CLICCS</t>
  </si>
  <si>
    <t>https://www.giga-hamburg.de/en/career/postdoctoral-research-fellow-m-f-d-in-economics-or-political-science</t>
  </si>
  <si>
    <t>cliccs</t>
  </si>
  <si>
    <t>fill application form -(SEE DETAILS TO SEND THE LETTERS) letters to jobs-25-09@giga-hamburg.de</t>
  </si>
  <si>
    <t>fill application form -(SEE DETAILS TO SEND THE LETTERS)  letters to jobs-25-10@giga-hamburg.de</t>
  </si>
  <si>
    <t>arizona_state</t>
  </si>
  <si>
    <t>Arizona State University</t>
  </si>
  <si>
    <t>https://apply.interfolio.com/176044</t>
  </si>
  <si>
    <t>UniDistance</t>
  </si>
  <si>
    <t>unidistance</t>
  </si>
  <si>
    <t>surrey</t>
  </si>
  <si>
    <t>University of Surrey</t>
  </si>
  <si>
    <t>Università degli Studi di Torino</t>
  </si>
  <si>
    <t>torino</t>
  </si>
  <si>
    <t>aarhus</t>
  </si>
  <si>
    <t>Aarhus University</t>
  </si>
  <si>
    <t>uwa</t>
  </si>
  <si>
    <t>University of Western Australia</t>
  </si>
  <si>
    <t>nse</t>
  </si>
  <si>
    <t>Norwegian School of Economics</t>
  </si>
  <si>
    <t>Institute for Advanced Studies Vienna</t>
  </si>
  <si>
    <t>ias_vienna</t>
  </si>
  <si>
    <t>they want people with cool datasets</t>
  </si>
  <si>
    <t>ditella_gov</t>
  </si>
  <si>
    <t>Universidad Torcuato Di Tella</t>
  </si>
  <si>
    <t>unsw_post</t>
  </si>
  <si>
    <t>Professor Pauline Grosjean (UNSW) and in collaboration with Victoria Baranov (University of Melbourne), Ralph De Haas (EBRD), and Ieda Matavelli (CERGE-EI)</t>
  </si>
  <si>
    <t>research of masculinity norms!</t>
  </si>
  <si>
    <t>added some more info on EJM</t>
  </si>
  <si>
    <t>coppen_2</t>
  </si>
  <si>
    <t>University of Copenhagen</t>
  </si>
  <si>
    <t>Faculty of Social Sciences</t>
  </si>
  <si>
    <t>emails</t>
  </si>
  <si>
    <t>add_category</t>
  </si>
  <si>
    <t>research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</si>
</sst>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
      <sz val="20"/>
      <color theme="1"/>
      <name val="Aptos Narrow"/>
      <family val="2"/>
      <scheme val="minor"/>
    </font>
    <font>
      <i/>
      <sz val="12"/>
      <color theme="1"/>
      <name val="Aptos Narrow"/>
      <scheme val="minor"/>
    </font>
    <font>
      <i/>
      <sz val="12"/>
      <color theme="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rgb="FF7030A0"/>
        <bgColor indexed="64"/>
      </patternFill>
    </fill>
    <fill>
      <patternFill patternType="solid">
        <fgColor rgb="FF00B0F0"/>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9" fontId="6" fillId="0" borderId="0" applyFont="0" applyFill="0" applyBorder="0" applyAlignment="0" applyProtection="0"/>
  </cellStyleXfs>
  <cellXfs count="21">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xf numFmtId="9" fontId="0" fillId="0" borderId="0" xfId="2" applyFont="1" applyAlignment="1">
      <alignment horizontal="center" vertical="center"/>
    </xf>
    <xf numFmtId="0" fontId="7" fillId="0" borderId="0" xfId="0" applyFont="1" applyAlignment="1">
      <alignment horizontal="right"/>
    </xf>
    <xf numFmtId="0" fontId="0" fillId="0" borderId="0" xfId="0" applyAlignment="1">
      <alignment horizontal="right"/>
    </xf>
    <xf numFmtId="0" fontId="8" fillId="0" borderId="0" xfId="0" applyFont="1" applyAlignment="1">
      <alignment horizontal="right"/>
    </xf>
    <xf numFmtId="9" fontId="7" fillId="0" borderId="0" xfId="2" applyFont="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xf>
    <xf numFmtId="0" fontId="0" fillId="0" borderId="0" xfId="0" applyAlignment="1">
      <alignment wrapText="1"/>
    </xf>
    <xf numFmtId="0" fontId="9" fillId="0" borderId="0" xfId="0" applyFont="1" applyAlignment="1">
      <alignment horizontal="right"/>
    </xf>
    <xf numFmtId="0" fontId="0" fillId="3" borderId="0" xfId="0" applyFill="1"/>
    <xf numFmtId="0" fontId="0" fillId="4" borderId="0" xfId="0" applyFill="1"/>
  </cellXfs>
  <cellStyles count="3">
    <cellStyle name="Hyperlink" xfId="1" builtinId="8"/>
    <cellStyle name="Normal" xfId="0" builtinId="0"/>
    <cellStyle name="Percent" xfId="2" builtinId="5"/>
  </cellStyles>
  <dxfs count="16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dxf>
    <dxf>
      <font>
        <strike val="0"/>
        <color theme="8" tint="-0.24994659260841701"/>
      </font>
      <fill>
        <patternFill patternType="none">
          <bgColor auto="1"/>
        </patternFill>
      </fill>
    </dxf>
    <dxf>
      <font>
        <color theme="8" tint="-0.24994659260841701"/>
      </font>
    </dxf>
    <dxf>
      <font>
        <color theme="0"/>
      </font>
      <fill>
        <patternFill>
          <bgColor theme="3" tint="0.24994659260841701"/>
        </patternFill>
      </fill>
      <border>
        <left style="hair">
          <color auto="1"/>
        </left>
        <right style="hair">
          <color auto="1"/>
        </right>
        <top style="hair">
          <color auto="1"/>
        </top>
        <bottom style="hair">
          <color auto="1"/>
        </bottom>
        <vertical/>
        <horizontal/>
      </border>
    </dxf>
    <dxf>
      <font>
        <color theme="2" tint="-0.24994659260841701"/>
      </font>
      <fill>
        <patternFill patternType="none">
          <bgColor auto="1"/>
        </patternFill>
      </fill>
    </dxf>
    <dxf>
      <font>
        <color rgb="FF006100"/>
      </font>
      <fill>
        <patternFill>
          <bgColor rgb="FFC6EFCE"/>
        </patternFill>
      </fill>
    </dxf>
    <dxf>
      <font>
        <b val="0"/>
        <i/>
        <color theme="0" tint="-0.24994659260841701"/>
      </font>
    </dxf>
    <dxf>
      <font>
        <color theme="5" tint="0.79998168889431442"/>
      </font>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acf52e657f7121979fdc9bcae43ce646&amp;qlt=95" TargetMode="External"/><Relationship Id="rId21" Type="http://schemas.openxmlformats.org/officeDocument/2006/relationships/hyperlink" Target="https://www.bing.com/th?id=OSK.5c9644308dc1fc218d48a103b8cf93f9&amp;qlt=95" TargetMode="External"/><Relationship Id="rId42" Type="http://schemas.openxmlformats.org/officeDocument/2006/relationships/hyperlink" Target="https://www.bing.com/images/search?form=xlimg&amp;q=New%20Mexico" TargetMode="External"/><Relationship Id="rId63" Type="http://schemas.openxmlformats.org/officeDocument/2006/relationships/hyperlink" Target="https://www.bing.com/th?id=OSK.0678bd4067f4a421f3884b05dad25be4&amp;qlt=95" TargetMode="External"/><Relationship Id="rId84" Type="http://schemas.openxmlformats.org/officeDocument/2006/relationships/hyperlink" Target="https://www.bing.com/images/search?form=xlimg&amp;q=Spain" TargetMode="External"/><Relationship Id="rId138" Type="http://schemas.openxmlformats.org/officeDocument/2006/relationships/hyperlink" Target="https://www.bing.com/images/search?form=xlimg&amp;q=Portland,%20Oregon" TargetMode="External"/><Relationship Id="rId159" Type="http://schemas.openxmlformats.org/officeDocument/2006/relationships/hyperlink" Target="https://www.bing.com/th?id=OSK.9131f9cc50427b26d6b4964a5feb9d7e&amp;qlt=95" TargetMode="External"/><Relationship Id="rId170" Type="http://schemas.openxmlformats.org/officeDocument/2006/relationships/hyperlink" Target="https://www.bing.com/images/search?form=xlimg&amp;q=Finland" TargetMode="External"/><Relationship Id="rId191" Type="http://schemas.openxmlformats.org/officeDocument/2006/relationships/hyperlink" Target="https://www.bing.com/th?id=OSK.3ad9dc82b4ada40031ce05d559610900&amp;qlt=95" TargetMode="External"/><Relationship Id="rId107" Type="http://schemas.openxmlformats.org/officeDocument/2006/relationships/hyperlink" Target="https://www.bing.com/th?id=OSK.5d4f58204601fa1f31c408c65607c0ed&amp;qlt=95" TargetMode="External"/><Relationship Id="rId11" Type="http://schemas.openxmlformats.org/officeDocument/2006/relationships/hyperlink" Target="https://www.bing.com/th?id=OSK.0641697055dc04237b54e70519cef566&amp;qlt=95" TargetMode="External"/><Relationship Id="rId32" Type="http://schemas.openxmlformats.org/officeDocument/2006/relationships/hyperlink" Target="https://www.bing.com/images/search?form=xlimg&amp;q=Massachusetts" TargetMode="External"/><Relationship Id="rId53" Type="http://schemas.openxmlformats.org/officeDocument/2006/relationships/hyperlink" Target="https://www.bing.com/th?id=OSK.26f38040dc3621419471c380612daf02&amp;qlt=95" TargetMode="External"/><Relationship Id="rId74" Type="http://schemas.openxmlformats.org/officeDocument/2006/relationships/hyperlink" Target="https://www.bing.com/images/search?form=xlimg&amp;q=Burnaby" TargetMode="External"/><Relationship Id="rId128" Type="http://schemas.openxmlformats.org/officeDocument/2006/relationships/hyperlink" Target="https://www.bing.com/images/search?form=xlimg&amp;q=Italy" TargetMode="External"/><Relationship Id="rId149" Type="http://schemas.openxmlformats.org/officeDocument/2006/relationships/hyperlink" Target="https://www.bing.com/th?id=OSK.337e8134685d10178f58f9902cf80329&amp;qlt=95" TargetMode="External"/><Relationship Id="rId5" Type="http://schemas.openxmlformats.org/officeDocument/2006/relationships/hyperlink" Target="https://www.bing.com/th?id=OSK.08d481ce2e6378c8b3492a5438438208&amp;qlt=95" TargetMode="External"/><Relationship Id="rId95" Type="http://schemas.openxmlformats.org/officeDocument/2006/relationships/hyperlink" Target="https://www.bing.com/th?id=OSK.IJoB2IAflCzjheZJfaz5mfzEWw5jRcoWEgDQz1yU2Yk&amp;qlt=95" TargetMode="External"/><Relationship Id="rId160" Type="http://schemas.openxmlformats.org/officeDocument/2006/relationships/hyperlink" Target="https://www.bing.com/images/search?form=xlimg&amp;q=Denmark" TargetMode="External"/><Relationship Id="rId181" Type="http://schemas.openxmlformats.org/officeDocument/2006/relationships/hyperlink" Target="https://www.bing.com/th?id=OSK.nHbqoFMNARrtWt0wiMzXW2V-zzpYpnj_OOn9dm3n0sg&amp;qlt=95" TargetMode="External"/><Relationship Id="rId22" Type="http://schemas.openxmlformats.org/officeDocument/2006/relationships/hyperlink" Target="https://www.bing.com/images/search?form=xlimg&amp;q=Florida" TargetMode="External"/><Relationship Id="rId43" Type="http://schemas.openxmlformats.org/officeDocument/2006/relationships/hyperlink" Target="https://www.bing.com/th?id=OSK.03c72211b35cb109bcdc7d51ef4f03c5&amp;qlt=95" TargetMode="External"/><Relationship Id="rId64" Type="http://schemas.openxmlformats.org/officeDocument/2006/relationships/hyperlink" Target="https://www.bing.com/images/search?form=xlimg&amp;q=Wisconsin" TargetMode="External"/><Relationship Id="rId118" Type="http://schemas.openxmlformats.org/officeDocument/2006/relationships/hyperlink" Target="https://www.bing.com/images/search?form=xlimg&amp;q=Sydney" TargetMode="External"/><Relationship Id="rId139" Type="http://schemas.openxmlformats.org/officeDocument/2006/relationships/hyperlink" Target="https://www.bing.com/th?id=OSK.292818c96d13281efc2bcf0621712879&amp;qlt=95" TargetMode="External"/><Relationship Id="rId85" Type="http://schemas.openxmlformats.org/officeDocument/2006/relationships/hyperlink" Target="https://www.bing.com/th?id=OSK.12f7533dca5f011065a431e87678062b&amp;qlt=95" TargetMode="External"/><Relationship Id="rId150" Type="http://schemas.openxmlformats.org/officeDocument/2006/relationships/hyperlink" Target="https://www.bing.com/images/search?form=xlimg&amp;q=Waterville,%20Maine" TargetMode="External"/><Relationship Id="rId171" Type="http://schemas.openxmlformats.org/officeDocument/2006/relationships/hyperlink" Target="https://www.bing.com/th?id=OSK.25df30c19d33bb8b6b2e0396595bbfd6&amp;qlt=95" TargetMode="External"/><Relationship Id="rId192" Type="http://schemas.openxmlformats.org/officeDocument/2006/relationships/hyperlink" Target="https://www.bing.com/images/search?form=xlimg&amp;q=South%20Korea" TargetMode="External"/><Relationship Id="rId12" Type="http://schemas.openxmlformats.org/officeDocument/2006/relationships/hyperlink" Target="https://www.bing.com/images/search?form=xlimg&amp;q=Arizona" TargetMode="External"/><Relationship Id="rId33" Type="http://schemas.openxmlformats.org/officeDocument/2006/relationships/hyperlink" Target="https://www.bing.com/th?id=OSK.5e5edbee64005edbf411df0671fae1da&amp;qlt=95" TargetMode="External"/><Relationship Id="rId108" Type="http://schemas.openxmlformats.org/officeDocument/2006/relationships/hyperlink" Target="https://www.bing.com/images/search?form=xlimg&amp;q=Hanover" TargetMode="External"/><Relationship Id="rId129" Type="http://schemas.openxmlformats.org/officeDocument/2006/relationships/hyperlink" Target="https://www.bing.com/th?id=OSK.66c2ebf9a8cace2226269d70b1d3b0fc&amp;qlt=95" TargetMode="External"/><Relationship Id="rId54" Type="http://schemas.openxmlformats.org/officeDocument/2006/relationships/hyperlink" Target="https://www.bing.com/images/search?form=xlimg&amp;q=Tennessee" TargetMode="External"/><Relationship Id="rId75" Type="http://schemas.openxmlformats.org/officeDocument/2006/relationships/hyperlink" Target="https://www.bing.com/th?id=OSK.f2dbd079068622692d8b57832120921d&amp;qlt=95" TargetMode="External"/><Relationship Id="rId96" Type="http://schemas.openxmlformats.org/officeDocument/2006/relationships/hyperlink" Target="https://www.bing.com/images/search?form=xlimg&amp;q=France" TargetMode="External"/><Relationship Id="rId140" Type="http://schemas.openxmlformats.org/officeDocument/2006/relationships/hyperlink" Target="https://www.bing.com/images/search?form=xlimg&amp;q=Indianapolis" TargetMode="External"/><Relationship Id="rId161" Type="http://schemas.openxmlformats.org/officeDocument/2006/relationships/hyperlink" Target="https://www.bing.com/th?id=OSK.1a33b5115bfc290abc8869de29ebd567&amp;qlt=95" TargetMode="External"/><Relationship Id="rId182" Type="http://schemas.openxmlformats.org/officeDocument/2006/relationships/hyperlink" Target="https://www.bing.com/images/search?form=xlimg&amp;q=Providence,%20Rhode%20Island" TargetMode="External"/><Relationship Id="rId6" Type="http://schemas.openxmlformats.org/officeDocument/2006/relationships/hyperlink" Target="https://www.bing.com/images/search?form=xlimg&amp;q=United%20States" TargetMode="External"/><Relationship Id="rId23" Type="http://schemas.openxmlformats.org/officeDocument/2006/relationships/hyperlink" Target="https://www.bing.com/th?id=OSK.iPzXUKHWAaw04XjL2EOEYVLq1LOFWzsqpmjL3hkyFFc&amp;qlt=95" TargetMode="External"/><Relationship Id="rId119" Type="http://schemas.openxmlformats.org/officeDocument/2006/relationships/hyperlink" Target="https://www.bing.com/th?id=OSK.9fae920b3d161f824cf10283350e3e1e&amp;qlt=95" TargetMode="External"/><Relationship Id="rId44" Type="http://schemas.openxmlformats.org/officeDocument/2006/relationships/hyperlink" Target="https://www.bing.com/images/search?form=xlimg&amp;q=North%20Carolina" TargetMode="External"/><Relationship Id="rId65" Type="http://schemas.openxmlformats.org/officeDocument/2006/relationships/hyperlink" Target="https://www.bing.com/th?id=OSK.gwa-EN4TFCH7Z0dxE6E8LbA5EynvrRp4OgLZO4hNrQY&amp;qlt=95" TargetMode="External"/><Relationship Id="rId86" Type="http://schemas.openxmlformats.org/officeDocument/2006/relationships/hyperlink" Target="https://www.bing.com/images/search?form=xlimg&amp;q=Madrid" TargetMode="External"/><Relationship Id="rId130" Type="http://schemas.openxmlformats.org/officeDocument/2006/relationships/hyperlink" Target="https://www.bing.com/images/search?form=xlimg&amp;q=Sweden" TargetMode="External"/><Relationship Id="rId151" Type="http://schemas.openxmlformats.org/officeDocument/2006/relationships/hyperlink" Target="https://www.bing.com/th?id=OSK.98487a595574daf008032d4858074c6c&amp;qlt=95" TargetMode="External"/><Relationship Id="rId172" Type="http://schemas.openxmlformats.org/officeDocument/2006/relationships/hyperlink" Target="https://www.bing.com/images/search?form=xlimg&amp;q=Norway" TargetMode="External"/><Relationship Id="rId193" Type="http://schemas.openxmlformats.org/officeDocument/2006/relationships/hyperlink" Target="https://www.bing.com/th?id=OSK.1edc269d232791835391410ad86aef09&amp;qlt=95" TargetMode="External"/><Relationship Id="rId13" Type="http://schemas.openxmlformats.org/officeDocument/2006/relationships/hyperlink" Target="https://www.bing.com/th?id=OSK.753ebef48024a78057065fde53116aa7&amp;qlt=95" TargetMode="External"/><Relationship Id="rId109" Type="http://schemas.openxmlformats.org/officeDocument/2006/relationships/hyperlink" Target="https://www.bing.com/th?id=OSK.7_iYqjXftHmThTCYlh51zbqPoNnoe4Qk7UaH59Ba1Z0&amp;qlt=95" TargetMode="External"/><Relationship Id="rId34" Type="http://schemas.openxmlformats.org/officeDocument/2006/relationships/hyperlink" Target="https://www.bing.com/images/search?form=xlimg&amp;q=Michigan" TargetMode="External"/><Relationship Id="rId55" Type="http://schemas.openxmlformats.org/officeDocument/2006/relationships/hyperlink" Target="https://www.bing.com/th?id=OSK.64a722b3d40292398291610dc8c47d2c&amp;qlt=95" TargetMode="External"/><Relationship Id="rId76" Type="http://schemas.openxmlformats.org/officeDocument/2006/relationships/hyperlink" Target="https://www.bing.com/images/search?form=xlimg&amp;q=Canada" TargetMode="External"/><Relationship Id="rId97" Type="http://schemas.openxmlformats.org/officeDocument/2006/relationships/hyperlink" Target="https://www.bing.com/th?id=OSK.tOSHYHGs-Buolznc808yhdUKx4cBIuUyjpjDEgx-X1Y&amp;qlt=95" TargetMode="External"/><Relationship Id="rId120" Type="http://schemas.openxmlformats.org/officeDocument/2006/relationships/hyperlink" Target="https://www.bing.com/images/search?form=xlimg&amp;q=Lewiston,%20Maine" TargetMode="External"/><Relationship Id="rId141" Type="http://schemas.openxmlformats.org/officeDocument/2006/relationships/hyperlink" Target="https://www.bing.com/th?id=OSK.380316b6ec7e3f5c2fadae3206181af4&amp;qlt=95" TargetMode="External"/><Relationship Id="rId7" Type="http://schemas.openxmlformats.org/officeDocument/2006/relationships/hyperlink" Target="https://www.bing.com/th?id=OSK.71865562d5e20abbd6adcbad9e32525d&amp;qlt=95" TargetMode="External"/><Relationship Id="rId162" Type="http://schemas.openxmlformats.org/officeDocument/2006/relationships/hyperlink" Target="https://www.bing.com/images/search?form=xlimg&amp;q=United%20Kingdom" TargetMode="External"/><Relationship Id="rId183" Type="http://schemas.openxmlformats.org/officeDocument/2006/relationships/hyperlink" Target="https://www.bing.com/th?id=OSK.5ca82a675c844491e9b0ecb82e975a85&amp;qlt=95" TargetMode="External"/><Relationship Id="rId2" Type="http://schemas.openxmlformats.org/officeDocument/2006/relationships/hyperlink" Target="https://www.bing.com/images/search?form=xlimg&amp;q=New%20York%20City" TargetMode="External"/><Relationship Id="rId29" Type="http://schemas.openxmlformats.org/officeDocument/2006/relationships/hyperlink" Target="https://www.bing.com/th?id=OSK.fa968de5bc9179e15dd5970b87b94444&amp;qlt=95" TargetMode="External"/><Relationship Id="rId24" Type="http://schemas.openxmlformats.org/officeDocument/2006/relationships/hyperlink" Target="https://www.bing.com/images/search?form=xlimg&amp;q=Georgia%20(U.S.%20state)" TargetMode="External"/><Relationship Id="rId40" Type="http://schemas.openxmlformats.org/officeDocument/2006/relationships/hyperlink" Target="https://www.bing.com/images/search?form=xlimg&amp;q=Nebraska" TargetMode="External"/><Relationship Id="rId45" Type="http://schemas.openxmlformats.org/officeDocument/2006/relationships/hyperlink" Target="https://www.bing.com/th?id=OSK.c7564e2587d2574bf5d87241964f6496&amp;qlt=95" TargetMode="External"/><Relationship Id="rId66" Type="http://schemas.openxmlformats.org/officeDocument/2006/relationships/hyperlink" Target="https://www.bing.com/images/search?form=xlimg&amp;q=Chicago" TargetMode="External"/><Relationship Id="rId87" Type="http://schemas.openxmlformats.org/officeDocument/2006/relationships/hyperlink" Target="https://www.bing.com/th?id=OSK.mTs9AdlNDLziaMN3BIhJpWCGZaOOUwqIR2jN3FJEeTw&amp;qlt=95" TargetMode="External"/><Relationship Id="rId110" Type="http://schemas.openxmlformats.org/officeDocument/2006/relationships/hyperlink" Target="https://www.bing.com/images/search?form=xlimg&amp;q=Germany" TargetMode="External"/><Relationship Id="rId115" Type="http://schemas.openxmlformats.org/officeDocument/2006/relationships/hyperlink" Target="https://www.bing.com/th?id=OSK.bed9fc3690f3414a4850855fee332f1c&amp;qlt=95" TargetMode="External"/><Relationship Id="rId131" Type="http://schemas.openxmlformats.org/officeDocument/2006/relationships/hyperlink" Target="https://www.bing.com/th?id=OSK.e3Qk7VDK3s_UJdkFUPfcNiPKTMmjgFfoGSCJzeg6YI8&amp;qlt=95" TargetMode="External"/><Relationship Id="rId136" Type="http://schemas.openxmlformats.org/officeDocument/2006/relationships/hyperlink" Target="https://www.bing.com/images/search?form=xlimg&amp;q=Williamstown,%20Massachusetts" TargetMode="External"/><Relationship Id="rId157" Type="http://schemas.openxmlformats.org/officeDocument/2006/relationships/hyperlink" Target="https://www.bing.com/th?id=OSK.afae5b2549e0090890cb6dce4ba08c46&amp;qlt=95" TargetMode="External"/><Relationship Id="rId178" Type="http://schemas.openxmlformats.org/officeDocument/2006/relationships/hyperlink" Target="https://www.bing.com/images/search?form=xlimg&amp;q=Vienna" TargetMode="External"/><Relationship Id="rId61" Type="http://schemas.openxmlformats.org/officeDocument/2006/relationships/hyperlink" Target="https://www.bing.com/th?id=OSK.14d323e3784d30722d6785a6cef8f9c3&amp;qlt=95" TargetMode="External"/><Relationship Id="rId82" Type="http://schemas.openxmlformats.org/officeDocument/2006/relationships/hyperlink" Target="https://www.bing.com/images/search?form=xlimg&amp;q=Reus" TargetMode="External"/><Relationship Id="rId152" Type="http://schemas.openxmlformats.org/officeDocument/2006/relationships/hyperlink" Target="https://www.bing.com/images/search?form=xlimg&amp;q=Getafe" TargetMode="External"/><Relationship Id="rId173" Type="http://schemas.openxmlformats.org/officeDocument/2006/relationships/hyperlink" Target="https://www.bing.com/th?id=OSK.cf17e786b97fde4860ff0b98a404701f&amp;qlt=95" TargetMode="External"/><Relationship Id="rId194" Type="http://schemas.openxmlformats.org/officeDocument/2006/relationships/hyperlink" Target="https://www.bing.com/images/search?form=xlimg&amp;q=Argentina" TargetMode="External"/><Relationship Id="rId199" Type="http://schemas.openxmlformats.org/officeDocument/2006/relationships/hyperlink" Target="https://www.bing.com/th?id=OSK.fda9e53ebc3cfcb82bd9b5ab4f11c264&amp;qlt=95" TargetMode="External"/><Relationship Id="rId203" Type="http://schemas.openxmlformats.org/officeDocument/2006/relationships/hyperlink" Target="https://www.bing.com/th?id=OSK.9ea1211492eefe933978187e49f66fe0&amp;qlt=95" TargetMode="External"/><Relationship Id="rId19" Type="http://schemas.openxmlformats.org/officeDocument/2006/relationships/hyperlink" Target="https://www.bing.com/th?id=OSK.30ceb575fb4214ce576b42df18666e43&amp;qlt=95" TargetMode="External"/><Relationship Id="rId14" Type="http://schemas.openxmlformats.org/officeDocument/2006/relationships/hyperlink" Target="https://www.bing.com/images/search?form=xlimg&amp;q=Arkansas" TargetMode="External"/><Relationship Id="rId30" Type="http://schemas.openxmlformats.org/officeDocument/2006/relationships/hyperlink" Target="https://www.bing.com/images/search?form=xlimg&amp;q=Louisiana" TargetMode="External"/><Relationship Id="rId35" Type="http://schemas.openxmlformats.org/officeDocument/2006/relationships/hyperlink" Target="https://www.bing.com/th?id=OSK.40b19650ace0234fdb053333f72c8df0&amp;qlt=95" TargetMode="External"/><Relationship Id="rId56" Type="http://schemas.openxmlformats.org/officeDocument/2006/relationships/hyperlink" Target="https://www.bing.com/images/search?form=xlimg&amp;q=Texas" TargetMode="External"/><Relationship Id="rId77" Type="http://schemas.openxmlformats.org/officeDocument/2006/relationships/hyperlink" Target="https://www.bing.com/th?id=OSK.105070553dccf583f36eb435ac6a9eed&amp;qlt=95" TargetMode="External"/><Relationship Id="rId100" Type="http://schemas.openxmlformats.org/officeDocument/2006/relationships/hyperlink" Target="https://www.bing.com/images/search?form=xlimg&amp;q=Chile" TargetMode="External"/><Relationship Id="rId105" Type="http://schemas.openxmlformats.org/officeDocument/2006/relationships/hyperlink" Target="https://www.bing.com/th?id=OSK.da9f1ba81b537e79571230c8ed6cac8a&amp;qlt=95" TargetMode="External"/><Relationship Id="rId126" Type="http://schemas.openxmlformats.org/officeDocument/2006/relationships/hyperlink" Target="https://www.bing.com/images/search?form=xlimg&amp;q=Ithaca,%20New%20York" TargetMode="External"/><Relationship Id="rId147" Type="http://schemas.openxmlformats.org/officeDocument/2006/relationships/hyperlink" Target="https://www.bing.com/th?id=OSK.06822149f642a583d99bbab688eca680&amp;qlt=95" TargetMode="External"/><Relationship Id="rId168" Type="http://schemas.openxmlformats.org/officeDocument/2006/relationships/hyperlink" Target="https://www.bing.com/images/search?form=xlimg&amp;q=Portugal" TargetMode="External"/><Relationship Id="rId8" Type="http://schemas.openxmlformats.org/officeDocument/2006/relationships/hyperlink" Target="https://www.bing.com/images/search?form=xlimg&amp;q=Albany,%20New%20York" TargetMode="External"/><Relationship Id="rId51" Type="http://schemas.openxmlformats.org/officeDocument/2006/relationships/hyperlink" Target="https://www.bing.com/th?id=OSK.f57f7916e76fc47c2a83efc3859d6379&amp;qlt=95" TargetMode="External"/><Relationship Id="rId72" Type="http://schemas.openxmlformats.org/officeDocument/2006/relationships/hyperlink" Target="https://www.bing.com/images/search?form=xlimg&amp;q=Richmond,%20Virginia" TargetMode="External"/><Relationship Id="rId93" Type="http://schemas.openxmlformats.org/officeDocument/2006/relationships/hyperlink" Target="https://www.bing.com/th?id=OSK.6f397b35762e2852058e1cfc4607f893&amp;qlt=95" TargetMode="External"/><Relationship Id="rId98" Type="http://schemas.openxmlformats.org/officeDocument/2006/relationships/hyperlink" Target="https://www.bing.com/images/search?form=xlimg&amp;q=Santiago" TargetMode="External"/><Relationship Id="rId121" Type="http://schemas.openxmlformats.org/officeDocument/2006/relationships/hyperlink" Target="https://www.bing.com/th?id=OSK.86be05b8862ef85dc64cd47dab645e4d&amp;qlt=95" TargetMode="External"/><Relationship Id="rId142" Type="http://schemas.openxmlformats.org/officeDocument/2006/relationships/hyperlink" Target="https://www.bing.com/images/search?form=xlimg&amp;q=Brazil" TargetMode="External"/><Relationship Id="rId163" Type="http://schemas.openxmlformats.org/officeDocument/2006/relationships/hyperlink" Target="https://www.bing.com/th?id=OSK.3666846595b7a7ef3fd0663d5b9791f3&amp;qlt=95" TargetMode="External"/><Relationship Id="rId184" Type="http://schemas.openxmlformats.org/officeDocument/2006/relationships/hyperlink" Target="https://www.bing.com/images/search?form=xlimg&amp;q=South%20Africa" TargetMode="External"/><Relationship Id="rId189" Type="http://schemas.openxmlformats.org/officeDocument/2006/relationships/hyperlink" Target="https://www.bing.com/th?id=OSK.p7DiS3CCEjXs27sVPoTvop2_pYLlj7uihgkvC1WT4IE&amp;qlt=95" TargetMode="External"/><Relationship Id="rId3" Type="http://schemas.openxmlformats.org/officeDocument/2006/relationships/hyperlink" Target="https://www.bing.com/th?id=OSK.cba7f275842a20f49b98d704e1366fd5&amp;qlt=95" TargetMode="External"/><Relationship Id="rId25" Type="http://schemas.openxmlformats.org/officeDocument/2006/relationships/hyperlink" Target="https://www.bing.com/th?id=OSK.25a374587d56b5b92ef759ecb4ca433e&amp;qlt=95" TargetMode="External"/><Relationship Id="rId46" Type="http://schemas.openxmlformats.org/officeDocument/2006/relationships/hyperlink" Target="https://www.bing.com/images/search?form=xlimg&amp;q=Ohio" TargetMode="External"/><Relationship Id="rId67" Type="http://schemas.openxmlformats.org/officeDocument/2006/relationships/hyperlink" Target="https://www.bing.com/th?id=OSK.75566aa5e1e18385639b494fd140ff6e&amp;qlt=95" TargetMode="External"/><Relationship Id="rId116" Type="http://schemas.openxmlformats.org/officeDocument/2006/relationships/hyperlink" Target="https://www.bing.com/images/search?form=xlimg&amp;q=Australia" TargetMode="External"/><Relationship Id="rId137" Type="http://schemas.openxmlformats.org/officeDocument/2006/relationships/hyperlink" Target="https://www.bing.com/th?id=OSK._Iya-udDkrlK0__v9ZcJMV2atfwt1DFcE6QTi3fgLfU&amp;qlt=95" TargetMode="External"/><Relationship Id="rId158" Type="http://schemas.openxmlformats.org/officeDocument/2006/relationships/hyperlink" Target="https://www.bing.com/images/search?form=xlimg&amp;q=Dublin" TargetMode="External"/><Relationship Id="rId20" Type="http://schemas.openxmlformats.org/officeDocument/2006/relationships/hyperlink" Target="https://www.bing.com/images/search?form=xlimg&amp;q=Connecticut" TargetMode="External"/><Relationship Id="rId41" Type="http://schemas.openxmlformats.org/officeDocument/2006/relationships/hyperlink" Target="https://www.bing.com/th?id=OSK.0fdd9d38459c62ca5b483a2e70bce404&amp;qlt=95" TargetMode="External"/><Relationship Id="rId62" Type="http://schemas.openxmlformats.org/officeDocument/2006/relationships/hyperlink" Target="https://www.bing.com/images/search?form=xlimg&amp;q=Virginia" TargetMode="External"/><Relationship Id="rId83" Type="http://schemas.openxmlformats.org/officeDocument/2006/relationships/hyperlink" Target="https://www.bing.com/th?id=OSK.fbb71d5e592f7fda00cf81328e03b81f&amp;qlt=95" TargetMode="External"/><Relationship Id="rId88" Type="http://schemas.openxmlformats.org/officeDocument/2006/relationships/hyperlink" Target="https://www.bing.com/images/search?form=xlimg&amp;q=Japan" TargetMode="External"/><Relationship Id="rId111" Type="http://schemas.openxmlformats.org/officeDocument/2006/relationships/hyperlink" Target="https://www.bing.com/th?id=OSK.a1512a61cf778ac466208259f8dc24f5&amp;qlt=95" TargetMode="External"/><Relationship Id="rId132" Type="http://schemas.openxmlformats.org/officeDocument/2006/relationships/hyperlink" Target="https://www.bing.com/images/search?form=xlimg&amp;q=Stockholm" TargetMode="External"/><Relationship Id="rId153" Type="http://schemas.openxmlformats.org/officeDocument/2006/relationships/hyperlink" Target="https://www.bing.com/th?id=OSK.27388ff1aa280ccb16792627f99b03e5&amp;qlt=95" TargetMode="External"/><Relationship Id="rId174" Type="http://schemas.openxmlformats.org/officeDocument/2006/relationships/hyperlink" Target="https://www.bing.com/images/search?form=xlimg&amp;q=Mexico" TargetMode="External"/><Relationship Id="rId179" Type="http://schemas.openxmlformats.org/officeDocument/2006/relationships/hyperlink" Target="https://www.bing.com/th?id=OSK.-vv9GBngWnUSPvi3oyl0yHQjBgdeoIaih8KMBshpXcM&amp;qlt=95" TargetMode="External"/><Relationship Id="rId195" Type="http://schemas.openxmlformats.org/officeDocument/2006/relationships/hyperlink" Target="https://www.bing.com/th?id=OSK.20b781e13bc391ce9e66ee42c5e9c504&amp;qlt=95" TargetMode="External"/><Relationship Id="rId190" Type="http://schemas.openxmlformats.org/officeDocument/2006/relationships/hyperlink" Target="https://www.bing.com/images/search?form=xlimg&amp;q=Miami" TargetMode="External"/><Relationship Id="rId204" Type="http://schemas.openxmlformats.org/officeDocument/2006/relationships/hyperlink" Target="https://www.bing.com/images/search?form=xlimg&amp;q=Baltimore" TargetMode="External"/><Relationship Id="rId15" Type="http://schemas.openxmlformats.org/officeDocument/2006/relationships/hyperlink" Target="https://www.bing.com/th?id=OSK.00be164b931c0a9427c0a2ebdae3e140&amp;qlt=95" TargetMode="External"/><Relationship Id="rId36" Type="http://schemas.openxmlformats.org/officeDocument/2006/relationships/hyperlink" Target="https://www.bing.com/images/search?form=xlimg&amp;q=Minnesota" TargetMode="External"/><Relationship Id="rId57" Type="http://schemas.openxmlformats.org/officeDocument/2006/relationships/hyperlink" Target="https://www.bing.com/th?id=OSK.1973703d864373b47ab825b2a978ab2d&amp;qlt=95" TargetMode="External"/><Relationship Id="rId106" Type="http://schemas.openxmlformats.org/officeDocument/2006/relationships/hyperlink" Target="https://www.bing.com/images/search?form=xlimg&amp;q=Barcelona" TargetMode="External"/><Relationship Id="rId127" Type="http://schemas.openxmlformats.org/officeDocument/2006/relationships/hyperlink" Target="https://www.bing.com/th?id=OSK.YyStd3n6FeCyDWZVKn54i8IqezKRsFpq7XThd1PUiDk&amp;qlt=95" TargetMode="External"/><Relationship Id="rId10" Type="http://schemas.openxmlformats.org/officeDocument/2006/relationships/hyperlink" Target="https://www.bing.com/images/search?form=xlimg&amp;q=Washington,%20D.C." TargetMode="External"/><Relationship Id="rId31" Type="http://schemas.openxmlformats.org/officeDocument/2006/relationships/hyperlink" Target="https://www.bing.com/th?id=OSK.987b2cac28f5ea262ad37b9b21c25b33&amp;qlt=95" TargetMode="External"/><Relationship Id="rId52" Type="http://schemas.openxmlformats.org/officeDocument/2006/relationships/hyperlink" Target="https://www.bing.com/images/search?form=xlimg&amp;q=South%20Carolina" TargetMode="External"/><Relationship Id="rId73" Type="http://schemas.openxmlformats.org/officeDocument/2006/relationships/hyperlink" Target="https://www.bing.com/th?id=OSK.773b6665641a8c212ab63e5cae9d8ffd&amp;qlt=95" TargetMode="External"/><Relationship Id="rId78" Type="http://schemas.openxmlformats.org/officeDocument/2006/relationships/hyperlink" Target="https://www.bing.com/images/search?form=xlimg&amp;q=Ontario" TargetMode="External"/><Relationship Id="rId94" Type="http://schemas.openxmlformats.org/officeDocument/2006/relationships/hyperlink" Target="https://www.bing.com/images/search?form=xlimg&amp;q=Paris" TargetMode="External"/><Relationship Id="rId99" Type="http://schemas.openxmlformats.org/officeDocument/2006/relationships/hyperlink" Target="https://www.bing.com/th?id=OSK.79dcfcb50bb489b9abd805e3a32b4d69&amp;qlt=95" TargetMode="External"/><Relationship Id="rId101" Type="http://schemas.openxmlformats.org/officeDocument/2006/relationships/hyperlink" Target="https://www.bing.com/th?id=OSK.8p2k5lHoxkLkVFhhRavwz0TU1HJcwyyrphMGrCfxYiE&amp;qlt=95" TargetMode="External"/><Relationship Id="rId122" Type="http://schemas.openxmlformats.org/officeDocument/2006/relationships/hyperlink" Target="https://www.bing.com/images/search?form=xlimg&amp;q=Montreal" TargetMode="External"/><Relationship Id="rId143" Type="http://schemas.openxmlformats.org/officeDocument/2006/relationships/hyperlink" Target="https://www.bing.com/th?id=OSK.09cf279ad5c4bf29528ac1780d0c14bc&amp;qlt=95" TargetMode="External"/><Relationship Id="rId148" Type="http://schemas.openxmlformats.org/officeDocument/2006/relationships/hyperlink" Target="https://www.bing.com/images/search?form=xlimg&amp;q=Grinnell,%20Iowa" TargetMode="External"/><Relationship Id="rId164" Type="http://schemas.openxmlformats.org/officeDocument/2006/relationships/hyperlink" Target="https://www.bing.com/images/search?form=xlimg&amp;q=London" TargetMode="External"/><Relationship Id="rId169" Type="http://schemas.openxmlformats.org/officeDocument/2006/relationships/hyperlink" Target="https://www.bing.com/th?id=OSK.ea703288926093d94f3ee0ae48dc323c&amp;qlt=95" TargetMode="External"/><Relationship Id="rId185" Type="http://schemas.openxmlformats.org/officeDocument/2006/relationships/hyperlink" Target="https://www.bing.com/th?id=OSK.8298887f55c96dfd2e0e36ede7906de8&amp;qlt=95" TargetMode="External"/><Relationship Id="rId4" Type="http://schemas.openxmlformats.org/officeDocument/2006/relationships/hyperlink" Target="https://www.bing.com/images/search?form=xlimg&amp;q=New%20York%20(state)" TargetMode="External"/><Relationship Id="rId9" Type="http://schemas.openxmlformats.org/officeDocument/2006/relationships/hyperlink" Target="https://www.bing.com/th?id=OSK.mO4XHwrP6yfKa7Avo1I5bKuv0yIDhsmaBtDzMrZXF_E&amp;qlt=95" TargetMode="External"/><Relationship Id="rId180" Type="http://schemas.openxmlformats.org/officeDocument/2006/relationships/hyperlink" Target="https://www.bing.com/images/search?form=xlimg&amp;q=Russia" TargetMode="External"/><Relationship Id="rId26" Type="http://schemas.openxmlformats.org/officeDocument/2006/relationships/hyperlink" Target="https://www.bing.com/images/search?form=xlimg&amp;q=Illinois" TargetMode="External"/><Relationship Id="rId47" Type="http://schemas.openxmlformats.org/officeDocument/2006/relationships/hyperlink" Target="https://www.bing.com/th?id=OSK.dc4854218778b6f007a0fb39483a9a3f&amp;qlt=95" TargetMode="External"/><Relationship Id="rId68" Type="http://schemas.openxmlformats.org/officeDocument/2006/relationships/hyperlink" Target="https://www.bing.com/images/search?form=xlimg&amp;q=Boston" TargetMode="External"/><Relationship Id="rId89" Type="http://schemas.openxmlformats.org/officeDocument/2006/relationships/hyperlink" Target="https://www.bing.com/th?id=OSK.a5e66df12e2c87d6b1c2825f3d9fd432&amp;qlt=95" TargetMode="External"/><Relationship Id="rId112" Type="http://schemas.openxmlformats.org/officeDocument/2006/relationships/hyperlink" Target="https://www.bing.com/images/search?form=xlimg&amp;q=Berlin" TargetMode="External"/><Relationship Id="rId133" Type="http://schemas.openxmlformats.org/officeDocument/2006/relationships/hyperlink" Target="https://www.bing.com/th?id=OSK.f7fdc0797674edd230ee73aba17b77d2&amp;qlt=95" TargetMode="External"/><Relationship Id="rId154" Type="http://schemas.openxmlformats.org/officeDocument/2006/relationships/hyperlink" Target="https://www.bing.com/images/search?form=xlimg&amp;q=Toulouse" TargetMode="External"/><Relationship Id="rId175" Type="http://schemas.openxmlformats.org/officeDocument/2006/relationships/hyperlink" Target="https://www.bing.com/th?id=OSK.K6cXOoQ3uq-EC3cRugPlGaZZFMyWOrULs9oxwlrZw8A&amp;qlt=95" TargetMode="External"/><Relationship Id="rId196" Type="http://schemas.openxmlformats.org/officeDocument/2006/relationships/hyperlink" Target="https://www.bing.com/images/search?form=xlimg&amp;q=Prague" TargetMode="External"/><Relationship Id="rId200" Type="http://schemas.openxmlformats.org/officeDocument/2006/relationships/hyperlink" Target="https://www.bing.com/images/search?form=xlimg&amp;q=Turkey" TargetMode="External"/><Relationship Id="rId16" Type="http://schemas.openxmlformats.org/officeDocument/2006/relationships/hyperlink" Target="https://www.bing.com/images/search?form=xlimg&amp;q=California" TargetMode="External"/><Relationship Id="rId37" Type="http://schemas.openxmlformats.org/officeDocument/2006/relationships/hyperlink" Target="https://www.bing.com/th?id=OSK.1cd4f85af3824efb5042b916ad3717a9&amp;qlt=95" TargetMode="External"/><Relationship Id="rId58" Type="http://schemas.openxmlformats.org/officeDocument/2006/relationships/hyperlink" Target="https://www.bing.com/images/search?form=xlimg&amp;q=Utah" TargetMode="External"/><Relationship Id="rId79" Type="http://schemas.openxmlformats.org/officeDocument/2006/relationships/hyperlink" Target="https://www.bing.com/th?id=OSK.fAhOaFi6M5ZKJxodrHZF9yR2AQ3voI-PGG1ga5v3t0U&amp;qlt=95" TargetMode="External"/><Relationship Id="rId102" Type="http://schemas.openxmlformats.org/officeDocument/2006/relationships/hyperlink" Target="https://www.bing.com/images/search?form=xlimg&amp;q=Netherlands" TargetMode="External"/><Relationship Id="rId123" Type="http://schemas.openxmlformats.org/officeDocument/2006/relationships/hyperlink" Target="https://www.bing.com/th?id=OSK.ymB-aUlVtIPobu-J0CqOfis9WIfVxNvQ7P37PoJG0Dw&amp;qlt=95" TargetMode="External"/><Relationship Id="rId144" Type="http://schemas.openxmlformats.org/officeDocument/2006/relationships/hyperlink" Target="https://www.bing.com/images/search?form=xlimg&amp;q=Pittsburgh" TargetMode="External"/><Relationship Id="rId90" Type="http://schemas.openxmlformats.org/officeDocument/2006/relationships/hyperlink" Target="https://www.bing.com/images/search?form=xlimg&amp;q=Tokyo" TargetMode="External"/><Relationship Id="rId165" Type="http://schemas.openxmlformats.org/officeDocument/2006/relationships/hyperlink" Target="https://www.bing.com/th?id=OSK.797f76ed51949e08ea702ec98e939444&amp;qlt=95" TargetMode="External"/><Relationship Id="rId186" Type="http://schemas.openxmlformats.org/officeDocument/2006/relationships/hyperlink" Target="https://www.bing.com/images/search?form=xlimg&amp;q=Brussels" TargetMode="External"/><Relationship Id="rId27" Type="http://schemas.openxmlformats.org/officeDocument/2006/relationships/hyperlink" Target="https://www.bing.com/th?id=OSK.153231065b610cb99cb3435b59eccac2&amp;qlt=95" TargetMode="External"/><Relationship Id="rId48" Type="http://schemas.openxmlformats.org/officeDocument/2006/relationships/hyperlink" Target="https://www.bing.com/images/search?form=xlimg&amp;q=Oklahoma" TargetMode="External"/><Relationship Id="rId69" Type="http://schemas.openxmlformats.org/officeDocument/2006/relationships/hyperlink" Target="https://www.bing.com/th?id=OSK.fa4514eac6dc7cbde45b9401def6292c&amp;qlt=95" TargetMode="External"/><Relationship Id="rId113" Type="http://schemas.openxmlformats.org/officeDocument/2006/relationships/hyperlink" Target="https://www.bing.com/th?id=OSK.8715b8e5a0275c579963b6d5bf20d290&amp;qlt=95" TargetMode="External"/><Relationship Id="rId134" Type="http://schemas.openxmlformats.org/officeDocument/2006/relationships/hyperlink" Target="https://www.bing.com/images/search?form=xlimg&amp;q=Switzerland" TargetMode="External"/><Relationship Id="rId80" Type="http://schemas.openxmlformats.org/officeDocument/2006/relationships/hyperlink" Target="https://www.bing.com/images/search?form=xlimg&amp;q=Hamilton,%20Ontario" TargetMode="External"/><Relationship Id="rId155" Type="http://schemas.openxmlformats.org/officeDocument/2006/relationships/hyperlink" Target="https://www.bing.com/th?id=OSK.57eddb9e5c586f93ebb1965e3a27908b&amp;qlt=95" TargetMode="External"/><Relationship Id="rId176" Type="http://schemas.openxmlformats.org/officeDocument/2006/relationships/hyperlink" Target="https://www.bing.com/images/search?form=xlimg&amp;q=Austria" TargetMode="External"/><Relationship Id="rId197" Type="http://schemas.openxmlformats.org/officeDocument/2006/relationships/hyperlink" Target="https://www.bing.com/th?id=OSK.d9b621cc7d88019e0d716dda1c17a307&amp;qlt=95" TargetMode="External"/><Relationship Id="rId201" Type="http://schemas.openxmlformats.org/officeDocument/2006/relationships/hyperlink" Target="https://www.bing.com/th?id=OSK.Lyl-JouTRWRssx4jovmxrAVxTNeaqjtAn6Q5VMiWsvs&amp;qlt=95" TargetMode="External"/><Relationship Id="rId17" Type="http://schemas.openxmlformats.org/officeDocument/2006/relationships/hyperlink" Target="https://www.bing.com/th?id=OSK.e3cff3492e954506af4fb2c8552f6135&amp;qlt=95" TargetMode="External"/><Relationship Id="rId38" Type="http://schemas.openxmlformats.org/officeDocument/2006/relationships/hyperlink" Target="https://www.bing.com/images/search?form=xlimg&amp;q=Missouri" TargetMode="External"/><Relationship Id="rId59" Type="http://schemas.openxmlformats.org/officeDocument/2006/relationships/hyperlink" Target="https://www.bing.com/th?id=OSK.1cfcbb65e7439d46cfb4b0db17de4825&amp;qlt=95" TargetMode="External"/><Relationship Id="rId103" Type="http://schemas.openxmlformats.org/officeDocument/2006/relationships/hyperlink" Target="https://www.bing.com/th?id=OSK.02dc9ff1a450802efeaa9ce03d0c03cc&amp;qlt=95" TargetMode="External"/><Relationship Id="rId124" Type="http://schemas.openxmlformats.org/officeDocument/2006/relationships/hyperlink" Target="https://www.bing.com/images/search?form=xlimg&amp;q=Colombia" TargetMode="External"/><Relationship Id="rId70" Type="http://schemas.openxmlformats.org/officeDocument/2006/relationships/hyperlink" Target="https://www.bing.com/images/search?form=xlimg&amp;q=Houston" TargetMode="External"/><Relationship Id="rId91" Type="http://schemas.openxmlformats.org/officeDocument/2006/relationships/hyperlink" Target="https://www.bing.com/th?id=OSK.a49f4d89d8633cc23c43eee956972f90&amp;qlt=95" TargetMode="External"/><Relationship Id="rId145" Type="http://schemas.openxmlformats.org/officeDocument/2006/relationships/hyperlink" Target="https://www.bing.com/th?id=OSK.7ea08d999100e33f03f970c4c3a5b798&amp;qlt=95" TargetMode="External"/><Relationship Id="rId166" Type="http://schemas.openxmlformats.org/officeDocument/2006/relationships/hyperlink" Target="https://www.bing.com/images/search?form=xlimg&amp;q=Cascais" TargetMode="External"/><Relationship Id="rId187" Type="http://schemas.openxmlformats.org/officeDocument/2006/relationships/hyperlink" Target="https://www.bing.com/th?id=OSK.dQRnOlTKTXrhKm9OaxUUVBGNjKK1hL9mKy8jDit9INI&amp;qlt=95" TargetMode="External"/><Relationship Id="rId1" Type="http://schemas.openxmlformats.org/officeDocument/2006/relationships/hyperlink" Target="https://www.bing.com/th?id=OSK.YtMhN6HhvG5MEe3503eBpt0x5dUEQecJSHfTztAgl0U&amp;qlt=95" TargetMode="External"/><Relationship Id="rId28" Type="http://schemas.openxmlformats.org/officeDocument/2006/relationships/hyperlink" Target="https://www.bing.com/images/search?form=xlimg&amp;q=Iowa" TargetMode="External"/><Relationship Id="rId49" Type="http://schemas.openxmlformats.org/officeDocument/2006/relationships/hyperlink" Target="https://www.bing.com/th?id=OSK.7bfbead25a8cd788f9ef5c17097be1bc&amp;qlt=95" TargetMode="External"/><Relationship Id="rId114" Type="http://schemas.openxmlformats.org/officeDocument/2006/relationships/hyperlink" Target="https://www.bing.com/images/search?form=xlimg&amp;q=College%20Station,%20Texas" TargetMode="External"/><Relationship Id="rId60" Type="http://schemas.openxmlformats.org/officeDocument/2006/relationships/hyperlink" Target="https://www.bing.com/images/search?form=xlimg&amp;q=Vermont" TargetMode="External"/><Relationship Id="rId81" Type="http://schemas.openxmlformats.org/officeDocument/2006/relationships/hyperlink" Target="https://www.bing.com/th?id=OSK.8dbe7163fcbe6a0f90507138513473b1&amp;qlt=95" TargetMode="External"/><Relationship Id="rId135" Type="http://schemas.openxmlformats.org/officeDocument/2006/relationships/hyperlink" Target="https://www.bing.com/th?id=OSK.5de40238d1b2968500f71cdf66cc13ef&amp;qlt=95" TargetMode="External"/><Relationship Id="rId156" Type="http://schemas.openxmlformats.org/officeDocument/2006/relationships/hyperlink" Target="https://www.bing.com/images/search?form=xlimg&amp;q=Singapore" TargetMode="External"/><Relationship Id="rId177" Type="http://schemas.openxmlformats.org/officeDocument/2006/relationships/hyperlink" Target="https://www.bing.com/th?id=OSK.3ghXMrl_JnSa1AFsYrUTwZaqRfXbYjgQtpjHYraDko4&amp;qlt=95" TargetMode="External"/><Relationship Id="rId198" Type="http://schemas.openxmlformats.org/officeDocument/2006/relationships/hyperlink" Target="https://www.bing.com/images/search?form=xlimg&amp;q=Slovakia" TargetMode="External"/><Relationship Id="rId202" Type="http://schemas.openxmlformats.org/officeDocument/2006/relationships/hyperlink" Target="https://www.bing.com/images/search?form=xlimg&amp;q=Czech%20Republic" TargetMode="External"/><Relationship Id="rId18" Type="http://schemas.openxmlformats.org/officeDocument/2006/relationships/hyperlink" Target="https://www.bing.com/images/search?form=xlimg&amp;q=Colorado" TargetMode="External"/><Relationship Id="rId39" Type="http://schemas.openxmlformats.org/officeDocument/2006/relationships/hyperlink" Target="https://www.bing.com/th?id=OSK.09fb0d37cacee3c3feb04b7452bd8436&amp;qlt=95" TargetMode="External"/><Relationship Id="rId50" Type="http://schemas.openxmlformats.org/officeDocument/2006/relationships/hyperlink" Target="https://www.bing.com/images/search?form=xlimg&amp;q=Pennsylvania" TargetMode="External"/><Relationship Id="rId104" Type="http://schemas.openxmlformats.org/officeDocument/2006/relationships/hyperlink" Target="https://www.bing.com/images/search?form=xlimg&amp;q=Poughkeepsie,%20New%20York" TargetMode="External"/><Relationship Id="rId125" Type="http://schemas.openxmlformats.org/officeDocument/2006/relationships/hyperlink" Target="https://www.bing.com/th?id=OSK.6641bf95272891c69b797660a285d90d&amp;qlt=95" TargetMode="External"/><Relationship Id="rId146" Type="http://schemas.openxmlformats.org/officeDocument/2006/relationships/hyperlink" Target="https://www.bing.com/images/search?form=xlimg&amp;q=Uruguay" TargetMode="External"/><Relationship Id="rId167" Type="http://schemas.openxmlformats.org/officeDocument/2006/relationships/hyperlink" Target="https://www.bing.com/th?id=OSK.2d7b7af86f9a55648a4aec7fbe3969e6&amp;qlt=95" TargetMode="External"/><Relationship Id="rId188" Type="http://schemas.openxmlformats.org/officeDocument/2006/relationships/hyperlink" Target="https://www.bing.com/images/search?form=xlimg&amp;q=Belgium" TargetMode="External"/><Relationship Id="rId71" Type="http://schemas.openxmlformats.org/officeDocument/2006/relationships/hyperlink" Target="https://www.bing.com/th?id=OSK.aa77111f4bd33218be847893f0d58cbf&amp;qlt=95" TargetMode="External"/><Relationship Id="rId92" Type="http://schemas.openxmlformats.org/officeDocument/2006/relationships/hyperlink" Target="https://www.bing.com/images/search?form=xlimg&amp;q=Wellesley,%20Massachusetts"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rd>
    <address r:id="rId171"/>
    <moreImagesAddress r:id="rId172"/>
  </webImageSrd>
  <webImageSrd>
    <address r:id="rId173"/>
    <moreImagesAddress r:id="rId174"/>
  </webImageSrd>
  <webImageSrd>
    <address r:id="rId175"/>
    <moreImagesAddress r:id="rId176"/>
  </webImageSrd>
  <webImageSrd>
    <address r:id="rId177"/>
    <moreImagesAddress r:id="rId178"/>
  </webImageSrd>
  <webImageSrd>
    <address r:id="rId179"/>
    <moreImagesAddress r:id="rId180"/>
  </webImageSrd>
  <webImageSrd>
    <address r:id="rId181"/>
    <moreImagesAddress r:id="rId182"/>
  </webImageSrd>
  <webImageSrd>
    <address r:id="rId183"/>
    <moreImagesAddress r:id="rId184"/>
  </webImageSrd>
  <webImageSrd>
    <address r:id="rId185"/>
    <moreImagesAddress r:id="rId186"/>
  </webImageSrd>
  <webImageSrd>
    <address r:id="rId187"/>
    <moreImagesAddress r:id="rId188"/>
  </webImageSrd>
  <webImageSrd>
    <address r:id="rId189"/>
    <moreImagesAddress r:id="rId190"/>
  </webImageSrd>
  <webImageSrd>
    <address r:id="rId191"/>
    <moreImagesAddress r:id="rId192"/>
  </webImageSrd>
  <webImageSrd>
    <address r:id="rId193"/>
    <moreImagesAddress r:id="rId194"/>
  </webImageSrd>
  <webImageSrd>
    <address r:id="rId195"/>
    <moreImagesAddress r:id="rId196"/>
  </webImageSrd>
  <webImageSrd>
    <address r:id="rId197"/>
    <moreImagesAddress r:id="rId198"/>
  </webImageSrd>
  <webImageSrd>
    <address r:id="rId199"/>
    <moreImagesAddress r:id="rId200"/>
  </webImageSrd>
  <webImageSrd>
    <address r:id="rId201"/>
    <moreImagesAddress r:id="rId202"/>
  </webImageSrd>
  <webImageSrd>
    <address r:id="rId203"/>
    <moreImagesAddress r:id="rId204"/>
  </webImageSrd>
</webImagesSrd>
</file>

<file path=xl/richData/rdarray.xml><?xml version="1.0" encoding="utf-8"?>
<arrayData xmlns="http://schemas.microsoft.com/office/spreadsheetml/2017/richdata2" count="192">
  <a r="1">
    <v t="r">6</v>
  </a>
  <a r="1">
    <v t="s">Eastern Time Zone</v>
  </a>
  <a r="4">
    <v t="r">19</v>
    <v t="r">20</v>
    <v t="r">21</v>
    <v t="r">22</v>
  </a>
  <a r="4">
    <v t="r">66</v>
    <v t="r">67</v>
    <v t="r">68</v>
    <v t="r">69</v>
  </a>
  <a r="1">
    <v t="s">English language</v>
  </a>
  <a r="55">
    <v t="r">88</v>
    <v t="r">89</v>
    <v t="r">90</v>
    <v t="r">91</v>
    <v t="r">92</v>
    <v t="r">93</v>
    <v t="r">94</v>
    <v t="r">95</v>
    <v t="r">96</v>
    <v t="r">97</v>
    <v t="r">98</v>
    <v t="r">99</v>
    <v t="r">100</v>
    <v t="r">101</v>
    <v t="r">102</v>
    <v t="r">103</v>
    <v t="r">104</v>
    <v t="r">105</v>
    <v t="r">106</v>
    <v t="r">107</v>
    <v t="r">108</v>
    <v t="r">109</v>
    <v t="r">110</v>
    <v t="r">111</v>
    <v t="r">112</v>
    <v t="r">113</v>
    <v t="r">114</v>
    <v t="r">115</v>
    <v t="r">116</v>
    <v t="r">117</v>
    <v t="r">118</v>
    <v t="r">1</v>
    <v t="r">119</v>
    <v t="r">120</v>
    <v t="r">121</v>
    <v t="r">122</v>
    <v t="r">123</v>
    <v t="r">124</v>
    <v t="r">125</v>
    <v t="r">126</v>
    <v t="r">127</v>
    <v t="r">128</v>
    <v t="r">129</v>
    <v t="r">130</v>
    <v t="r">131</v>
    <v t="r">132</v>
    <v t="r">133</v>
    <v t="r">134</v>
    <v t="r">135</v>
    <v t="r">136</v>
    <v t="r">137</v>
    <v t="r">138</v>
    <v t="r">139</v>
    <v t="r">140</v>
    <v t="r">141</v>
  </a>
  <a r="6">
    <v t="s">Samoa Time Zone</v>
    <v t="s">Atlantic Time Zone</v>
    <v t="s">Central Time Zone</v>
    <v t="s">Alaska Time Zone</v>
    <v t="s">Mountain Time Zone</v>
    <v t="s">Chamorro Time Zone</v>
  </a>
  <a r="1">
    <v t="r">153</v>
  </a>
  <a r="1">
    <v t="r">164</v>
  </a>
  <a r="4">
    <v t="r">195</v>
    <v t="r">196</v>
    <v t="r">197</v>
    <v t="r">198</v>
  </a>
  <a r="1">
    <v t="s">English</v>
  </a>
  <a r="1">
    <v t="s">Mountain Time Zone</v>
  </a>
  <a r="4">
    <v t="r">230</v>
    <v t="r">231</v>
    <v t="r">232</v>
    <v t="r">233</v>
  </a>
  <a r="1">
    <v t="s">Central Time Zone</v>
  </a>
  <a r="4">
    <v t="r">263</v>
    <v t="r">264</v>
    <v t="r">265</v>
    <v t="r">266</v>
  </a>
  <a r="1">
    <v t="s">Pacific Time Zone</v>
  </a>
  <a r="4">
    <v t="r">297</v>
    <v t="r">298</v>
    <v t="r">299</v>
    <v t="r">300</v>
  </a>
  <a r="1">
    <v t="s">UTC−07:00</v>
  </a>
  <a r="4">
    <v t="r">330</v>
    <v t="r">331</v>
    <v t="r">332</v>
    <v t="r">333</v>
  </a>
  <a r="3">
    <v t="r">362</v>
    <v t="r">363</v>
    <v t="r">364</v>
  </a>
  <a r="2">
    <v t="s">Eastern Time Zone</v>
    <v t="s">Central Time Zone</v>
  </a>
  <a r="4">
    <v t="r">390</v>
    <v t="r">391</v>
    <v t="r">392</v>
    <v t="r">393</v>
  </a>
  <a r="4">
    <v t="r">417</v>
    <v t="r">418</v>
    <v t="r">419</v>
    <v t="r">420</v>
  </a>
  <a r="4">
    <v t="r">444</v>
    <v t="r">445</v>
    <v t="r">446</v>
    <v t="r">447</v>
  </a>
  <a r="4">
    <v t="r">471</v>
    <v t="r">472</v>
    <v t="r">473</v>
    <v t="r">474</v>
  </a>
  <a r="1">
    <v t="s">Louisiana French</v>
  </a>
  <a r="4">
    <v t="r">500</v>
    <v t="r">501</v>
    <v t="r">502</v>
    <v t="r">503</v>
  </a>
  <a r="4">
    <v t="r">527</v>
    <v t="r">528</v>
    <v t="r">529</v>
    <v t="r">530</v>
  </a>
  <a r="4">
    <v t="r">556</v>
    <v t="r">557</v>
    <v t="r">558</v>
    <v t="r">559</v>
  </a>
  <a r="4">
    <v t="r">582</v>
    <v t="r">583</v>
    <v t="r">584</v>
    <v t="r">585</v>
  </a>
  <a r="4">
    <v t="r">608</v>
    <v t="r">609</v>
    <v t="r">610</v>
    <v t="r">611</v>
  </a>
  <a r="4">
    <v t="r">636</v>
    <v t="r">637</v>
    <v t="r">638</v>
    <v t="r">639</v>
  </a>
  <a r="4">
    <v t="r">664</v>
    <v t="r">665</v>
    <v t="r">666</v>
    <v t="r">667</v>
  </a>
  <a r="4">
    <v t="r">690</v>
    <v t="r">691</v>
    <v t="r">692</v>
    <v t="r">693</v>
  </a>
  <a r="3">
    <v t="s">English</v>
    <v t="s">De facto</v>
    <v t="s">De jure</v>
  </a>
  <a r="4">
    <v t="r">717</v>
    <v t="r">718</v>
    <v t="r">719</v>
    <v t="r">720</v>
  </a>
  <a r="4">
    <v t="r">742</v>
    <v t="r">743</v>
    <v t="r">744</v>
    <v t="r">745</v>
  </a>
  <a r="4">
    <v t="r">771</v>
    <v t="r">772</v>
    <v t="r">773</v>
    <v t="r">774</v>
  </a>
  <a r="4">
    <v t="r">796</v>
    <v t="r">797</v>
    <v t="r">798</v>
    <v t="r">799</v>
  </a>
  <a r="4">
    <v t="r">820</v>
    <v t="r">821</v>
    <v t="r">822</v>
    <v t="r">823</v>
  </a>
  <a r="4">
    <v t="r">844</v>
    <v t="r">845</v>
    <v t="r">846</v>
    <v t="r">847</v>
  </a>
  <a r="4">
    <v t="r">870</v>
    <v t="r">871</v>
    <v t="r">872</v>
    <v t="r">873</v>
  </a>
  <a r="4">
    <v t="r">895</v>
    <v t="r">896</v>
    <v t="r">897</v>
    <v t="r">898</v>
  </a>
  <a r="4">
    <v t="r">919</v>
    <v t="r">920</v>
    <v t="r">921</v>
    <v t="r">922</v>
  </a>
  <a r="1">
    <v t="r">943</v>
  </a>
  <a r="2">
    <v t="s">UTC−05:00</v>
    <v t="s">UTC−06:00</v>
  </a>
  <a r="1">
    <v t="r">955</v>
  </a>
  <a r="1">
    <v t="r">965</v>
  </a>
  <a r="1">
    <v t="r">974</v>
  </a>
  <a r="1">
    <v t="r">987</v>
  </a>
  <a r="2">
    <v t="r">1012</v>
    <v t="r">1013</v>
  </a>
  <a r="2">
    <v t="s">Canadian French</v>
    <v t="s">Canadian English</v>
  </a>
  <a r="13">
    <v t="r">1028</v>
    <v t="r">1029</v>
    <v t="r">1030</v>
    <v t="r">1031</v>
    <v t="r">1032</v>
    <v t="r">1033</v>
    <v t="r">1034</v>
    <v t="r">1035</v>
    <v t="r">1036</v>
    <v t="r">1037</v>
    <v t="r">1038</v>
    <v t="r">1039</v>
    <v t="r">981</v>
  </a>
  <a r="6">
    <v t="s">Newfoundland Time Zone</v>
    <v t="s">Atlantic Time Zone</v>
    <v t="s">Eastern Time Zone</v>
    <v t="s">Central Time Zone</v>
    <v t="s">Mountain Time Zone</v>
    <v t="s">Pacific Time Zone</v>
  </a>
  <a r="2">
    <v t="r">1051</v>
    <v t="r">1052</v>
  </a>
  <a r="1">
    <v t="s">Canadian English</v>
  </a>
  <a r="1">
    <v t="r">1064</v>
  </a>
  <a r="1">
    <v t="r">1077</v>
  </a>
  <a r="2">
    <v t="s">UTC+02:00</v>
    <v t="s">UTC+01:00</v>
  </a>
  <a r="2">
    <v t="r">1103</v>
    <v t="r">1104</v>
  </a>
  <a r="1">
    <v t="s">Spanish language</v>
  </a>
  <a r="18">
    <v t="r">1120</v>
    <v t="r">1121</v>
    <v t="r">1122</v>
    <v t="r">1123</v>
    <v t="r">1124</v>
    <v t="r">1125</v>
    <v t="r">1126</v>
    <v t="r">1127</v>
    <v t="r">1128</v>
    <v t="r">1129</v>
    <v t="r">1130</v>
    <v t="r">1131</v>
    <v t="r">1132</v>
    <v t="r">1133</v>
    <v t="r">1134</v>
    <v t="r">1135</v>
    <v t="r">1136</v>
    <v t="r">1137</v>
  </a>
  <a r="1">
    <v t="r">1147</v>
  </a>
  <a r="2">
    <v t="r">1173</v>
    <v t="r">1174</v>
  </a>
  <a r="1">
    <v t="s">Japanese language</v>
  </a>
  <a r="46">
    <v t="r">1189</v>
    <v t="r">1190</v>
    <v t="r">1191</v>
    <v t="r">1192</v>
    <v t="r">1193</v>
    <v t="r">1194</v>
    <v t="r">1195</v>
    <v t="r">1196</v>
    <v t="r">1197</v>
    <v t="r">1198</v>
    <v t="r">1199</v>
    <v t="r">1200</v>
    <v t="r">1159</v>
    <v t="r">1201</v>
    <v t="r">1202</v>
    <v t="r">1203</v>
    <v t="r">1204</v>
    <v t="r">1205</v>
    <v t="r">1206</v>
    <v t="r">1207</v>
    <v t="r">1208</v>
    <v t="r">1209</v>
    <v t="r">1210</v>
    <v t="r">1211</v>
    <v t="r">1212</v>
    <v t="r">1213</v>
    <v t="r">1214</v>
    <v t="r">1215</v>
    <v t="r">1216</v>
    <v t="r">1217</v>
    <v t="r">1218</v>
    <v t="r">1219</v>
    <v t="r">1220</v>
    <v t="r">1221</v>
    <v t="r">1222</v>
    <v t="r">1223</v>
    <v t="r">1224</v>
    <v t="r">1225</v>
    <v t="r">1226</v>
    <v t="r">1227</v>
    <v t="r">1228</v>
    <v t="r">1229</v>
    <v t="r">1230</v>
    <v t="r">1231</v>
    <v t="r">1232</v>
    <v t="r">1233</v>
  </a>
  <a r="1">
    <v t="s">Japan Standard Time</v>
  </a>
  <a r="1">
    <v t="r">1245</v>
  </a>
  <a r="1">
    <v t="r">1266</v>
  </a>
  <a r="2">
    <v t="r">1290</v>
    <v t="r">1291</v>
  </a>
  <a r="1">
    <v t="s">French language</v>
  </a>
  <a r="25">
    <v t="r">1305</v>
    <v t="r">1306</v>
    <v t="r">1307</v>
    <v t="r">1261</v>
    <v t="r">1308</v>
    <v t="r">1309</v>
    <v t="r">1310</v>
    <v t="r">1311</v>
    <v t="r">1312</v>
    <v t="r">1313</v>
    <v t="r">1314</v>
    <v t="r">1315</v>
    <v t="r">1316</v>
    <v t="r">1317</v>
    <v t="r">1318</v>
    <v t="r">1319</v>
    <v t="r">1320</v>
    <v t="r">1321</v>
    <v t="r">1322</v>
    <v t="r">1323</v>
    <v t="r">1324</v>
    <v t="r">1325</v>
    <v t="r">1326</v>
    <v t="r">1327</v>
    <v t="r">1328</v>
  </a>
  <a r="1">
    <v t="s">Central European Time</v>
  </a>
  <a r="1">
    <v t="r">1342</v>
  </a>
  <a r="1">
    <v t="r">1366</v>
  </a>
  <a r="15">
    <v t="r">1380</v>
    <v t="r">1381</v>
    <v t="r">1382</v>
    <v t="r">1383</v>
    <v t="r">1384</v>
    <v t="r">1385</v>
    <v t="r">1386</v>
    <v t="r">1387</v>
    <v t="r">1388</v>
    <v t="r">1389</v>
    <v t="r">1390</v>
    <v t="r">1391</v>
    <v t="r">1392</v>
    <v t="r">1393</v>
    <v t="r">1337</v>
  </a>
  <a r="3">
    <v t="s">UTC−05:00</v>
    <v t="s">UTC−04:00</v>
    <v t="s">UTC−03:00</v>
  </a>
  <a r="2">
    <v t="r">1421</v>
    <v t="r">1422</v>
  </a>
  <a r="1">
    <v t="s">Dutch language</v>
  </a>
  <a r="14">
    <v t="r">1435</v>
    <v t="r">1436</v>
    <v t="r">1437</v>
    <v t="r">1438</v>
    <v t="r">1439</v>
    <v t="r">1440</v>
    <v t="r">1441</v>
    <v t="r">1442</v>
    <v t="r">1443</v>
    <v t="r">1444</v>
    <v t="r">1445</v>
    <v t="r">1446</v>
    <v t="r">1447</v>
    <v t="r">1448</v>
  </a>
  <a r="1">
    <v t="s">Atlantic Time Zone</v>
  </a>
  <a r="1">
    <v t="r">1461</v>
  </a>
  <a r="1">
    <v t="r">1472</v>
  </a>
  <a r="1">
    <v t="r">1485</v>
  </a>
  <a r="2">
    <v t="r">1509</v>
    <v t="r">1510</v>
  </a>
  <a r="1">
    <v t="s">German language</v>
  </a>
  <a r="15">
    <v t="r">1524</v>
    <v t="r">1525</v>
    <v t="r">1496</v>
    <v t="r">1526</v>
    <v t="r">1527</v>
    <v t="r">1528</v>
    <v t="r">1479</v>
    <v t="r">1529</v>
    <v t="r">1530</v>
    <v t="r">1531</v>
    <v t="r">1532</v>
    <v t="r">1533</v>
    <v t="r">1534</v>
    <v t="r">1535</v>
    <v t="r">1536</v>
  </a>
  <a r="1">
    <v t="r">1547</v>
  </a>
  <a r="1">
    <v t="r">1558</v>
  </a>
  <a r="2">
    <v t="r">1012</v>
    <v t="r">1584</v>
  </a>
  <a r="1">
    <v t="s">Australian English</v>
  </a>
  <a r="15">
    <v t="r">1597</v>
    <v t="r">1598</v>
    <v t="r">1599</v>
    <v t="r">1600</v>
    <v t="r">1601</v>
    <v t="r">1602</v>
    <v t="r">1603</v>
    <v t="r">1604</v>
    <v t="r">1605</v>
    <v t="r">1606</v>
    <v t="r">1607</v>
    <v t="r">1608</v>
    <v t="r">1609</v>
    <v t="r">1610</v>
    <v t="r">1611</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1631</v>
  </a>
  <a r="1">
    <v t="r">1641</v>
  </a>
  <a r="2">
    <v t="r">1668</v>
    <v t="r">1669</v>
  </a>
  <a r="1">
    <v t="s">Colombian Spanish</v>
  </a>
  <a r="33">
    <v t="r">1686</v>
    <v t="r">1687</v>
    <v t="r">1688</v>
    <v t="r">1689</v>
    <v t="r">1690</v>
    <v t="r">1691</v>
    <v t="r">1692</v>
    <v t="r">1693</v>
    <v t="r">1694</v>
    <v t="r">1695</v>
    <v t="r">1696</v>
    <v t="r">1697</v>
    <v t="r">1698</v>
    <v t="r">1699</v>
    <v t="r">1700</v>
    <v t="r">1701</v>
    <v t="r">1702</v>
    <v t="r">1703</v>
    <v t="r">1704</v>
    <v t="r">1705</v>
    <v t="r">1706</v>
    <v t="r">1707</v>
    <v t="r">1708</v>
    <v t="r">1709</v>
    <v t="r">1710</v>
    <v t="r">1711</v>
    <v t="r">1712</v>
    <v t="r">1713</v>
    <v t="r">1714</v>
    <v t="r">1715</v>
    <v t="r">1716</v>
    <v t="r">1717</v>
    <v t="r">1654</v>
  </a>
  <a r="1">
    <v t="s">UTC−05:00</v>
  </a>
  <a r="1">
    <v t="r">1729</v>
  </a>
  <a r="2">
    <v t="r">1755</v>
    <v t="r">1756</v>
  </a>
  <a r="1">
    <v t="s">Italian language</v>
  </a>
  <a r="20">
    <v t="r">1768</v>
    <v t="r">1769</v>
    <v t="r">1770</v>
    <v t="r">1771</v>
    <v t="r">1772</v>
    <v t="r">1773</v>
    <v t="r">1774</v>
    <v t="r">1775</v>
    <v t="r">1776</v>
    <v t="r">1777</v>
    <v t="r">1778</v>
    <v t="r">1779</v>
    <v t="r">1780</v>
    <v t="r">1781</v>
    <v t="r">1782</v>
    <v t="r">1783</v>
    <v t="r">1784</v>
    <v t="r">1785</v>
    <v t="r">1786</v>
    <v t="r">1787</v>
  </a>
  <a r="2">
    <v t="r">1813</v>
    <v t="r">1814</v>
  </a>
  <a r="1">
    <v t="s">Swedish language</v>
  </a>
  <a r="21">
    <v t="r">1826</v>
    <v t="r">1827</v>
    <v t="r">1828</v>
    <v t="r">1829</v>
    <v t="r">1830</v>
    <v t="r">1831</v>
    <v t="r">1832</v>
    <v t="r">1833</v>
    <v t="r">1834</v>
    <v t="r">1835</v>
    <v t="r">1836</v>
    <v t="r">1837</v>
    <v t="r">1838</v>
    <v t="r">1839</v>
    <v t="r">1840</v>
    <v t="r">1841</v>
    <v t="r">1842</v>
    <v t="r">1843</v>
    <v t="r">1844</v>
    <v t="r">1845</v>
    <v t="r">1846</v>
  </a>
  <a r="1">
    <v t="r">1857</v>
  </a>
  <a r="7">
    <v t="r">1884</v>
    <v t="r">1885</v>
    <v t="r">1886</v>
    <v t="r">1887</v>
    <v t="r">1888</v>
    <v t="r">1889</v>
    <v t="r">1890</v>
  </a>
  <a r="4">
    <v t="s">Italian language</v>
    <v t="s">Romansh language</v>
    <v t="s">German language</v>
    <v t="s">French language</v>
  </a>
  <a r="25">
    <v t="r">1903</v>
    <v t="r">1904</v>
    <v t="r">1905</v>
    <v t="r">1906</v>
    <v t="r">1907</v>
    <v t="r">1908</v>
    <v t="r">1909</v>
    <v t="r">1910</v>
    <v t="r">1911</v>
    <v t="r">1912</v>
    <v t="r">1913</v>
    <v t="r">1914</v>
    <v t="r">1915</v>
    <v t="r">1916</v>
    <v t="r">1917</v>
    <v t="r">1918</v>
    <v t="r">1919</v>
    <v t="r">1920</v>
    <v t="r">1921</v>
    <v t="r">1922</v>
    <v t="r">1923</v>
    <v t="r">1924</v>
    <v t="r">1925</v>
    <v t="r">1926</v>
    <v t="r">1927</v>
  </a>
  <a r="1">
    <v t="r">1947</v>
  </a>
  <a r="1">
    <v t="r">1958</v>
  </a>
  <a r="2">
    <v t="s">UTC−05:00</v>
    <v t="s">UTC−04:00</v>
  </a>
  <a r="2">
    <v t="r">1986</v>
    <v t="r">1987</v>
  </a>
  <a r="1">
    <v t="s">Portuguese language</v>
  </a>
  <a r="27">
    <v t="r">2001</v>
    <v t="r">2002</v>
    <v t="r">2003</v>
    <v t="r">2004</v>
    <v t="r">2005</v>
    <v t="r">2006</v>
    <v t="r">2007</v>
    <v t="r">2008</v>
    <v t="r">2009</v>
    <v t="r">2010</v>
    <v t="r">2011</v>
    <v t="r">2012</v>
    <v t="r">2013</v>
    <v t="r">2014</v>
    <v t="r">2015</v>
    <v t="r">2016</v>
    <v t="r">2017</v>
    <v t="r">2018</v>
    <v t="r">2019</v>
    <v t="r">2020</v>
    <v t="r">2021</v>
    <v t="r">2022</v>
    <v t="r">2023</v>
    <v t="r">2024</v>
    <v t="r">2025</v>
    <v t="r">2026</v>
    <v t="r">2027</v>
  </a>
  <a r="3">
    <v t="s">Fernando de Noronha Time Zone</v>
    <v t="s">Brasília Time Zone</v>
    <v t="s">Amazon Time Zone</v>
  </a>
  <a r="1">
    <v t="r">2040</v>
  </a>
  <a r="2">
    <v t="r">2066</v>
    <v t="r">2067</v>
  </a>
  <a r="2">
    <v t="s">Rioplatense Spanish</v>
    <v t="s">Uruguayan Sign Language</v>
  </a>
  <a r="19">
    <v t="r">2081</v>
    <v t="r">2082</v>
    <v t="r">2083</v>
    <v t="r">2084</v>
    <v t="r">2085</v>
    <v t="r">2086</v>
    <v t="r">2087</v>
    <v t="r">2088</v>
    <v t="r">2089</v>
    <v t="r">2090</v>
    <v t="r">2091</v>
    <v t="r">2092</v>
    <v t="r">2093</v>
    <v t="r">2094</v>
    <v t="r">2095</v>
    <v t="r">2096</v>
    <v t="r">2097</v>
    <v t="r">2098</v>
    <v t="r">2099</v>
  </a>
  <a r="1">
    <v t="s">UTC−03:00</v>
  </a>
  <a r="1">
    <v t="r">2121</v>
  </a>
  <a r="1">
    <v t="r">2139</v>
  </a>
  <a r="1">
    <v t="s">UTC+01:00</v>
  </a>
  <a r="1">
    <v t="r">2151</v>
  </a>
  <a r="2">
    <v t="r">2177</v>
    <v t="r">2178</v>
  </a>
  <a r="4">
    <v t="s">Malay</v>
    <v t="s">Singapore English</v>
    <v t="s">Singaporean Mandarin</v>
    <v t="s">Tamil language</v>
  </a>
  <a r="1">
    <v t="s">Singapore Time</v>
  </a>
  <a r="1">
    <v t="r">2198</v>
  </a>
  <a r="1">
    <v t="s">UTC+00:00</v>
  </a>
  <a r="2">
    <v t="r">2224</v>
    <v t="r">2225</v>
  </a>
  <a r="1">
    <v t="s">Danish language</v>
  </a>
  <a r="5">
    <v t="r">2237</v>
    <v t="r">2238</v>
    <v t="r">2239</v>
    <v t="r">2240</v>
    <v t="r">2241</v>
  </a>
  <a r="2">
    <v t="r">1012</v>
    <v t="r">2266</v>
  </a>
  <a r="4">
    <v t="r">2278</v>
    <v t="r">2279</v>
    <v t="r">2280</v>
    <v t="r">2281</v>
  </a>
  <a r="2">
    <v t="s">Greenwich Mean Time</v>
    <v t="s">Western European Time</v>
  </a>
  <a r="1">
    <v t="r">2293</v>
  </a>
  <a r="1">
    <v t="s">Greenwich Mean Time</v>
  </a>
  <a r="3">
    <v t="r">2333</v>
    <v t="r">2334</v>
    <v t="r">2335</v>
  </a>
  <a r="20">
    <v t="r">2308</v>
    <v t="r">2347</v>
    <v t="r">2348</v>
    <v t="r">2349</v>
    <v t="r">2350</v>
    <v t="r">2351</v>
    <v t="r">2352</v>
    <v t="r">2353</v>
    <v t="r">2354</v>
    <v t="r">2355</v>
    <v t="r">2356</v>
    <v t="r">2357</v>
    <v t="r">2358</v>
    <v t="r">2359</v>
    <v t="r">2360</v>
    <v t="r">2361</v>
    <v t="r">2362</v>
    <v t="r">2363</v>
    <v t="r">2364</v>
    <v t="r">2365</v>
  </a>
  <a r="2">
    <v t="s">Western European Summer Time</v>
    <v t="s">Western European Time</v>
  </a>
  <a r="2">
    <v t="r">2392</v>
    <v t="r">2393</v>
  </a>
  <a r="2">
    <v t="s">Swedish language</v>
    <v t="s">Finnish language</v>
  </a>
  <a r="19">
    <v t="r">2406</v>
    <v t="r">2407</v>
    <v t="r">2408</v>
    <v t="r">2409</v>
    <v t="r">2410</v>
    <v t="r">2411</v>
    <v t="r">2412</v>
    <v t="r">2413</v>
    <v t="r">2414</v>
    <v t="r">2415</v>
    <v t="r">2416</v>
    <v t="r">2417</v>
    <v t="r">2418</v>
    <v t="r">2419</v>
    <v t="r">2420</v>
    <v t="r">2421</v>
    <v t="r">2422</v>
    <v t="r">2423</v>
    <v t="r">2424</v>
  </a>
  <a r="4">
    <v t="s">UTC+03:00</v>
    <v t="s">Eastern European Summer Time</v>
    <v t="s">UTC+02:00</v>
    <v t="s">Eastern European Time</v>
  </a>
  <a r="3">
    <v t="r">2450</v>
    <v t="r">2451</v>
    <v t="r">2452</v>
  </a>
  <a r="1">
    <v t="s">Norwegian language</v>
  </a>
  <a r="14">
    <v t="r">2466</v>
    <v t="r">2437</v>
    <v t="r">2467</v>
    <v t="r">2468</v>
    <v t="r">2469</v>
    <v t="r">2470</v>
    <v t="r">2471</v>
    <v t="r">2472</v>
    <v t="r">2473</v>
    <v t="r">2474</v>
    <v t="r">2475</v>
    <v t="r">2476</v>
    <v t="r">2477</v>
    <v t="r">2478</v>
  </a>
  <a r="2">
    <v t="r">2505</v>
    <v t="r">2506</v>
  </a>
  <a r="1">
    <v t="s">Mexican Spanish</v>
  </a>
  <a r="32">
    <v t="r">2491</v>
    <v t="r">2521</v>
    <v t="r">2522</v>
    <v t="r">2523</v>
    <v t="r">2524</v>
    <v t="r">2525</v>
    <v t="r">2526</v>
    <v t="r">2527</v>
    <v t="r">2528</v>
    <v t="r">2529</v>
    <v t="r">2530</v>
    <v t="r">2531</v>
    <v t="r">2532</v>
    <v t="r">2533</v>
    <v t="r">2534</v>
    <v t="r">2535</v>
    <v t="r">2536</v>
    <v t="r">2537</v>
    <v t="r">2538</v>
    <v t="r">2539</v>
    <v t="r">2540</v>
    <v t="r">2541</v>
    <v t="r">2542</v>
    <v t="r">2543</v>
    <v t="r">2544</v>
    <v t="r">2545</v>
    <v t="r">2546</v>
    <v t="r">2547</v>
    <v t="r">2548</v>
    <v t="r">2549</v>
    <v t="r">2550</v>
    <v t="r">2551</v>
  </a>
  <a r="4">
    <v t="s">Central Time Zone</v>
    <v t="s">Mountain Time Zone</v>
    <v t="s">Pacific Time Zone</v>
    <v t="s">Eastern Time Zone</v>
  </a>
  <a r="2">
    <v t="r">2577</v>
    <v t="r">2578</v>
  </a>
  <a r="4">
    <v t="s">Burgenland Croatian</v>
    <v t="s">Hungarian language</v>
    <v t="s">Slovene language</v>
    <v t="s">German language</v>
  </a>
  <a r="9">
    <v t="r">2591</v>
    <v t="r">2592</v>
    <v t="r">2593</v>
    <v t="r">2594</v>
    <v t="r">2595</v>
    <v t="r">2596</v>
    <v t="r">2597</v>
    <v t="r">2598</v>
    <v t="r">2563</v>
  </a>
  <a r="1">
    <v t="r">2608</v>
  </a>
  <a r="2">
    <v t="r">2633</v>
    <v t="r">2634</v>
  </a>
  <a r="1">
    <v t="s">Russian language</v>
  </a>
  <a r="83">
    <v t="r">2649</v>
    <v t="r">2650</v>
    <v t="r">2651</v>
    <v t="r">2652</v>
    <v t="r">2653</v>
    <v t="r">2654</v>
    <v t="r">2655</v>
    <v t="r">2656</v>
    <v t="r">2657</v>
    <v t="r">2658</v>
    <v t="r">2659</v>
    <v t="r">2660</v>
    <v t="r">2661</v>
    <v t="r">2662</v>
    <v t="r">2663</v>
    <v t="r">2664</v>
    <v t="r">2665</v>
    <v t="r">2666</v>
    <v t="r">2667</v>
    <v t="r">2668</v>
    <v t="r">2669</v>
    <v t="r">2670</v>
    <v t="r">2671</v>
    <v t="r">2672</v>
    <v t="r">2673</v>
    <v t="r">2674</v>
    <v t="r">2675</v>
    <v t="r">2676</v>
    <v t="r">2677</v>
    <v t="r">2678</v>
    <v t="r">2679</v>
    <v t="r">2680</v>
    <v t="r">2681</v>
    <v t="r">2682</v>
    <v t="r">2683</v>
    <v t="r">2684</v>
    <v t="r">2685</v>
    <v t="r">2686</v>
    <v t="r">2687</v>
    <v t="r">2688</v>
    <v t="r">2689</v>
    <v t="r">2690</v>
    <v t="r">2691</v>
    <v t="r">2692</v>
    <v t="r">2693</v>
    <v t="r">2694</v>
    <v t="r">2695</v>
    <v t="r">2696</v>
    <v t="r">2697</v>
    <v t="r">2698</v>
    <v t="r">2699</v>
    <v t="r">2700</v>
    <v t="r">2701</v>
    <v t="r">2702</v>
    <v t="r">2703</v>
    <v t="r">2704</v>
    <v t="r">2705</v>
    <v t="r">2706</v>
    <v t="r">2707</v>
    <v t="r">2708</v>
    <v t="r">2709</v>
    <v t="r">2710</v>
    <v t="r">2711</v>
    <v t="r">2712</v>
    <v t="r">2713</v>
    <v t="r">2714</v>
    <v t="r">2715</v>
    <v t="r">2716</v>
    <v t="r">2717</v>
    <v t="r">2718</v>
    <v t="r">2719</v>
    <v t="r">2720</v>
    <v t="r">2721</v>
    <v t="r">2722</v>
    <v t="r">2723</v>
    <v t="r">2619</v>
    <v t="r">2724</v>
    <v t="r">2725</v>
    <v t="r">2726</v>
    <v t="r">2727</v>
    <v t="r">2728</v>
    <v t="r">2729</v>
    <v t="r">2730</v>
  </a>
  <a r="13">
    <v t="s">Moscow Time</v>
    <v t="s">Samara Time</v>
    <v t="s">Yekaterinburg Time</v>
    <v t="s">Omsk Time</v>
    <v t="s">Krasnoyarsk Time</v>
    <v t="s">Irkutsk Time</v>
    <v t="s">Yakutsk Time</v>
    <v t="s">Kamchatka Time</v>
    <v t="s">Eastern European Time</v>
    <v t="s">Vladivostok Time</v>
    <v t="s">Srednekolymsk Time</v>
    <v t="s">Magadan Time</v>
    <v t="s">Kaliningrad Time</v>
  </a>
  <a r="1">
    <v t="r">2743</v>
  </a>
  <a r="2">
    <v t="r">2770</v>
    <v t="r">2771</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2785</v>
    <v t="r">2786</v>
    <v t="r">2787</v>
    <v t="r">2788</v>
    <v t="r">2789</v>
    <v t="r">2790</v>
    <v t="r">2791</v>
    <v t="r">2792</v>
    <v t="r">2793</v>
  </a>
  <a r="1">
    <v t="s">Africa/Johannesburg</v>
  </a>
  <a r="1">
    <v t="r">2806</v>
  </a>
  <a r="2">
    <v t="r">2830</v>
    <v t="r">2831</v>
  </a>
  <a r="3">
    <v t="s">Dutch language</v>
    <v t="s">German language</v>
    <v t="s">French language</v>
  </a>
  <a r="3">
    <v t="r">2844</v>
    <v t="r">2801</v>
    <v t="r">2845</v>
  </a>
  <a r="4">
    <v t="s">Central European Time</v>
    <v t="s">UTC+02:00</v>
    <v t="s">UTC+01:00</v>
    <v t="s">Central European Summer Time</v>
  </a>
  <a r="1">
    <v t="r">2857</v>
  </a>
  <a r="4">
    <v t="r">2883</v>
    <v t="r">2884</v>
    <v t="r">2885</v>
    <v t="r">2886</v>
  </a>
  <a r="2">
    <v t="s">Korean Sign Language</v>
    <v t="s">Korean language</v>
  </a>
  <a r="17">
    <v t="r">2869</v>
    <v t="r">2899</v>
    <v t="r">2900</v>
    <v t="r">2901</v>
    <v t="r">2902</v>
    <v t="r">2903</v>
    <v t="r">2904</v>
    <v t="r">2905</v>
    <v t="r">2906</v>
    <v t="r">2907</v>
    <v t="r">2908</v>
    <v t="r">2909</v>
    <v t="r">2910</v>
    <v t="r">2911</v>
    <v t="r">2912</v>
    <v t="r">2913</v>
    <v t="r">2914</v>
  </a>
  <a r="1">
    <v t="s">Time in South Korea</v>
  </a>
  <a r="2">
    <v t="r">2942</v>
    <v t="r">2943</v>
  </a>
  <a r="1">
    <v t="s">Rioplatense Spanish</v>
  </a>
  <a r="23">
    <v t="r">2956</v>
    <v t="r">2957</v>
    <v t="r">2958</v>
    <v t="r">2959</v>
    <v t="r">2960</v>
    <v t="r">2961</v>
    <v t="r">2962</v>
    <v t="r">2963</v>
    <v t="r">2964</v>
    <v t="r">2965</v>
    <v t="r">2966</v>
    <v t="r">2967</v>
    <v t="r">2968</v>
    <v t="r">2969</v>
    <v t="r">2970</v>
    <v t="r">2971</v>
    <v t="r">2972</v>
    <v t="r">2973</v>
    <v t="r">2974</v>
    <v t="r">2975</v>
    <v t="r">2976</v>
    <v t="r">2977</v>
    <v t="r">2978</v>
  </a>
  <a r="1">
    <v t="s">Time in Argentina</v>
  </a>
  <a r="1">
    <v t="r">2990</v>
  </a>
  <a r="2">
    <v t="r">3013</v>
    <v t="r">3014</v>
  </a>
  <a r="1">
    <v t="s">Slovak language</v>
  </a>
  <a r="8">
    <v t="r">3026</v>
    <v t="r">3027</v>
    <v t="r">3028</v>
    <v t="r">3029</v>
    <v t="r">3030</v>
    <v t="r">3031</v>
    <v t="r">3032</v>
    <v t="r">3033</v>
  </a>
  <a r="3">
    <v t="r">3060</v>
    <v t="r">3061</v>
    <v t="r">3062</v>
  </a>
  <a r="1">
    <v t="s">Turkish language</v>
  </a>
  <a r="81">
    <v t="r">3076</v>
    <v t="r">3077</v>
    <v t="r">3078</v>
    <v t="r">3079</v>
    <v t="r">3080</v>
    <v t="r">3081</v>
    <v t="r">3082</v>
    <v t="r">3083</v>
    <v t="r">3084</v>
    <v t="r">3085</v>
    <v t="r">3086</v>
    <v t="r">3087</v>
    <v t="r">3088</v>
    <v t="r">3089</v>
    <v t="r">3090</v>
    <v t="r">3091</v>
    <v t="r">3092</v>
    <v t="r">3093</v>
    <v t="r">3094</v>
    <v t="r">3095</v>
    <v t="r">3096</v>
    <v t="r">3097</v>
    <v t="r">3098</v>
    <v t="r">3099</v>
    <v t="r">3100</v>
    <v t="r">3101</v>
    <v t="r">3102</v>
    <v t="r">3103</v>
    <v t="r">3104</v>
    <v t="r">3105</v>
    <v t="r">3106</v>
    <v t="r">3107</v>
    <v t="r">3108</v>
    <v t="r">3109</v>
    <v t="r">3110</v>
    <v t="r">3111</v>
    <v t="r">3112</v>
    <v t="r">3113</v>
    <v t="r">3114</v>
    <v t="r">3115</v>
    <v t="r">3116</v>
    <v t="r">3117</v>
    <v t="r">3118</v>
    <v t="r">3119</v>
    <v t="r">3120</v>
    <v t="r">3121</v>
    <v t="r">3122</v>
    <v t="r">3123</v>
    <v t="r">3124</v>
    <v t="r">3125</v>
    <v t="r">3126</v>
    <v t="r">3127</v>
    <v t="r">3128</v>
    <v t="r">3129</v>
    <v t="r">3130</v>
    <v t="r">3131</v>
    <v t="r">3132</v>
    <v t="r">3133</v>
    <v t="r">3134</v>
    <v t="r">3135</v>
    <v t="r">3136</v>
    <v t="r">3137</v>
    <v t="r">3138</v>
    <v t="r">3139</v>
    <v t="r">3140</v>
    <v t="r">3141</v>
    <v t="r">3142</v>
    <v t="r">3143</v>
    <v t="r">3144</v>
    <v t="r">3145</v>
    <v t="r">3146</v>
    <v t="r">3147</v>
    <v t="r">3148</v>
    <v t="r">3149</v>
    <v t="r">3150</v>
    <v t="r">3151</v>
    <v t="r">3152</v>
    <v t="r">3153</v>
    <v t="r">3154</v>
    <v t="r">3155</v>
    <v t="r">3156</v>
  </a>
  <a r="1">
    <v t="s">UTC+03:00</v>
  </a>
  <a r="2">
    <v t="r">3181</v>
    <v t="r">3182</v>
  </a>
  <a r="1">
    <v t="s">Czech language</v>
  </a>
  <a r="7">
    <v t="r">2986</v>
    <v t="r">3197</v>
    <v t="r">3198</v>
    <v t="r">3199</v>
    <v t="r">3200</v>
    <v t="r">3201</v>
    <v t="r">3202</v>
  </a>
  <a r="1">
    <v t="r">3213</v>
  </a>
</arrayData>
</file>

<file path=xl/richData/rdrichvalue.xml><?xml version="1.0" encoding="utf-8"?>
<rvData xmlns="http://schemas.microsoft.com/office/spreadsheetml/2017/richdata" count="3219">
  <rv s="0">
    <v>536870912</v>
    <v>New York City</v>
    <v>60d5dc2b-c915-460b-b722-c9e3485499ca</v>
    <v>en-US</v>
    <v>Map</v>
  </rv>
  <rv s="0">
    <v>536870912</v>
    <v>New York</v>
    <v>caeb7b9a-f5d7-4686-8fb5-cf7628296b13</v>
    <v>en-US</v>
    <v>Map</v>
  </rv>
  <rv s="1">
    <fb>1213.369839</fb>
    <v>8</v>
  </rv>
  <rv s="0">
    <v>536870912</v>
    <v>United States of America</v>
    <v>5232ed96-85b1-2edb-12c6-63e6c597a1de</v>
    <v>en-US</v>
    <v>Map</v>
  </rv>
  <rv s="2">
    <v>0</v>
    <v>6</v>
    <v>0</v>
    <v>7</v>
    <v>0</v>
    <v>Image of New York City</v>
  </rv>
  <rv s="1">
    <fb>40.700000000000003</fb>
    <v>9</v>
  </rv>
  <rv s="0">
    <v>805306368</v>
    <v>Eric Adams (Mayor)</v>
    <v>d104f492-36f0-3246-f9f7-c35dae370b2c</v>
    <v>en-US</v>
    <v>Generic</v>
  </rv>
  <rv s="3">
    <v>0</v>
  </rv>
  <rv s="4">
    <v>https://www.bing.com/search?q=new+york+city&amp;form=skydnc</v>
    <v>Learn more on Bing</v>
  </rv>
  <rv s="1">
    <fb>-74</fb>
    <v>9</v>
  </rv>
  <rv s="1">
    <fb>8804190</fb>
    <v>8</v>
  </rv>
  <rv s="3">
    <v>1</v>
  </rv>
  <rv s="5">
    <v>#VALUE!</v>
    <v>en-US</v>
    <v>60d5dc2b-c915-460b-b722-c9e3485499ca</v>
    <v>536870912</v>
    <v>1</v>
    <v>1</v>
    <v>2</v>
    <v>New York City</v>
    <v>4</v>
    <v>5</v>
    <v>Map</v>
    <v>6</v>
    <v>7</v>
    <v>1</v>
    <v>2</v>
    <v>3</v>
    <v>New York, often called New York City or simply NYC, is the most populous city in the United States, located at the southern tip of New York State on one of the world's largest natural harbors. The city comprises five boroughs, each coextensive ...</v>
    <v>4</v>
    <v>5</v>
    <v>7</v>
    <v>8</v>
    <v>9</v>
    <v>New York City</v>
    <v>10</v>
    <v>11</v>
    <v>New York City</v>
    <v>mdp/vdpid/5487505297524129794</v>
  </rv>
  <rv s="1">
    <fb>141300</fb>
    <v>8</v>
  </rv>
  <rv s="1">
    <fb>33711</fb>
    <v>8</v>
  </rv>
  <rv s="0">
    <v>536870912</v>
    <v>Albany</v>
    <v>62ca8245-972e-448d-af38-345d4a958798</v>
    <v>en-US</v>
    <v>Map</v>
  </rv>
  <rv s="1">
    <fb>7262279</fb>
    <v>8</v>
  </rv>
  <rv s="1">
    <fb>8231687</fb>
    <v>8</v>
  </rv>
  <rv s="2">
    <v>1</v>
    <v>6</v>
    <v>10</v>
    <v>7</v>
    <v>0</v>
    <v>Image of New York</v>
  </rv>
  <rv s="0">
    <v>805306368</v>
    <v>Kathy Hochul (Governor)</v>
    <v>df92839d-3205-3454-b70c-aeefc37041a6</v>
    <v>en-US</v>
    <v>Generic</v>
  </rv>
  <rv s="0">
    <v>805306368</v>
    <v>Antonio Delgado (Lieutenant governor)</v>
    <v>c20a119d-42bf-2146-a5a5-f4ec19b8a648</v>
    <v>en-US</v>
    <v>Generic</v>
  </rv>
  <rv s="0">
    <v>805306368</v>
    <v>Chuck Schumer (Senate)</v>
    <v>d606edaa-bebe-be4b-5e66-17b8a58806b2</v>
    <v>en-US</v>
    <v>Generic</v>
  </rv>
  <rv s="0">
    <v>805306368</v>
    <v>Kirsten Gillibrand (Senate)</v>
    <v>ae592704-1bd7-e270-aa09-cb6ec83b3467</v>
    <v>en-US</v>
    <v>Generic</v>
  </rv>
  <rv s="3">
    <v>2</v>
  </rv>
  <rv s="4">
    <v>https://www.bing.com/search?q=new+york+state&amp;form=skydnc</v>
    <v>Learn more on Bing</v>
  </rv>
  <rv s="1">
    <fb>1132</fb>
    <v>17</v>
  </rv>
  <rv s="1">
    <fb>59269</fb>
    <v>17</v>
  </rv>
  <rv s="1">
    <fb>283400</fb>
    <v>17</v>
  </rv>
  <rv s="1">
    <fb>2.63</fb>
    <v>18</v>
  </rv>
  <rv s="1">
    <fb>20201249</fb>
    <v>8</v>
  </rv>
  <rv s="1">
    <fb>1.9E-2</fb>
    <v>19</v>
  </rv>
  <rv s="1">
    <fb>0.15</fb>
    <v>19</v>
  </rv>
  <rv s="1">
    <fb>0.01</fb>
    <v>20</v>
  </rv>
  <rv s="1">
    <fb>8.8000000000000009E-2</fb>
    <v>19</v>
  </rv>
  <rv s="1">
    <fb>0.34200000000000003</fb>
    <v>19</v>
  </rv>
  <rv s="1">
    <fb>0.17600000000000002</fb>
    <v>19</v>
  </rv>
  <rv s="1">
    <fb>0.22500000000000001</fb>
    <v>19</v>
  </rv>
  <rv s="1">
    <fb>0.85599999999999998</fb>
    <v>19</v>
  </rv>
  <rv s="1">
    <fb>0.188</fb>
    <v>19</v>
  </rv>
  <rv s="1">
    <fb>0.63300000000000001</fb>
    <v>19</v>
  </rv>
  <rv s="1">
    <fb>1E-3</fb>
    <v>19</v>
  </rv>
  <rv s="1">
    <fb>7.400000000000001E-2</fb>
    <v>19</v>
  </rv>
  <rv s="1">
    <fb>2.4E-2</fb>
    <v>19</v>
  </rv>
  <rv s="1">
    <fb>0.21299999999999999</fb>
    <v>19</v>
  </rv>
  <rv s="1">
    <fb>0.06</fb>
    <v>19</v>
  </rv>
  <rv s="1">
    <fb>0.70099999999999996</fb>
    <v>19</v>
  </rv>
  <rv s="6">
    <v>#VALUE!</v>
    <v>en-US</v>
    <v>caeb7b9a-f5d7-4686-8fb5-cf7628296b13</v>
    <v>536870912</v>
    <v>1</v>
    <v>14</v>
    <v>15</v>
    <v>New York</v>
    <v>4</v>
    <v>5</v>
    <v>Map</v>
    <v>6</v>
    <v>16</v>
    <v>US-NY</v>
    <v>13</v>
    <v>14</v>
    <v>15</v>
    <v>3</v>
    <v>New York, sometimes called New York State, is a state in the Northeastern region of the United States. A Mid-Atlantic state, New York borders New England, and has an international border with Canada. With almost 19.6 million residents, it is the ...</v>
    <v>16</v>
    <v>17</v>
    <v>18</v>
    <v>0</v>
    <v>23</v>
    <v>24</v>
    <v>25</v>
    <v>26</v>
    <v>27</v>
    <v>New York</v>
    <v>28</v>
    <v>29</v>
    <v>30</v>
    <v>31</v>
    <v>32</v>
    <v>33</v>
    <v>34</v>
    <v>35</v>
    <v>36</v>
    <v>37</v>
    <v>38</v>
    <v>39</v>
    <v>40</v>
    <v>41</v>
    <v>42</v>
    <v>43</v>
    <v>44</v>
    <v>45</v>
    <v>11</v>
    <v>New York</v>
    <v>mdp/vdpid/23161</v>
  </rv>
  <rv s="1">
    <fb>0.44369067999501505</fb>
    <v>19</v>
  </rv>
  <rv s="1">
    <fb>9826675</fb>
    <v>8</v>
  </rv>
  <rv s="1">
    <fb>1359000</fb>
    <v>8</v>
  </rv>
  <rv s="1">
    <fb>11.6</fb>
    <v>18</v>
  </rv>
  <rv s="1">
    <fb>1</fb>
    <v>39</v>
  </rv>
  <rv s="0">
    <v>536870912</v>
    <v>Washington, D.C.</v>
    <v>216726d1-8987-06d3-5eff-823da05c3d3c</v>
    <v>en-US</v>
    <v>Map</v>
  </rv>
  <rv s="1">
    <fb>5006302.0769999996</fb>
    <v>8</v>
  </rv>
  <rv s="1">
    <fb>117.244195476228</fb>
    <v>40</v>
  </rv>
  <rv s="1">
    <fb>7.4999999999999997E-2</fb>
    <v>19</v>
  </rv>
  <rv s="1">
    <fb>12993.961824772699</fb>
    <v>8</v>
  </rv>
  <rv s="1">
    <fb>1.7295</fb>
    <v>18</v>
  </rv>
  <rv s="1">
    <fb>0.339297856663409</fb>
    <v>19</v>
  </rv>
  <rv s="1">
    <fb>82.427828245269197</fb>
    <v>41</v>
  </rv>
  <rv s="1">
    <fb>0.71</fb>
    <v>42</v>
  </rv>
  <rv s="1">
    <fb>21427700000000</fb>
    <v>17</v>
  </rv>
  <rv s="1">
    <fb>1.0182144</fb>
    <v>19</v>
  </rv>
  <rv s="1">
    <fb>0.88167390000000001</fb>
    <v>19</v>
  </rv>
  <rv s="2">
    <v>2</v>
    <v>6</v>
    <v>23</v>
    <v>7</v>
    <v>0</v>
    <v>Image of United States</v>
  </rv>
  <rv s="1">
    <fb>5.6</fb>
    <v>41</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3</v>
  </rv>
  <rv s="4">
    <v>https://www.bing.com/search?q=united+states&amp;form=skydnc</v>
    <v>Learn more on Bing</v>
  </rv>
  <rv s="1">
    <fb>78.539024390243895</fb>
    <v>41</v>
  </rv>
  <rv s="1">
    <fb>30436313050000</fb>
    <v>17</v>
  </rv>
  <rv s="1">
    <fb>19</fb>
    <v>41</v>
  </rv>
  <rv s="1">
    <fb>7.25</fb>
    <v>42</v>
  </rv>
  <rv s="3">
    <v>4</v>
  </rv>
  <rv s="1">
    <fb>0.1108387988</fb>
    <v>19</v>
  </rv>
  <rv s="1">
    <fb>2.6120000000000001</fb>
    <v>18</v>
  </rv>
  <rv s="1">
    <fb>333287557</fb>
    <v>8</v>
  </rv>
  <rv s="1">
    <fb>0.22600000000000001</fb>
    <v>19</v>
  </rv>
  <rv s="1">
    <fb>0.30499999999999999</fb>
    <v>19</v>
  </rv>
  <rv s="1">
    <fb>0.46799999999999997</fb>
    <v>19</v>
  </rv>
  <rv s="1">
    <fb>1.7000000000000001E-2</fb>
    <v>19</v>
  </rv>
  <rv s="1">
    <fb>5.0999999999999997E-2</fb>
    <v>19</v>
  </rv>
  <rv s="1">
    <fb>0.10300000000000001</fb>
    <v>19</v>
  </rv>
  <rv s="1">
    <fb>0.153</fb>
    <v>19</v>
  </rv>
  <rv s="1">
    <fb>0.62048999786377002</fb>
    <v>19</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5</v>
  </rv>
  <rv s="1">
    <fb>9.5866513904898809E-2</fb>
    <v>19</v>
  </rv>
  <rv s="3">
    <v>6</v>
  </rv>
  <rv s="1">
    <fb>0.36599999999999999</fb>
    <v>19</v>
  </rv>
  <rv s="1">
    <fb>0.14699999999999999</fb>
    <v>43</v>
  </rv>
  <rv s="1">
    <fb>270663028</fb>
    <v>8</v>
  </rv>
  <rv s="7">
    <v>#VALUE!</v>
    <v>en-US</v>
    <v>5232ed96-85b1-2edb-12c6-63e6c597a1de</v>
    <v>536870912</v>
    <v>1</v>
    <v>36</v>
    <v>37</v>
    <v>United States</v>
    <v>4</v>
    <v>5</v>
    <v>Map</v>
    <v>6</v>
    <v>38</v>
    <v>US</v>
    <v>47</v>
    <v>48</v>
    <v>49</v>
    <v>50</v>
    <v>51</v>
    <v>52</v>
    <v>53</v>
    <v>54</v>
    <v>55</v>
    <v>USD</v>
    <v>The United States of America, also known as the United States or America, is a country primarily located in North America. It is a federal republic of 50 states and Washington, D.C. as its federal capital district. The 48 contiguous states ...</v>
    <v>56</v>
    <v>57</v>
    <v>58</v>
    <v>59</v>
    <v>60</v>
    <v>61</v>
    <v>62</v>
    <v>63</v>
    <v>64</v>
    <v>65</v>
    <v>0</v>
    <v>70</v>
    <v>71</v>
    <v>72</v>
    <v>73</v>
    <v>74</v>
    <v>75</v>
    <v>United States</v>
    <v>The Star-Spangled Banner</v>
    <v>76</v>
    <v>the United States of America</v>
    <v>77</v>
    <v>78</v>
    <v>79</v>
    <v>80</v>
    <v>81</v>
    <v>82</v>
    <v>83</v>
    <v>84</v>
    <v>85</v>
    <v>86</v>
    <v>87</v>
    <v>142</v>
    <v>143</v>
    <v>144</v>
    <v>145</v>
    <v>146</v>
    <v>United States</v>
    <v>147</v>
    <v>mdp/vdpid/244</v>
  </rv>
  <rv s="0">
    <v>536870912</v>
    <v>Albany County</v>
    <v>a3061797-713e-5786-6c4e-9e48da278578</v>
    <v>en-US</v>
    <v>Map</v>
  </rv>
  <rv s="1">
    <fb>56.813794999999999</fb>
    <v>8</v>
  </rv>
  <rv s="2">
    <v>3</v>
    <v>6</v>
    <v>44</v>
    <v>7</v>
    <v>0</v>
    <v>Image of Albany, New York</v>
  </rv>
  <rv s="1">
    <fb>42.65</fb>
    <v>9</v>
  </rv>
  <rv s="0">
    <v>805306368</v>
    <v>Kathy Sheehan (Mayor)</v>
    <v>1731f8a8-2401-4ecb-ac65-14c77d908f53</v>
    <v>en-US</v>
    <v>Generic</v>
  </rv>
  <rv s="3">
    <v>7</v>
  </rv>
  <rv s="4">
    <v>https://www.bing.com/search?q=albany+new+york&amp;form=skydnc</v>
    <v>Learn more on Bing</v>
  </rv>
  <rv s="1">
    <fb>-73.766666666667007</fb>
    <v>9</v>
  </rv>
  <rv s="1">
    <fb>99224</fb>
    <v>8</v>
  </rv>
  <rv s="8">
    <v>#VALUE!</v>
    <v>en-US</v>
    <v>62ca8245-972e-448d-af38-345d4a958798</v>
    <v>536870912</v>
    <v>1</v>
    <v>45</v>
    <v>46</v>
    <v>Albany, New York</v>
    <v>4</v>
    <v>5</v>
    <v>Map</v>
    <v>6</v>
    <v>7</v>
    <v>1</v>
    <v>149</v>
    <v>150</v>
    <v>3</v>
    <v>Albany is the capital and oldest city in the U.S. state of New York and the seat of and the most populous city in the county of the same name. It is located on the west bank of the Hudson River, about 10 miles south of its confluence with the ...</v>
    <v>151</v>
    <v>152</v>
    <v>154</v>
    <v>155</v>
    <v>156</v>
    <v>Albany, New York</v>
    <v>157</v>
    <v>11</v>
    <v>Albany, New York</v>
    <v>mdp/vdpid/5486479930554318849</v>
  </rv>
  <rv s="1">
    <fb>177</fb>
    <v>8</v>
  </rv>
  <rv s="1">
    <fb>4690</fb>
    <v>8</v>
  </rv>
  <rv s="1">
    <fb>273390</fb>
    <v>8</v>
  </rv>
  <rv s="1">
    <fb>313718</fb>
    <v>8</v>
  </rv>
  <rv s="2">
    <v>4</v>
    <v>6</v>
    <v>47</v>
    <v>7</v>
    <v>0</v>
    <v>Image of Washington, D.C.</v>
  </rv>
  <rv s="0">
    <v>805306368</v>
    <v>Muriel Bowser (Mayor)</v>
    <v>ba0efeff-89d3-9653-396a-5cc380b1d241</v>
    <v>en-US</v>
    <v>Generic</v>
  </rv>
  <rv s="3">
    <v>8</v>
  </rv>
  <rv s="4">
    <v>https://www.bing.com/search?q=washington%2c+d.c.&amp;form=skydnc</v>
    <v>Learn more on Bing</v>
  </rv>
  <rv s="1">
    <fb>1327</fb>
    <v>17</v>
  </rv>
  <rv s="1">
    <fb>70848</fb>
    <v>17</v>
  </rv>
  <rv s="1">
    <fb>475800</fb>
    <v>17</v>
  </rv>
  <rv s="1">
    <fb>2.2200000000000002</fb>
    <v>18</v>
  </rv>
  <rv s="1">
    <fb>689545</fb>
    <v>8</v>
  </rv>
  <rv s="1">
    <fb>0.13200000000000001</fb>
    <v>19</v>
  </rv>
  <rv s="1">
    <fb>0.115</fb>
    <v>19</v>
  </rv>
  <rv s="1">
    <fb>6.0000000000000001E-3</fb>
    <v>20</v>
  </rv>
  <rv s="1">
    <fb>4.2000000000000003E-2</fb>
    <v>19</v>
  </rv>
  <rv s="1">
    <fb>0.54600000000000004</fb>
    <v>19</v>
  </rv>
  <rv s="1">
    <fb>0.48299999999999998</fb>
    <v>19</v>
  </rv>
  <rv s="1">
    <fb>0.14099999999999999</fb>
    <v>19</v>
  </rv>
  <rv s="1">
    <fb>0.89300000000000002</fb>
    <v>19</v>
  </rv>
  <rv s="1">
    <fb>0.106</fb>
    <v>19</v>
  </rv>
  <rv s="1">
    <fb>0.68299999999999994</fb>
    <v>19</v>
  </rv>
  <rv s="1">
    <fb>2E-3</fb>
    <v>19</v>
  </rv>
  <rv s="1">
    <fb>8.3000000000000004E-2</fb>
    <v>19</v>
  </rv>
  <rv s="1">
    <fb>2.7000000000000003E-2</fb>
    <v>19</v>
  </rv>
  <rv s="1">
    <fb>6.4000000000000001E-2</fb>
    <v>19</v>
  </rv>
  <rv s="1">
    <fb>0.441</fb>
    <v>19</v>
  </rv>
  <rv s="9">
    <v>#VALUE!</v>
    <v>en-US</v>
    <v>216726d1-8987-06d3-5eff-823da05c3d3c</v>
    <v>536870912</v>
    <v>1</v>
    <v>50</v>
    <v>51</v>
    <v>Washington, D.C.</v>
    <v>4</v>
    <v>5</v>
    <v>Map</v>
    <v>6</v>
    <v>16</v>
    <v>US-DC</v>
    <v>159</v>
    <v>160</v>
    <v>3</v>
    <v>Washington, D.C., formally the District of Columbia and commonly called Washington or D.C., is the capital city and federal district of the United States. The city is on the Potomac River, across from Virginia, and shares land borders with ...</v>
    <v>161</v>
    <v>162</v>
    <v>163</v>
    <v>165</v>
    <v>166</v>
    <v>167</v>
    <v>168</v>
    <v>169</v>
    <v>Washington, D.C.</v>
    <v>170</v>
    <v>171</v>
    <v>172</v>
    <v>173</v>
    <v>174</v>
    <v>175</v>
    <v>176</v>
    <v>177</v>
    <v>178</v>
    <v>179</v>
    <v>180</v>
    <v>181</v>
    <v>182</v>
    <v>183</v>
    <v>184</v>
    <v>35</v>
    <v>185</v>
    <v>186</v>
    <v>11</v>
    <v>Washington, D.C.</v>
    <v>mdp/vdpid/9130</v>
  </rv>
  <rv s="1">
    <fb>295234</fb>
    <v>8</v>
  </rv>
  <rv s="1">
    <fb>35578</fb>
    <v>8</v>
  </rv>
  <rv s="0">
    <v>536870912</v>
    <v>Phoenix, Arizona</v>
    <v>b06044c3-41e1-4e2a-bba7-27a29bba8ea9</v>
    <v>en-US</v>
    <v>Map</v>
  </rv>
  <rv s="0">
    <v>536870912</v>
    <v>United States</v>
    <v>5232ed96-85b1-2edb-12c6-63e6c597a1de</v>
    <v>en-US</v>
    <v>Map</v>
  </rv>
  <rv s="1">
    <fb>2412212</fb>
    <v>8</v>
  </rv>
  <rv s="1">
    <fb>2961003</fb>
    <v>8</v>
  </rv>
  <rv s="2">
    <v>5</v>
    <v>6</v>
    <v>52</v>
    <v>7</v>
    <v>0</v>
    <v>Image of Arizona</v>
  </rv>
  <rv s="0">
    <v>805306368</v>
    <v>Katie Hobbs (Governor)</v>
    <v>05adb62e-e735-4e07-b8db-01b500d8f313</v>
    <v>en-US</v>
    <v>Generic</v>
  </rv>
  <rv s="0">
    <v>805306368</v>
    <v>Adrian Fontes (Secretary of state)</v>
    <v>0c546f0f-c55b-c9c4-74cd-81b6c0d421d9</v>
    <v>en-US</v>
    <v>Generic</v>
  </rv>
  <rv s="0">
    <v>805306368</v>
    <v>Mark Kelly (Senate)</v>
    <v>7378c94d-66d6-3a6c-42fd-639c9bfc1491</v>
    <v>en-US</v>
    <v>Generic</v>
  </rv>
  <rv s="0">
    <v>805306368</v>
    <v>Ruben Gallego (Senate)</v>
    <v>9072078c-6591-4962-bbfd-eeadf6fa0184</v>
    <v>en-US</v>
    <v>Generic</v>
  </rv>
  <rv s="3">
    <v>9</v>
  </rv>
  <rv s="4">
    <v>https://www.bing.com/search?q=arizona&amp;form=skydnc</v>
    <v>Learn more on Bing</v>
  </rv>
  <rv s="1">
    <fb>913</fb>
    <v>17</v>
  </rv>
  <rv s="1">
    <fb>50255</fb>
    <v>17</v>
  </rv>
  <rv s="1">
    <fb>167500</fb>
    <v>17</v>
  </rv>
  <rv s="3">
    <v>10</v>
  </rv>
  <rv s="1">
    <fb>2.69</fb>
    <v>18</v>
  </rv>
  <rv s="1">
    <fb>7582384</fb>
    <v>8</v>
  </rv>
  <rv s="1">
    <fb>8.4000000000000005E-2</fb>
    <v>19</v>
  </rv>
  <rv s="1">
    <fb>0.16399999999999998</fb>
    <v>19</v>
  </rv>
  <rv s="1">
    <fb>5.2999999999999999E-2</fb>
    <v>20</v>
  </rv>
  <rv s="1">
    <fb>3.4000000000000002E-2</fb>
    <v>19</v>
  </rv>
  <rv s="1">
    <fb>0.27500000000000002</fb>
    <v>19</v>
  </rv>
  <rv s="1">
    <fb>4.8000000000000001E-2</fb>
    <v>19</v>
  </rv>
  <rv s="1">
    <fb>0.13500000000000001</fb>
    <v>19</v>
  </rv>
  <rv s="1">
    <fb>0.86</fb>
    <v>19</v>
  </rv>
  <rv s="1">
    <fb>0.307</fb>
    <v>19</v>
  </rv>
  <rv s="1">
    <fb>0.59299999999999997</fb>
    <v>19</v>
  </rv>
  <rv s="1">
    <fb>3.0000000000000001E-3</fb>
    <v>19</v>
  </rv>
  <rv s="1">
    <fb>8.199999999999999E-2</fb>
    <v>19</v>
  </rv>
  <rv s="1">
    <fb>0.23800000000000002</fb>
    <v>19</v>
  </rv>
  <rv s="1">
    <fb>6.3E-2</fb>
    <v>19</v>
  </rv>
  <rv s="1">
    <fb>0.83499999999999996</fb>
    <v>19</v>
  </rv>
  <rv s="3">
    <v>11</v>
  </rv>
  <rv s="10">
    <v>#VALUE!</v>
    <v>en-US</v>
    <v>bf973f46-5962-4997-a7ba-a05f1aa2a9f9</v>
    <v>536870912</v>
    <v>1</v>
    <v>55</v>
    <v>56</v>
    <v>Arizona</v>
    <v>4</v>
    <v>5</v>
    <v>Map</v>
    <v>6</v>
    <v>57</v>
    <v>US-AZ</v>
    <v>188</v>
    <v>189</v>
    <v>190</v>
    <v>191</v>
    <v>Arizona is a state in the Southwestern region of the United States, sharing the Four Corners region of the western United States with Colorado, New Mexico, and Utah. It also borders Nevada to the northwest and California to the west, and shares ...</v>
    <v>192</v>
    <v>193</v>
    <v>194</v>
    <v>190</v>
    <v>199</v>
    <v>200</v>
    <v>201</v>
    <v>202</v>
    <v>203</v>
    <v>Arizona</v>
    <v>204</v>
    <v>205</v>
    <v>206</v>
    <v>207</v>
    <v>208</v>
    <v>209</v>
    <v>210</v>
    <v>211</v>
    <v>212</v>
    <v>213</v>
    <v>214</v>
    <v>215</v>
    <v>216</v>
    <v>217</v>
    <v>218</v>
    <v>184</v>
    <v>219</v>
    <v>220</v>
    <v>221</v>
    <v>222</v>
    <v>Arizona</v>
    <v>mdp/vdpid/1945</v>
  </rv>
  <rv s="1">
    <fb>137733</fb>
    <v>8</v>
  </rv>
  <rv s="1">
    <fb>9474</fb>
    <v>8</v>
  </rv>
  <rv s="0">
    <v>536870912</v>
    <v>Little Rock, Arkansas</v>
    <v>2039fcee-c7a5-4241-930b-d2c6d17bae74</v>
    <v>en-US</v>
    <v>Map</v>
  </rv>
  <rv s="1">
    <fb>1138025</fb>
    <v>8</v>
  </rv>
  <rv s="1">
    <fb>1354762</fb>
    <v>8</v>
  </rv>
  <rv s="2">
    <v>6</v>
    <v>6</v>
    <v>58</v>
    <v>7</v>
    <v>0</v>
    <v>Image of Arkansas</v>
  </rv>
  <rv s="0">
    <v>805306368</v>
    <v>Sarah Huckabee Sanders (Governor)</v>
    <v>794a8222-ef7c-184f-be8d-1e95d28290a2</v>
    <v>en-US</v>
    <v>Generic</v>
  </rv>
  <rv s="0">
    <v>805306368</v>
    <v>Leslie Rutledge (Lieutenant governor)</v>
    <v>1df1c81e-109f-d6a6-5a0a-52a5e8e4ee06</v>
    <v>en-US</v>
    <v>Generic</v>
  </rv>
  <rv s="0">
    <v>805306368</v>
    <v>John Boozman (Senate)</v>
    <v>c68cff47-f645-0a65-99db-e7b69235c7dd</v>
    <v>en-US</v>
    <v>Generic</v>
  </rv>
  <rv s="0">
    <v>805306368</v>
    <v>Tom Cotton (Senate)</v>
    <v>b5cb098f-a265-a017-5a94-8fefa33bdbf8</v>
    <v>en-US</v>
    <v>Generic</v>
  </rv>
  <rv s="3">
    <v>12</v>
  </rv>
  <rv s="4">
    <v>https://www.bing.com/search?q=arkansas&amp;form=skydnc</v>
    <v>Learn more on Bing</v>
  </rv>
  <rv s="1">
    <fb>677</fb>
    <v>17</v>
  </rv>
  <rv s="1">
    <fb>41371</fb>
    <v>17</v>
  </rv>
  <rv s="1">
    <fb>111400</fb>
    <v>17</v>
  </rv>
  <rv s="1">
    <fb>2.5299999999999998</fb>
    <v>18</v>
  </rv>
  <rv s="1">
    <fb>3088354</fb>
    <v>8</v>
  </rv>
  <rv s="1">
    <fb>2.5000000000000001E-2</fb>
    <v>19</v>
  </rv>
  <rv s="1">
    <fb>0.16</fb>
    <v>19</v>
  </rv>
  <rv s="1">
    <fb>1.6E-2</fb>
    <v>19</v>
  </rv>
  <rv s="1">
    <fb>0.21100000000000002</fb>
    <v>19</v>
  </rv>
  <rv s="1">
    <fb>0.157</fb>
    <v>19</v>
  </rv>
  <rv s="1">
    <fb>4.7E-2</fb>
    <v>19</v>
  </rv>
  <rv s="1">
    <fb>0.84799999999999998</fb>
    <v>19</v>
  </rv>
  <rv s="1">
    <fb>7.2000000000000008E-2</fb>
    <v>19</v>
  </rv>
  <rv s="1">
    <fb>0.58499999999999996</fb>
    <v>19</v>
  </rv>
  <rv s="1">
    <fb>0.12300000000000001</fb>
    <v>19</v>
  </rv>
  <rv s="1">
    <fb>0.02</fb>
    <v>19</v>
  </rv>
  <rv s="1">
    <fb>0.23699999999999999</fb>
    <v>19</v>
  </rv>
  <rv s="1">
    <fb>0.79500000000000004</fb>
    <v>19</v>
  </rv>
  <rv s="3">
    <v>13</v>
  </rv>
  <rv s="10">
    <v>#VALUE!</v>
    <v>en-US</v>
    <v>b939db72-08f2-4ea6-a16a-a53bf32e6612</v>
    <v>536870912</v>
    <v>1</v>
    <v>61</v>
    <v>56</v>
    <v>Arkansas</v>
    <v>4</v>
    <v>5</v>
    <v>Map</v>
    <v>6</v>
    <v>57</v>
    <v>US-AR</v>
    <v>224</v>
    <v>225</v>
    <v>226</v>
    <v>191</v>
    <v>Arkansas is a landlocked state in the West South Central region of the Southern United States. It borders Missouri to the north, Tennessee and Mississippi to the east, Louisiana to the south, Texas to the southwest, and Oklahoma to the west. Its ...</v>
    <v>227</v>
    <v>228</v>
    <v>229</v>
    <v>226</v>
    <v>234</v>
    <v>235</v>
    <v>236</v>
    <v>237</v>
    <v>238</v>
    <v>Arkansas</v>
    <v>76</v>
    <v>239</v>
    <v>240</v>
    <v>241</v>
    <v>242</v>
    <v>32</v>
    <v>243</v>
    <v>244</v>
    <v>245</v>
    <v>246</v>
    <v>247</v>
    <v>248</v>
    <v>249</v>
    <v>217</v>
    <v>250</v>
    <v>251</v>
    <v>252</v>
    <v>185</v>
    <v>253</v>
    <v>254</v>
    <v>Arkansas</v>
    <v>mdp/vdpid/1951</v>
  </rv>
  <rv s="1">
    <fb>423970</fb>
    <v>8</v>
  </rv>
  <rv s="1">
    <fb>102350</fb>
    <v>8</v>
  </rv>
  <rv s="0">
    <v>536870912</v>
    <v>Sacramento, California</v>
    <v>4a1a8070-cc3d-4060-af9c-08ccbbca73d7</v>
    <v>en-US</v>
    <v>Map</v>
  </rv>
  <rv s="1">
    <fb>12717801</fb>
    <v>8</v>
  </rv>
  <rv s="1">
    <fb>14060525</fb>
    <v>8</v>
  </rv>
  <rv s="2">
    <v>7</v>
    <v>6</v>
    <v>62</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14</v>
  </rv>
  <rv s="4">
    <v>https://www.bing.com/search?q=california&amp;form=skydnc</v>
    <v>Learn more on Bing</v>
  </rv>
  <rv s="1">
    <fb>1255</fb>
    <v>17</v>
  </rv>
  <rv s="1">
    <fb>61818</fb>
    <v>17</v>
  </rv>
  <rv s="1">
    <fb>385500</fb>
    <v>17</v>
  </rv>
  <rv s="1">
    <fb>2.96</fb>
    <v>18</v>
  </rv>
  <rv s="1">
    <fb>39431263</fb>
    <v>8</v>
  </rv>
  <rv s="1">
    <fb>5.4000000000000006E-2</fb>
    <v>19</v>
  </rv>
  <rv s="1">
    <fb>0.13300000000000001</fb>
    <v>19</v>
  </rv>
  <rv s="1">
    <fb>1.7000000000000001E-2</fb>
    <v>20</v>
  </rv>
  <rv s="1">
    <fb>0.14699999999999999</fb>
    <v>19</v>
  </rv>
  <rv s="1">
    <fb>0.314</fb>
    <v>19</v>
  </rv>
  <rv s="1">
    <fb>6.5000000000000002E-2</fb>
    <v>19</v>
  </rv>
  <rv s="1">
    <fb>0.27</fb>
    <v>19</v>
  </rv>
  <rv s="1">
    <fb>0.81799999999999995</fb>
    <v>19</v>
  </rv>
  <rv s="1">
    <fb>0.38799999999999996</fb>
    <v>19</v>
  </rv>
  <rv s="1">
    <fb>0.63100000000000001</fb>
    <v>19</v>
  </rv>
  <rv s="1">
    <fb>5.0000000000000001E-3</fb>
    <v>19</v>
  </rv>
  <rv s="1">
    <fb>6.8000000000000005E-2</fb>
    <v>19</v>
  </rv>
  <rv s="1">
    <fb>3.7999999999999999E-2</fb>
    <v>19</v>
  </rv>
  <rv s="1">
    <fb>0.23300000000000001</fb>
    <v>19</v>
  </rv>
  <rv s="1">
    <fb>0.72900000000000009</fb>
    <v>19</v>
  </rv>
  <rv s="3">
    <v>15</v>
  </rv>
  <rv s="10">
    <v>#VALUE!</v>
    <v>en-US</v>
    <v>3009d91d-d582-4c34-85ba-772ba09e5be1</v>
    <v>536870912</v>
    <v>1</v>
    <v>65</v>
    <v>56</v>
    <v>California</v>
    <v>4</v>
    <v>5</v>
    <v>Map</v>
    <v>6</v>
    <v>57</v>
    <v>US-CA</v>
    <v>256</v>
    <v>257</v>
    <v>258</v>
    <v>191</v>
    <v>California is a state in the Western region of the United States that lies on the Pacific Coast. It borders Oregon to the north, Nevada and Arizona to the east, and shares an international border with the Mexican state of Baja California to the ...</v>
    <v>259</v>
    <v>260</v>
    <v>261</v>
    <v>262</v>
    <v>267</v>
    <v>268</v>
    <v>269</v>
    <v>270</v>
    <v>271</v>
    <v>California</v>
    <v>204</v>
    <v>272</v>
    <v>273</v>
    <v>274</v>
    <v>275</v>
    <v>276</v>
    <v>277</v>
    <v>278</v>
    <v>279</v>
    <v>280</v>
    <v>281</v>
    <v>282</v>
    <v>283</v>
    <v>284</v>
    <v>285</v>
    <v>286</v>
    <v>287</v>
    <v>185</v>
    <v>288</v>
    <v>289</v>
    <v>California</v>
    <v>mdp/vdpid/5599</v>
  </rv>
  <rv s="1">
    <fb>269837</fb>
    <v>8</v>
  </rv>
  <rv s="1">
    <fb>38974</fb>
    <v>8</v>
  </rv>
  <rv s="0">
    <v>536870912</v>
    <v>Denver</v>
    <v>5a7229b6-72d3-4bfc-a95e-9c35e297c9ff</v>
    <v>en-US</v>
    <v>Map</v>
  </rv>
  <rv s="1">
    <fb>2024468</fb>
    <v>8</v>
  </rv>
  <rv s="1">
    <fb>2339118</fb>
    <v>8</v>
  </rv>
  <rv s="2">
    <v>8</v>
    <v>6</v>
    <v>66</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16</v>
  </rv>
  <rv s="4">
    <v>https://www.bing.com/search?q=colorado&amp;form=skydnc</v>
    <v>Learn more on Bing</v>
  </rv>
  <rv s="1">
    <fb>1002</fb>
    <v>17</v>
  </rv>
  <rv s="1">
    <fb>60629</fb>
    <v>17</v>
  </rv>
  <rv s="1">
    <fb>247800</fb>
    <v>17</v>
  </rv>
  <rv s="1">
    <fb>2.5499999999999998</fb>
    <v>18</v>
  </rv>
  <rv s="1">
    <fb>5957493</fb>
    <v>8</v>
  </rv>
  <rv s="1">
    <fb>0.10199999999999999</fb>
    <v>19</v>
  </rv>
  <rv s="1">
    <fb>0.13</fb>
    <v>19</v>
  </rv>
  <rv s="1">
    <fb>1.6E-2</fb>
    <v>20</v>
  </rv>
  <rv s="1">
    <fb>3.2000000000000001E-2</fb>
    <v>19</v>
  </rv>
  <rv s="1">
    <fb>0.38100000000000001</fb>
    <v>19</v>
  </rv>
  <rv s="1">
    <fb>4.4999999999999998E-2</fb>
    <v>19</v>
  </rv>
  <rv s="1">
    <fb>9.8000000000000004E-2</fb>
    <v>19</v>
  </rv>
  <rv s="1">
    <fb>0.90700000000000003</fb>
    <v>19</v>
  </rv>
  <rv s="1">
    <fb>0.67599999999999993</fb>
    <v>19</v>
  </rv>
  <rv s="1">
    <fb>2.8999999999999998E-2</fb>
    <v>19</v>
  </rv>
  <rv s="1">
    <fb>0.23</fb>
    <v>19</v>
  </rv>
  <rv s="1">
    <fb>6.2E-2</fb>
    <v>19</v>
  </rv>
  <rv s="1">
    <fb>0.875</fb>
    <v>19</v>
  </rv>
  <rv s="3">
    <v>17</v>
  </rv>
  <rv s="10">
    <v>#VALUE!</v>
    <v>en-US</v>
    <v>a070c5c2-b22d-41d8-b869-f20e583c4f80</v>
    <v>536870912</v>
    <v>1</v>
    <v>69</v>
    <v>56</v>
    <v>Colorado</v>
    <v>4</v>
    <v>5</v>
    <v>Map</v>
    <v>6</v>
    <v>57</v>
    <v>US-CO</v>
    <v>291</v>
    <v>292</v>
    <v>293</v>
    <v>191</v>
    <v>Colorado is a state in the Western United States. It is one of the Mountain states, sharing the Four Corners region with Arizona, New Mexico, and Utah. It is also bordered by Wyoming to the north, Nebraska to the northeast, Kansas to the east, ...</v>
    <v>294</v>
    <v>295</v>
    <v>296</v>
    <v>293</v>
    <v>301</v>
    <v>302</v>
    <v>303</v>
    <v>304</v>
    <v>305</v>
    <v>Colorado</v>
    <v>204</v>
    <v>306</v>
    <v>307</v>
    <v>308</v>
    <v>309</v>
    <v>310</v>
    <v>311</v>
    <v>312</v>
    <v>313</v>
    <v>314</v>
    <v>315</v>
    <v>43</v>
    <v>316</v>
    <v>182</v>
    <v>248</v>
    <v>317</v>
    <v>318</v>
    <v>319</v>
    <v>320</v>
    <v>321</v>
    <v>Colorado</v>
    <v>mdp/vdpid/7636</v>
  </rv>
  <rv s="1">
    <fb>14357</fb>
    <v>8</v>
  </rv>
  <rv s="1">
    <fb>5504</fb>
    <v>8</v>
  </rv>
  <rv s="0">
    <v>536870912</v>
    <v>Hartford, Connecticut</v>
    <v>b8b8ebf2-e2da-483f-8643-880dd55aad13</v>
    <v>en-US</v>
    <v>Map</v>
  </rv>
  <rv s="1">
    <fb>1352583</fb>
    <v>8</v>
  </rv>
  <rv s="1">
    <fb>1499116</fb>
    <v>8</v>
  </rv>
  <rv s="2">
    <v>9</v>
    <v>6</v>
    <v>70</v>
    <v>7</v>
    <v>0</v>
    <v>Image of Connecticut</v>
  </rv>
  <rv s="0">
    <v>536870912</v>
    <v>Bridgeport, Connecticut</v>
    <v>a8869591-489d-40ba-b80b-b6d1e6c19391</v>
    <v>en-US</v>
    <v>Map</v>
  </rv>
  <rv s="0">
    <v>805306368</v>
    <v>Ned Lamont (Governor)</v>
    <v>3685f682-77d1-4823-3b8f-bcb46698ef70</v>
    <v>en-US</v>
    <v>Generic</v>
  </rv>
  <rv s="0">
    <v>805306368</v>
    <v>Susan Bysiewicz (Lieutenant governor)</v>
    <v>e8219547-8f75-e4f3-3f07-7b5df6eb7c4c</v>
    <v>en-US</v>
    <v>Generic</v>
  </rv>
  <rv s="0">
    <v>805306368</v>
    <v>Richard Blumenthal (Senate)</v>
    <v>4e6038a9-b7ca-bb9c-0d4b-a75013d4185b</v>
    <v>en-US</v>
    <v>Generic</v>
  </rv>
  <rv s="0">
    <v>805306368</v>
    <v>Chris Murphy (Senate)</v>
    <v>693665e4-3df7-8219-3f37-3d54910459d6</v>
    <v>en-US</v>
    <v>Generic</v>
  </rv>
  <rv s="3">
    <v>18</v>
  </rv>
  <rv s="4">
    <v>https://www.bing.com/search?q=connecticut&amp;form=skydnc</v>
    <v>Learn more on Bing</v>
  </rv>
  <rv s="1">
    <fb>1075</fb>
    <v>17</v>
  </rv>
  <rv s="1">
    <fb>70331</fb>
    <v>17</v>
  </rv>
  <rv s="1">
    <fb>270500</fb>
    <v>17</v>
  </rv>
  <rv s="1">
    <fb>2.57</fb>
    <v>18</v>
  </rv>
  <rv s="1">
    <fb>3675069</fb>
    <v>8</v>
  </rv>
  <rv s="1">
    <fb>0.158</fb>
    <v>19</v>
  </rv>
  <rv s="1">
    <fb>5.0000000000000001E-3</fb>
    <v>20</v>
  </rv>
  <rv s="1">
    <fb>4.5999999999999999E-2</fb>
    <v>19</v>
  </rv>
  <rv s="1">
    <fb>0.376</fb>
    <v>19</v>
  </rv>
  <rv s="1">
    <fb>0.11599999999999999</fb>
    <v>19</v>
  </rv>
  <rv s="1">
    <fb>0.13900000000000001</fb>
    <v>19</v>
  </rv>
  <rv s="1">
    <fb>0.89900000000000002</fb>
    <v>19</v>
  </rv>
  <rv s="1">
    <fb>0.154</fb>
    <v>19</v>
  </rv>
  <rv s="1">
    <fb>0.67200000000000004</fb>
    <v>19</v>
  </rv>
  <rv s="1">
    <fb>7.0999999999999994E-2</fb>
    <v>19</v>
  </rv>
  <rv s="1">
    <fb>2.2000000000000002E-2</fb>
    <v>19</v>
  </rv>
  <rv s="1">
    <fb>5.2000000000000005E-2</fb>
    <v>19</v>
  </rv>
  <rv s="1">
    <fb>0.80799999999999994</fb>
    <v>19</v>
  </rv>
  <rv s="6">
    <v>#VALUE!</v>
    <v>en-US</v>
    <v>b3ca6523-435e-4a3b-8f78-1ad900a52cf8</v>
    <v>536870912</v>
    <v>1</v>
    <v>73</v>
    <v>15</v>
    <v>Connecticut</v>
    <v>4</v>
    <v>5</v>
    <v>Map</v>
    <v>6</v>
    <v>57</v>
    <v>US-CT</v>
    <v>323</v>
    <v>324</v>
    <v>325</v>
    <v>191</v>
    <v>Connecticut is a state in the New England region of the Northeastern United States. It borders Rhode Island to the east, Massachusetts to the north, New York to the west, and Long Island Sound to the south. Its capital is Hartford, and its most ...</v>
    <v>326</v>
    <v>327</v>
    <v>328</v>
    <v>329</v>
    <v>334</v>
    <v>335</v>
    <v>336</v>
    <v>337</v>
    <v>338</v>
    <v>Connecticut</v>
    <v>339</v>
    <v>340</v>
    <v>40</v>
    <v>341</v>
    <v>342</v>
    <v>343</v>
    <v>344</v>
    <v>345</v>
    <v>346</v>
    <v>347</v>
    <v>348</v>
    <v>349</v>
    <v>40</v>
    <v>350</v>
    <v>351</v>
    <v>43</v>
    <v>352</v>
    <v>353</v>
    <v>11</v>
    <v>Connecticut</v>
    <v>mdp/vdpid/7798</v>
  </rv>
  <rv s="1">
    <fb>170304</fb>
    <v>8</v>
  </rv>
  <rv s="1">
    <fb>116240</fb>
    <v>8</v>
  </rv>
  <rv s="0">
    <v>536870912</v>
    <v>Tallahassee, Florida</v>
    <v>fe8036d9-2764-4483-9405-f07a59b69915</v>
    <v>en-US</v>
    <v>Map</v>
  </rv>
  <rv s="1">
    <fb>7300494</fb>
    <v>8</v>
  </rv>
  <rv s="1">
    <fb>9301642</fb>
    <v>8</v>
  </rv>
  <rv s="2">
    <v>10</v>
    <v>6</v>
    <v>74</v>
    <v>7</v>
    <v>0</v>
    <v>Image of Florida</v>
  </rv>
  <rv s="0">
    <v>536870912</v>
    <v>Jacksonville, Florida</v>
    <v>8bd6021b-ea7f-4470-a29b-042b1c82e07f</v>
    <v>en-US</v>
    <v>Map</v>
  </rv>
  <rv s="0">
    <v>805306368</v>
    <v>Ron DeSantis (Governor)</v>
    <v>1ed346c3-9ad7-8e78-ae55-5ed54b15749a</v>
    <v>en-US</v>
    <v>Generic</v>
  </rv>
  <rv s="0">
    <v>805306368</v>
    <v>Rick Scott (Senate)</v>
    <v>7a306d31-0926-baab-a271-b42913720a93</v>
    <v>en-US</v>
    <v>Generic</v>
  </rv>
  <rv s="0">
    <v>805306368</v>
    <v>Ashley Moody (Senate)</v>
    <v>65cb4204-9d4c-cb8d-a4f0-22efc12fd008</v>
    <v>en-US</v>
    <v>Generic</v>
  </rv>
  <rv s="3">
    <v>19</v>
  </rv>
  <rv s="4">
    <v>https://www.bing.com/search?q=florida&amp;form=skydnc</v>
    <v>Learn more on Bing</v>
  </rv>
  <rv s="1">
    <fb>47507</fb>
    <v>17</v>
  </rv>
  <rv s="1">
    <fb>159000</fb>
    <v>17</v>
  </rv>
  <rv s="1">
    <fb>23372215</fb>
    <v>8</v>
  </rv>
  <rv s="1">
    <fb>9.6000000000000002E-2</fb>
    <v>19</v>
  </rv>
  <rv s="1">
    <fb>0.19399999999999998</fb>
    <v>19</v>
  </rv>
  <rv s="1">
    <fb>2.7999999999999997E-2</fb>
    <v>19</v>
  </rv>
  <rv s="1">
    <fb>0.27300000000000002</fb>
    <v>19</v>
  </rv>
  <rv s="1">
    <fb>0.16800000000000001</fb>
    <v>19</v>
  </rv>
  <rv s="1">
    <fb>0.19699999999999998</fb>
    <v>19</v>
  </rv>
  <rv s="1">
    <fb>0.86900000000000011</fb>
    <v>19</v>
  </rv>
  <rv s="1">
    <fb>0.245</fb>
    <v>19</v>
  </rv>
  <rv s="1">
    <fb>0.58799999999999997</fb>
    <v>19</v>
  </rv>
  <rv s="1">
    <fb>8.5000000000000006E-2</fb>
    <v>19</v>
  </rv>
  <rv s="1">
    <fb>0.20300000000000001</fb>
    <v>19</v>
  </rv>
  <rv s="1">
    <fb>0.77700000000000002</fb>
    <v>19</v>
  </rv>
  <rv s="3">
    <v>20</v>
  </rv>
  <rv s="10">
    <v>#VALUE!</v>
    <v>en-US</v>
    <v>5fece3f4-e8e8-4159-843e-f725a930ad50</v>
    <v>536870912</v>
    <v>1</v>
    <v>77</v>
    <v>56</v>
    <v>Florida</v>
    <v>4</v>
    <v>5</v>
    <v>Map</v>
    <v>6</v>
    <v>57</v>
    <v>US-FL</v>
    <v>355</v>
    <v>356</v>
    <v>357</v>
    <v>191</v>
    <v>Florida is a state in the Southeastern region of the United States. It borders the Gulf of Mexico to the west, Alabama to the northwest, Georgia to the north, the Atlantic Ocean to the east, and the Straits of Florida and Cuba to the south. ...</v>
    <v>358</v>
    <v>359</v>
    <v>360</v>
    <v>361</v>
    <v>365</v>
    <v>366</v>
    <v>303</v>
    <v>367</v>
    <v>368</v>
    <v>Florida</v>
    <v>204</v>
    <v>28</v>
    <v>369</v>
    <v>370</v>
    <v>371</v>
    <v>342</v>
    <v>372</v>
    <v>373</v>
    <v>374</v>
    <v>375</v>
    <v>376</v>
    <v>377</v>
    <v>378</v>
    <v>40</v>
    <v>379</v>
    <v>251</v>
    <v>380</v>
    <v>274</v>
    <v>381</v>
    <v>382</v>
    <v>Florida</v>
    <v>mdp/vdpid/11032</v>
  </rv>
  <rv s="1">
    <fb>153909</fb>
    <v>8</v>
  </rv>
  <rv s="1">
    <fb>51675</fb>
    <v>8</v>
  </rv>
  <rv s="0">
    <v>536870912</v>
    <v>Atlanta</v>
    <v>1a92f3fa-61f9-4e89-b606-40c945cf18d1</v>
    <v>en-US</v>
    <v>Map</v>
  </rv>
  <rv s="1">
    <fb>3574362</fb>
    <v>8</v>
  </rv>
  <rv s="1">
    <fb>4218776</fb>
    <v>8</v>
  </rv>
  <rv s="2">
    <v>11</v>
    <v>6</v>
    <v>78</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21</v>
  </rv>
  <rv s="4">
    <v>https://www.bing.com/search?q=georgia+u+s+state&amp;form=skydnc</v>
    <v>Learn more on Bing</v>
  </rv>
  <rv s="1">
    <fb>879</fb>
    <v>17</v>
  </rv>
  <rv s="1">
    <fb>49620</fb>
    <v>17</v>
  </rv>
  <rv s="1">
    <fb>148100</fb>
    <v>17</v>
  </rv>
  <rv s="1">
    <fb>2.73</fb>
    <v>18</v>
  </rv>
  <rv s="1">
    <fb>11180878</fb>
    <v>8</v>
  </rv>
  <rv s="1">
    <fb>0.128</fb>
    <v>19</v>
  </rv>
  <rv s="1">
    <fb>0.04</fb>
    <v>19</v>
  </rv>
  <rv s="1">
    <fb>0.28800000000000003</fb>
    <v>19</v>
  </rv>
  <rv s="1">
    <fb>0.317</fb>
    <v>19</v>
  </rv>
  <rv s="1">
    <fb>0.85400000000000009</fb>
    <v>19</v>
  </rv>
  <rv s="1">
    <fb>9.4E-2</fb>
    <v>19</v>
  </rv>
  <rv s="1">
    <fb>0.623</fb>
    <v>19</v>
  </rv>
  <rv s="1">
    <fb>0.61599999999999999</fb>
    <v>19</v>
  </rv>
  <rv s="10">
    <v>#VALUE!</v>
    <v>en-US</v>
    <v>84604bc7-2c47-4f8d-8ea5-b6ac8c018a20</v>
    <v>536870912</v>
    <v>1</v>
    <v>81</v>
    <v>56</v>
    <v>Georgia</v>
    <v>4</v>
    <v>5</v>
    <v>Map</v>
    <v>6</v>
    <v>57</v>
    <v>US-GA</v>
    <v>384</v>
    <v>385</v>
    <v>386</v>
    <v>191</v>
    <v>Georgia, officially the State of Georgia, is a state in the Southeastern region of the United States. It borders Tennessee and North Carolina to the north, South Carolina and the Atlantic Ocean to the east, Florida to the south, and Alabama to ...</v>
    <v>387</v>
    <v>388</v>
    <v>389</v>
    <v>386</v>
    <v>394</v>
    <v>395</v>
    <v>396</v>
    <v>397</v>
    <v>398</v>
    <v>Georgia</v>
    <v>204</v>
    <v>399</v>
    <v>400</v>
    <v>185</v>
    <v>401</v>
    <v>342</v>
    <v>402</v>
    <v>403</v>
    <v>404</v>
    <v>314</v>
    <v>405</v>
    <v>406</v>
    <v>407</v>
    <v>40</v>
    <v>33</v>
    <v>251</v>
    <v>377</v>
    <v>279</v>
    <v>408</v>
    <v>11</v>
    <v>Georgia</v>
    <v>mdp/vdpid/12004</v>
  </rv>
  <rv s="1">
    <fb>149998</fb>
    <v>8</v>
  </rv>
  <rv s="1">
    <fb>22603</fb>
    <v>8</v>
  </rv>
  <rv s="0">
    <v>536870912</v>
    <v>Springfield, Illinois</v>
    <v>dc562bf8-bf83-4505-8a1b-0bdb5bd605f8</v>
    <v>en-US</v>
    <v>Map</v>
  </rv>
  <rv s="1">
    <fb>4786388</fb>
    <v>8</v>
  </rv>
  <rv s="1">
    <fb>5326970</fb>
    <v>8</v>
  </rv>
  <rv s="2">
    <v>12</v>
    <v>6</v>
    <v>82</v>
    <v>7</v>
    <v>0</v>
    <v>Image of Illinois</v>
  </rv>
  <rv s="0">
    <v>536870912</v>
    <v>Chicago</v>
    <v>28deeb39-ca49-4bd4-913b-929b1de4b25b</v>
    <v>en-US</v>
    <v>Map</v>
  </rv>
  <rv s="0">
    <v>805306368</v>
    <v>JB Pritzker (Governor)</v>
    <v>b759cb46-ad88-1a31-2b59-96119b3d5661</v>
    <v>en-US</v>
    <v>Generic</v>
  </rv>
  <rv s="0">
    <v>805306368</v>
    <v>Juliana Stratton (Lieutenant governor)</v>
    <v>b1e39d21-a189-eb04-4b28-4942fe9dcb39</v>
    <v>en-US</v>
    <v>Generic</v>
  </rv>
  <rv s="0">
    <v>805306368</v>
    <v>Dick Durbin (Senate)</v>
    <v>39cda51e-89dc-c35b-7e31-76f82e75fe08</v>
    <v>en-US</v>
    <v>Generic</v>
  </rv>
  <rv s="0">
    <v>805306368</v>
    <v>Tammy Duckworth (Senate)</v>
    <v>2df4f5f2-221e-6c63-c1d6-c100d6489731</v>
    <v>en-US</v>
    <v>Generic</v>
  </rv>
  <rv s="3">
    <v>22</v>
  </rv>
  <rv s="4">
    <v>https://www.bing.com/search?q=illinois&amp;form=skydnc</v>
    <v>Learn more on Bing</v>
  </rv>
  <rv s="1">
    <fb>907</fb>
    <v>17</v>
  </rv>
  <rv s="1">
    <fb>57574</fb>
    <v>17</v>
  </rv>
  <rv s="1">
    <fb>173800</fb>
    <v>17</v>
  </rv>
  <rv s="1">
    <fb>12710158</fb>
    <v>8</v>
  </rv>
  <rv s="1">
    <fb>-2E-3</fb>
    <v>19</v>
  </rv>
  <rv s="1">
    <fb>0.14199999999999999</fb>
    <v>19</v>
  </rv>
  <rv s="1">
    <fb>5.5E-2</fb>
    <v>19</v>
  </rv>
  <rv s="1">
    <fb>0.32299999999999995</fb>
    <v>19</v>
  </rv>
  <rv s="1">
    <fb>0.14000000000000001</fb>
    <v>19</v>
  </rv>
  <rv s="1">
    <fb>0.879</fb>
    <v>19</v>
  </rv>
  <rv s="1">
    <fb>0.16899999999999998</fb>
    <v>19</v>
  </rv>
  <rv s="1">
    <fb>0.65599999999999992</fb>
    <v>19</v>
  </rv>
  <rv s="1">
    <fb>6.0999999999999999E-2</fb>
    <v>19</v>
  </rv>
  <rv s="1">
    <fb>0.77300000000000002</fb>
    <v>19</v>
  </rv>
  <rv s="10">
    <v>#VALUE!</v>
    <v>en-US</v>
    <v>4131acb8-628a-4241-8920-ca79eab9dade</v>
    <v>536870912</v>
    <v>1</v>
    <v>85</v>
    <v>56</v>
    <v>Illinois</v>
    <v>4</v>
    <v>5</v>
    <v>Map</v>
    <v>6</v>
    <v>57</v>
    <v>US-IL</v>
    <v>410</v>
    <v>411</v>
    <v>412</v>
    <v>191</v>
    <v>Illinois is a state in the Midwestern region of the United States. It borders on Lake Michigan to its northeast, the Mississippi River to its west, and the Wabash and Ohio rivers to its south. Of the fifty U.S. states, Illinois has the ...</v>
    <v>413</v>
    <v>414</v>
    <v>415</v>
    <v>416</v>
    <v>421</v>
    <v>422</v>
    <v>423</v>
    <v>424</v>
    <v>425</v>
    <v>Illinois</v>
    <v>204</v>
    <v>28</v>
    <v>426</v>
    <v>427</v>
    <v>428</v>
    <v>174</v>
    <v>429</v>
    <v>430</v>
    <v>277</v>
    <v>431</v>
    <v>432</v>
    <v>433</v>
    <v>434</v>
    <v>40</v>
    <v>350</v>
    <v>30</v>
    <v>318</v>
    <v>435</v>
    <v>436</v>
    <v>254</v>
    <v>Illinois</v>
    <v>mdp/vdpid/14808</v>
  </rv>
  <rv s="1">
    <fb>145746</fb>
    <v>8</v>
  </rv>
  <rv s="1">
    <fb>14317</fb>
    <v>8</v>
  </rv>
  <rv s="0">
    <v>536870912</v>
    <v>Des Moines, Iowa</v>
    <v>a4592975-b658-4874-8c06-906edcde2841</v>
    <v>en-US</v>
    <v>Map</v>
  </rv>
  <rv s="1">
    <fb>1236409</fb>
    <v>8</v>
  </rv>
  <rv s="1">
    <fb>1380162</fb>
    <v>8</v>
  </rv>
  <rv s="2">
    <v>13</v>
    <v>6</v>
    <v>86</v>
    <v>7</v>
    <v>0</v>
    <v>Image of Iowa</v>
  </rv>
  <rv s="0">
    <v>805306368</v>
    <v>Kim Reynolds (Governor)</v>
    <v>5a53cf17-9d69-0115-9fad-e65c96b79e58</v>
    <v>en-US</v>
    <v>Generic</v>
  </rv>
  <rv s="0">
    <v>805306368</v>
    <v>Chris Cournoyer (Lieutenant governor)</v>
    <v>d2566884-653d-afdb-e4d1-04b498ecb005</v>
    <v>en-US</v>
    <v>Generic</v>
  </rv>
  <rv s="0">
    <v>805306368</v>
    <v>Chuck Grassley (Senate)</v>
    <v>f108a253-5d62-c018-e5c0-3962d9ca0a9b</v>
    <v>en-US</v>
    <v>Generic</v>
  </rv>
  <rv s="0">
    <v>805306368</v>
    <v>Joni Ernst (Senate)</v>
    <v>6b45ca38-e2ee-e00e-7985-25132e676665</v>
    <v>en-US</v>
    <v>Generic</v>
  </rv>
  <rv s="3">
    <v>23</v>
  </rv>
  <rv s="4">
    <v>https://www.bing.com/search?q=iowa&amp;form=skydnc</v>
    <v>Learn more on Bing</v>
  </rv>
  <rv s="1">
    <fb>697</fb>
    <v>17</v>
  </rv>
  <rv s="1">
    <fb>53183</fb>
    <v>17</v>
  </rv>
  <rv s="1">
    <fb>129200</fb>
    <v>17</v>
  </rv>
  <rv s="1">
    <fb>2.42</fb>
    <v>18</v>
  </rv>
  <rv s="1">
    <fb>3241488</fb>
    <v>8</v>
  </rv>
  <rv s="1">
    <fb>0.161</fb>
    <v>19</v>
  </rv>
  <rv s="1">
    <fb>0.26700000000000002</fb>
    <v>19</v>
  </rv>
  <rv s="1">
    <fb>3.5000000000000003E-2</fb>
    <v>19</v>
  </rv>
  <rv s="1">
    <fb>0.91500000000000004</fb>
    <v>19</v>
  </rv>
  <rv s="1">
    <fb>5.7000000000000002E-2</fb>
    <v>19</v>
  </rv>
  <rv s="1">
    <fb>7.9000000000000001E-2</fb>
    <v>19</v>
  </rv>
  <rv s="1">
    <fb>1.8000000000000002E-2</fb>
    <v>19</v>
  </rv>
  <rv s="1">
    <fb>0.91799999999999993</fb>
    <v>19</v>
  </rv>
  <rv s="10">
    <v>#VALUE!</v>
    <v>en-US</v>
    <v>77850824-b07a-487a-af58-37f9949afc27</v>
    <v>536870912</v>
    <v>1</v>
    <v>89</v>
    <v>56</v>
    <v>Iowa</v>
    <v>4</v>
    <v>5</v>
    <v>Map</v>
    <v>6</v>
    <v>57</v>
    <v>US-IA</v>
    <v>438</v>
    <v>439</v>
    <v>440</v>
    <v>191</v>
    <v>Iowa is a state in the upper Midwestern region of the United States. It borders the Mississippi River to the east and the Missouri River and Big Sioux River to the west; Wisconsin to the northeast, Illinois to the east and southeast, Missouri to ...</v>
    <v>441</v>
    <v>442</v>
    <v>443</v>
    <v>440</v>
    <v>448</v>
    <v>449</v>
    <v>450</v>
    <v>451</v>
    <v>452</v>
    <v>Iowa</v>
    <v>204</v>
    <v>453</v>
    <v>454</v>
    <v>317</v>
    <v>455</v>
    <v>342</v>
    <v>42</v>
    <v>456</v>
    <v>457</v>
    <v>246</v>
    <v>458</v>
    <v>459</v>
    <v>316</v>
    <v>40</v>
    <v>460</v>
    <v>461</v>
    <v>287</v>
    <v>220</v>
    <v>462</v>
    <v>254</v>
    <v>Iowa</v>
    <v>mdp/vdpid/14987</v>
  </rv>
  <rv s="1">
    <fb>135382</fb>
    <v>8</v>
  </rv>
  <rv s="1">
    <fb>14503</fb>
    <v>8</v>
  </rv>
  <rv s="0">
    <v>536870912</v>
    <v>Baton Rouge, Louisiana</v>
    <v>dc17dbc5-08e4-4782-8f58-e5ce764122b6</v>
    <v>en-US</v>
    <v>Map</v>
  </rv>
  <rv s="1">
    <fb>1727919</fb>
    <v>8</v>
  </rv>
  <rv s="1">
    <fb>2036975</fb>
    <v>8</v>
  </rv>
  <rv s="2">
    <v>14</v>
    <v>6</v>
    <v>90</v>
    <v>7</v>
    <v>0</v>
    <v>Image of Louisiana</v>
  </rv>
  <rv s="0">
    <v>536870912</v>
    <v>New Orleans</v>
    <v>465e78cf-aa9a-491f-9167-4520c7110824</v>
    <v>en-US</v>
    <v>Map</v>
  </rv>
  <rv s="0">
    <v>805306368</v>
    <v>Jeff Landry (Governor)</v>
    <v>d492bfcb-cae8-2b79-02a0-bd16694ca8f1</v>
    <v>en-US</v>
    <v>Generic</v>
  </rv>
  <rv s="0">
    <v>805306368</v>
    <v>Billy Nungesser (Lieutenant governor)</v>
    <v>edba98a9-8f96-5d5f-2a33-d387284d930d</v>
    <v>en-US</v>
    <v>Generic</v>
  </rv>
  <rv s="0">
    <v>805306368</v>
    <v>Bill Cassidy (Senate)</v>
    <v>23d46db6-3b3f-47f4-80e7-ed2027ac6347</v>
    <v>en-US</v>
    <v>Generic</v>
  </rv>
  <rv s="0">
    <v>805306368</v>
    <v>John Kennedy (Senate)</v>
    <v>e3825889-48aa-6c64-9811-067af6c09e88</v>
    <v>en-US</v>
    <v>Generic</v>
  </rv>
  <rv s="3">
    <v>24</v>
  </rv>
  <rv s="4">
    <v>https://www.bing.com/search?q=louisiana&amp;form=skydnc</v>
    <v>Learn more on Bing</v>
  </rv>
  <rv s="1">
    <fb>788</fb>
    <v>17</v>
  </rv>
  <rv s="1">
    <fb>45047</fb>
    <v>17</v>
  </rv>
  <rv s="1">
    <fb>144100</fb>
    <v>17</v>
  </rv>
  <rv s="3">
    <v>25</v>
  </rv>
  <rv s="1">
    <fb>2.6</fb>
    <v>18</v>
  </rv>
  <rv s="1">
    <fb>4597740</fb>
    <v>8</v>
  </rv>
  <rv s="1">
    <fb>3.3000000000000002E-2</fb>
    <v>19</v>
  </rv>
  <rv s="1">
    <fb>8.0000000000000002E-3</fb>
    <v>20</v>
  </rv>
  <rv s="1">
    <fb>0.32500000000000001</fb>
    <v>19</v>
  </rv>
  <rv s="1">
    <fb>0.83400000000000007</fb>
    <v>19</v>
  </rv>
  <rv s="1">
    <fb>0.05</fb>
    <v>19</v>
  </rv>
  <rv s="1">
    <fb>0.60399999999999998</fb>
    <v>19</v>
  </rv>
  <rv s="1">
    <fb>0.11</fb>
    <v>19</v>
  </rv>
  <rv s="1">
    <fb>0.23899999999999999</fb>
    <v>19</v>
  </rv>
  <rv s="1">
    <fb>6.7000000000000004E-2</fb>
    <v>19</v>
  </rv>
  <rv s="1">
    <fb>0.63200000000000001</fb>
    <v>19</v>
  </rv>
  <rv s="10">
    <v>#VALUE!</v>
    <v>en-US</v>
    <v>0ca1e87f-e2f6-43fb-8deb-d22bd09a9cae</v>
    <v>536870912</v>
    <v>1</v>
    <v>93</v>
    <v>56</v>
    <v>Louisiana</v>
    <v>4</v>
    <v>5</v>
    <v>Map</v>
    <v>6</v>
    <v>57</v>
    <v>US-LA</v>
    <v>464</v>
    <v>465</v>
    <v>466</v>
    <v>191</v>
    <v>Louisiana is a state in the Deep South and South Central regions of the United States. It borders Texas to the west, Arkansas to the north, and Mississippi to the east. Of the 50 U.S. states, it ranks 31st in area and 25th in population, with ...</v>
    <v>467</v>
    <v>468</v>
    <v>469</v>
    <v>470</v>
    <v>475</v>
    <v>476</v>
    <v>477</v>
    <v>478</v>
    <v>479</v>
    <v>Louisiana</v>
    <v>480</v>
    <v>481</v>
    <v>482</v>
    <v>483</v>
    <v>431</v>
    <v>484</v>
    <v>461</v>
    <v>36</v>
    <v>485</v>
    <v>402</v>
    <v>486</v>
    <v>487</v>
    <v>488</v>
    <v>40</v>
    <v>489</v>
    <v>243</v>
    <v>490</v>
    <v>491</v>
    <v>492</v>
    <v>254</v>
    <v>Louisiana</v>
    <v>mdp/vdpid/19283</v>
  </rv>
  <rv s="1">
    <fb>27336</fb>
    <v>8</v>
  </rv>
  <rv s="1">
    <fb>16288</fb>
    <v>8</v>
  </rv>
  <rv s="0">
    <v>536870912</v>
    <v>Boston</v>
    <v>f0f5899a-361f-4fe4-89d1-11130aa2c653</v>
    <v>en-US</v>
    <v>Map</v>
  </rv>
  <rv s="1">
    <fb>2549721</fb>
    <v>8</v>
  </rv>
  <rv s="1">
    <fb>2858026</fb>
    <v>8</v>
  </rv>
  <rv s="2">
    <v>15</v>
    <v>6</v>
    <v>94</v>
    <v>7</v>
    <v>0</v>
    <v>Image of Massachusetts</v>
  </rv>
  <rv s="0">
    <v>805306368</v>
    <v>Maura Healey (Governor)</v>
    <v>16f75b4a-61cd-c874-f8be-b832c93cc2f9</v>
    <v>en-US</v>
    <v>Generic</v>
  </rv>
  <rv s="0">
    <v>805306368</v>
    <v>Kim Driscoll (Lieutenant governor)</v>
    <v>49e728c3-181d-48d9-8e7d-8c9fef062e0e</v>
    <v>en-US</v>
    <v>Generic</v>
  </rv>
  <rv s="0">
    <v>805306368</v>
    <v>Elizabeth Warren (Senate)</v>
    <v>8c35b43e-b645-d791-7a5c-305ebcc23f83</v>
    <v>en-US</v>
    <v>Generic</v>
  </rv>
  <rv s="0">
    <v>805306368</v>
    <v>Ed Markey (Senate)</v>
    <v>a9ec6fce-5147-02f1-0a7e-53c0f484c57c</v>
    <v>en-US</v>
    <v>Generic</v>
  </rv>
  <rv s="3">
    <v>26</v>
  </rv>
  <rv s="4">
    <v>https://www.bing.com/search?q=massachusetts&amp;form=skydnc</v>
    <v>Learn more on Bing</v>
  </rv>
  <rv s="1">
    <fb>1102</fb>
    <v>17</v>
  </rv>
  <rv s="1">
    <fb>68563</fb>
    <v>17</v>
  </rv>
  <rv s="1">
    <fb>333100</fb>
    <v>17</v>
  </rv>
  <rv s="1">
    <fb>7136171</fb>
    <v>8</v>
  </rv>
  <rv s="1">
    <fb>6.6000000000000003E-2</fb>
    <v>19</v>
  </rv>
  <rv s="1">
    <fb>0.40500000000000003</fb>
    <v>19</v>
  </rv>
  <rv s="1">
    <fb>0.155</fb>
    <v>19</v>
  </rv>
  <rv s="1">
    <fb>0.89800000000000002</fb>
    <v>19</v>
  </rv>
  <rv s="1">
    <fb>0.11199999999999999</fb>
    <v>19</v>
  </rv>
  <rv s="1">
    <fb>0.67500000000000004</fb>
    <v>19</v>
  </rv>
  <rv s="1">
    <fb>2.3E-2</fb>
    <v>19</v>
  </rv>
  <rv s="1">
    <fb>0.20399999999999999</fb>
    <v>19</v>
  </rv>
  <rv s="1">
    <fb>0.82099999999999995</fb>
    <v>19</v>
  </rv>
  <rv s="10">
    <v>#VALUE!</v>
    <v>en-US</v>
    <v>845219d5-3650-4199-b926-964ca27c863c</v>
    <v>536870912</v>
    <v>1</v>
    <v>97</v>
    <v>56</v>
    <v>Massachusetts</v>
    <v>4</v>
    <v>5</v>
    <v>Map</v>
    <v>6</v>
    <v>57</v>
    <v>US-MA</v>
    <v>494</v>
    <v>495</v>
    <v>496</v>
    <v>191</v>
    <v>Massachusetts, officially the Commonwealth of Massachusetts, is a state in the New England region of the Northeastern United States. It borders the Atlantic Ocean and Gulf of Maine to its east, Connecticut and Rhode Island to its south, New ...</v>
    <v>497</v>
    <v>498</v>
    <v>499</v>
    <v>496</v>
    <v>504</v>
    <v>505</v>
    <v>506</v>
    <v>507</v>
    <v>508</v>
    <v>Massachusetts</v>
    <v>76</v>
    <v>239</v>
    <v>509</v>
    <v>402</v>
    <v>348</v>
    <v>342</v>
    <v>510</v>
    <v>511</v>
    <v>207</v>
    <v>512</v>
    <v>513</v>
    <v>514</v>
    <v>515</v>
    <v>40</v>
    <v>460</v>
    <v>516</v>
    <v>517</v>
    <v>274</v>
    <v>518</v>
    <v>11</v>
    <v>Massachusetts</v>
    <v>mdp/vdpid/20543</v>
  </rv>
  <rv s="1">
    <fb>250493</fb>
    <v>8</v>
  </rv>
  <rv s="1">
    <fb>20408</fb>
    <v>8</v>
  </rv>
  <rv s="0">
    <v>536870912</v>
    <v>Lansing, Michigan</v>
    <v>f72f32c4-1da0-4657-9366-ff9fa67191cd</v>
    <v>en-US</v>
    <v>Map</v>
  </rv>
  <rv s="1">
    <fb>3841148</fb>
    <v>8</v>
  </rv>
  <rv s="1">
    <fb>4560055</fb>
    <v>8</v>
  </rv>
  <rv s="2">
    <v>16</v>
    <v>6</v>
    <v>98</v>
    <v>7</v>
    <v>0</v>
    <v>Image of Michigan</v>
  </rv>
  <rv s="0">
    <v>536870912</v>
    <v>Detroit</v>
    <v>85910f05-3dc5-436a-85db-fe5802c27206</v>
    <v>en-US</v>
    <v>Map</v>
  </rv>
  <rv s="0">
    <v>805306368</v>
    <v>Gretchen Whitmer (Governor)</v>
    <v>f6d1e9db-75f6-c594-7272-dd636d3f4ad3</v>
    <v>en-US</v>
    <v>Generic</v>
  </rv>
  <rv s="0">
    <v>805306368</v>
    <v>Garlin Gilchrist (Lieutenant governor)</v>
    <v>d8f5ba75-ec82-cc25-7294-3463565f1b51</v>
    <v>en-US</v>
    <v>Generic</v>
  </rv>
  <rv s="0">
    <v>805306368</v>
    <v>Gary Peters (Senate)</v>
    <v>1c5d76fc-da74-8c31-948e-7a8f6da3076a</v>
    <v>en-US</v>
    <v>Generic</v>
  </rv>
  <rv s="0">
    <v>805306368</v>
    <v>Elissa Slotkin (Senate)</v>
    <v>56f25db1-c482-d5c7-4b24-facdadf2d0e2</v>
    <v>en-US</v>
    <v>Generic</v>
  </rv>
  <rv s="3">
    <v>27</v>
  </rv>
  <rv s="4">
    <v>https://www.bing.com/search?q=michigan&amp;form=skydnc</v>
    <v>Learn more on Bing</v>
  </rv>
  <rv s="1">
    <fb>783</fb>
    <v>17</v>
  </rv>
  <rv s="1">
    <fb>49576</fb>
    <v>17</v>
  </rv>
  <rv s="1">
    <fb>122400</fb>
    <v>17</v>
  </rv>
  <rv s="1">
    <fb>2.52</fb>
    <v>18</v>
  </rv>
  <rv s="1">
    <fb>10140459</fb>
    <v>8</v>
  </rv>
  <rv s="1">
    <fb>4.0000000000000001E-3</fb>
    <v>19</v>
  </rv>
  <rv s="1">
    <fb>6.9999999999999993E-3</fb>
    <v>20</v>
  </rv>
  <rv s="1">
    <fb>0.03</fb>
    <v>19</v>
  </rv>
  <rv s="1">
    <fb>0.26899999999999996</fb>
    <v>19</v>
  </rv>
  <rv s="1">
    <fb>0.89599999999999991</fb>
    <v>19</v>
  </rv>
  <rv s="1">
    <fb>4.9000000000000002E-2</fb>
    <v>19</v>
  </rv>
  <rv s="1">
    <fb>0.61199999999999999</fb>
    <v>19</v>
  </rv>
  <rv s="1">
    <fb>0.222</fb>
    <v>19</v>
  </rv>
  <rv s="1">
    <fb>5.7999999999999996E-2</fb>
    <v>19</v>
  </rv>
  <rv s="1">
    <fb>0.79700000000000004</fb>
    <v>19</v>
  </rv>
  <rv s="11">
    <v>#VALUE!</v>
    <v>en-US</v>
    <v>162411c2-b757-495d-aa81-93942fae2f7e</v>
    <v>536870912</v>
    <v>1</v>
    <v>101</v>
    <v>102</v>
    <v>Michigan</v>
    <v>4</v>
    <v>5</v>
    <v>Map</v>
    <v>6</v>
    <v>103</v>
    <v>US-MI</v>
    <v>520</v>
    <v>521</v>
    <v>522</v>
    <v>191</v>
    <v>Michigan is a peninsular state in the Great Lakes region of the Upper Midwestern United States. It shares water and land boundaries with Minnesota to the northwest, Wisconsin to the west, Indiana and Illinois to the southwest, Ohio to the ...</v>
    <v>523</v>
    <v>524</v>
    <v>525</v>
    <v>526</v>
    <v>531</v>
    <v>532</v>
    <v>533</v>
    <v>534</v>
    <v>535</v>
    <v>Michigan</v>
    <v>536</v>
    <v>537</v>
    <v>538</v>
    <v>341</v>
    <v>539</v>
    <v>540</v>
    <v>541</v>
    <v>428</v>
    <v>220</v>
    <v>542</v>
    <v>543</v>
    <v>544</v>
    <v>85</v>
    <v>516</v>
    <v>545</v>
    <v>546</v>
    <v>547</v>
    <v>382</v>
    <v>Michigan</v>
    <v>mdp/vdpid/21196</v>
  </rv>
  <rv s="1">
    <fb>225163</fb>
    <v>8</v>
  </rv>
  <rv s="1">
    <fb>21449</fb>
    <v>8</v>
  </rv>
  <rv s="0">
    <v>536870912</v>
    <v>Saint Paul, Minnesota</v>
    <v>1cc78952-7fdf-3532-7f33-51048c23af61</v>
    <v>en-US</v>
    <v>Map</v>
  </rv>
  <rv s="1">
    <fb>2124745</fb>
    <v>8</v>
  </rv>
  <rv s="1">
    <fb>2409935</fb>
    <v>8</v>
  </rv>
  <rv s="2">
    <v>17</v>
    <v>6</v>
    <v>104</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28</v>
  </rv>
  <rv s="4">
    <v>https://www.bing.com/search?q=minnesota&amp;form=skydnc</v>
    <v>Learn more on Bing</v>
  </rv>
  <rv s="1">
    <fb>848</fb>
    <v>17</v>
  </rv>
  <rv s="1">
    <fb>61492</fb>
    <v>17</v>
  </rv>
  <rv s="1">
    <fb>186200</fb>
    <v>17</v>
  </rv>
  <rv s="1">
    <fb>2.4900000000000002</fb>
    <v>18</v>
  </rv>
  <rv s="1">
    <fb>5793151</fb>
    <v>8</v>
  </rv>
  <rv s="1">
    <fb>4.0999999999999995E-2</fb>
    <v>19</v>
  </rv>
  <rv s="1">
    <fb>1.3000000000000001E-2</fb>
    <v>20</v>
  </rv>
  <rv s="1">
    <fb>0.33700000000000002</fb>
    <v>19</v>
  </rv>
  <rv s="1">
    <fb>7.6999999999999999E-2</fb>
    <v>19</v>
  </rv>
  <rv s="1">
    <fb>0.92400000000000004</fb>
    <v>19</v>
  </rv>
  <rv s="1">
    <fb>0.7</fb>
    <v>19</v>
  </rv>
  <rv s="1">
    <fb>0.23399999999999999</fb>
    <v>19</v>
  </rv>
  <rv s="6">
    <v>#VALUE!</v>
    <v>en-US</v>
    <v>77f97f6f-7e93-46e5-b486-6198effe8dea</v>
    <v>536870912</v>
    <v>1</v>
    <v>107</v>
    <v>15</v>
    <v>Minnesota</v>
    <v>4</v>
    <v>5</v>
    <v>Map</v>
    <v>6</v>
    <v>57</v>
    <v>US-MN</v>
    <v>549</v>
    <v>550</v>
    <v>551</v>
    <v>191</v>
    <v>Minnesota is a state in the Upper Midwestern region of the United States. It is bordered by the Canadian provinces of Manitoba and Ontario to the north and east and by the U.S. states of Wisconsin to the east, Iowa to the south, and North Dakota ...</v>
    <v>552</v>
    <v>553</v>
    <v>554</v>
    <v>555</v>
    <v>560</v>
    <v>561</v>
    <v>562</v>
    <v>563</v>
    <v>564</v>
    <v>Minnesota</v>
    <v>565</v>
    <v>566</v>
    <v>567</v>
    <v>277</v>
    <v>568</v>
    <v>543</v>
    <v>569</v>
    <v>44</v>
    <v>570</v>
    <v>571</v>
    <v>352</v>
    <v>572</v>
    <v>40</v>
    <v>350</v>
    <v>42</v>
    <v>573</v>
    <v>185</v>
    <v>405</v>
    <v>254</v>
    <v>Minnesota</v>
    <v>mdp/vdpid/21412</v>
  </rv>
  <rv s="1">
    <fb>181533</fb>
    <v>8</v>
  </rv>
  <rv s="1">
    <fb>18997</fb>
    <v>8</v>
  </rv>
  <rv s="0">
    <v>536870912</v>
    <v>Jefferson City, Missouri</v>
    <v>81535f0b-c6a8-d0ca-9542-f43e51dc1f18</v>
    <v>en-US</v>
    <v>Map</v>
  </rv>
  <rv s="1">
    <fb>2364688</fb>
    <v>8</v>
  </rv>
  <rv s="1">
    <fb>2760084</fb>
    <v>8</v>
  </rv>
  <rv s="2">
    <v>18</v>
    <v>6</v>
    <v>108</v>
    <v>7</v>
    <v>0</v>
    <v>Image of Missouri</v>
  </rv>
  <rv s="0">
    <v>536870912</v>
    <v>Kansas City, Missouri</v>
    <v>5b93ac88-7242-4198-8c11-93854400c8d7</v>
    <v>en-US</v>
    <v>Map</v>
  </rv>
  <rv s="0">
    <v>805306368</v>
    <v>Mike Kehoe (Governor)</v>
    <v>b2f50b37-ce14-c873-e2df-fd5943b7c015</v>
    <v>en-US</v>
    <v>Generic</v>
  </rv>
  <rv s="0">
    <v>805306368</v>
    <v>David Wasinger (Lieutenant governor)</v>
    <v>6010c711-8e35-e9ac-e4bc-03bd2b421f62</v>
    <v>en-US</v>
    <v>Generic</v>
  </rv>
  <rv s="0">
    <v>805306368</v>
    <v>Josh Hawley (Senate)</v>
    <v>0709c075-3a21-a282-0ce8-ebac38b987b2</v>
    <v>en-US</v>
    <v>Generic</v>
  </rv>
  <rv s="0">
    <v>805306368</v>
    <v>Eric Schmitt (Senate)</v>
    <v>caf9e43d-c854-9d49-f9db-caf2c6a3cf41</v>
    <v>en-US</v>
    <v>Generic</v>
  </rv>
  <rv s="3">
    <v>29</v>
  </rv>
  <rv s="4">
    <v>https://www.bing.com/search?q=missouri&amp;form=skydnc</v>
    <v>Learn more on Bing</v>
  </rv>
  <rv s="1">
    <fb>746</fb>
    <v>17</v>
  </rv>
  <rv s="1">
    <fb>48173</fb>
    <v>17</v>
  </rv>
  <rv s="1">
    <fb>138400</fb>
    <v>17</v>
  </rv>
  <rv s="1">
    <fb>2.48</fb>
    <v>18</v>
  </rv>
  <rv s="1">
    <fb>6245466</fb>
    <v>8</v>
  </rv>
  <rv s="1">
    <fb>0.27100000000000002</fb>
    <v>19</v>
  </rv>
  <rv s="1">
    <fb>0.11800000000000001</fb>
    <v>19</v>
  </rv>
  <rv s="1">
    <fb>3.9E-2</fb>
    <v>19</v>
  </rv>
  <rv s="1">
    <fb>0.88400000000000001</fb>
    <v>19</v>
  </rv>
  <rv s="1">
    <fb>0.10400000000000001</fb>
    <v>19</v>
  </rv>
  <rv s="1">
    <fb>0.22899999999999998</fb>
    <v>19</v>
  </rv>
  <rv s="1">
    <fb>0.83299999999999996</fb>
    <v>19</v>
  </rv>
  <rv s="10">
    <v>#VALUE!</v>
    <v>en-US</v>
    <v>6185f8cb-44e1-4da6-9bf0-b75286aeb591</v>
    <v>536870912</v>
    <v>1</v>
    <v>111</v>
    <v>56</v>
    <v>Missouri</v>
    <v>4</v>
    <v>5</v>
    <v>Map</v>
    <v>6</v>
    <v>57</v>
    <v>US-MO</v>
    <v>575</v>
    <v>576</v>
    <v>577</v>
    <v>191</v>
    <v>Missouri is a state in the Midwestern region of the United States. Ranking 21st in land area, it borders Iowa to the north, Illinois, Kentucky and Tennessee to the east, Arkansas to the south and Oklahoma, Kansas, and Nebraska to the west. In ...</v>
    <v>578</v>
    <v>579</v>
    <v>580</v>
    <v>581</v>
    <v>586</v>
    <v>587</v>
    <v>588</v>
    <v>589</v>
    <v>590</v>
    <v>Missouri</v>
    <v>204</v>
    <v>591</v>
    <v>592</v>
    <v>83</v>
    <v>245</v>
    <v>174</v>
    <v>251</v>
    <v>593</v>
    <v>594</v>
    <v>595</v>
    <v>596</v>
    <v>567</v>
    <v>492</v>
    <v>40</v>
    <v>597</v>
    <v>351</v>
    <v>598</v>
    <v>319</v>
    <v>599</v>
    <v>254</v>
    <v>Missouri</v>
    <v>mdp/vdpid/21512</v>
  </rv>
  <rv s="1">
    <fb>200520</fb>
    <v>8</v>
  </rv>
  <rv s="1">
    <fb>8078</fb>
    <v>8</v>
  </rv>
  <rv s="0">
    <v>536870912</v>
    <v>Lincoln, Nebraska</v>
    <v>38974d3e-7769-4d06-b772-31a57932a126</v>
    <v>en-US</v>
    <v>Map</v>
  </rv>
  <rv s="1">
    <fb>736613</fb>
    <v>8</v>
  </rv>
  <rv s="1">
    <fb>827156</fb>
    <v>8</v>
  </rv>
  <rv s="2">
    <v>19</v>
    <v>6</v>
    <v>112</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30</v>
  </rv>
  <rv s="4">
    <v>https://www.bing.com/search?q=nebraska&amp;form=skydnc</v>
    <v>Learn more on Bing</v>
  </rv>
  <rv s="1">
    <fb>726</fb>
    <v>17</v>
  </rv>
  <rv s="1">
    <fb>52997</fb>
    <v>17</v>
  </rv>
  <rv s="1">
    <fb>133200</fb>
    <v>17</v>
  </rv>
  <rv s="1">
    <fb>2.4700000000000002</fb>
    <v>18</v>
  </rv>
  <rv s="1">
    <fb>2005465</fb>
    <v>8</v>
  </rv>
  <rv s="1">
    <fb>4.4000000000000004E-2</fb>
    <v>19</v>
  </rv>
  <rv s="1">
    <fb>1.3999999999999999E-2</fb>
    <v>20</v>
  </rv>
  <rv s="1">
    <fb>0.29299999999999998</fb>
    <v>19</v>
  </rv>
  <rv s="1">
    <fb>0.69900000000000007</fb>
    <v>19</v>
  </rv>
  <rv s="1">
    <fb>7.2999999999999995E-2</fb>
    <v>19</v>
  </rv>
  <rv s="1">
    <fb>2.1000000000000001E-2</fb>
    <v>19</v>
  </rv>
  <rv s="1">
    <fb>0.248</fb>
    <v>19</v>
  </rv>
  <rv s="1">
    <fb>6.9000000000000006E-2</fb>
    <v>19</v>
  </rv>
  <rv s="1">
    <fb>0.8909999999999999</fb>
    <v>19</v>
  </rv>
  <rv s="10">
    <v>#VALUE!</v>
    <v>en-US</v>
    <v>3e64ff5d-6b40-4dbe-91b1-0e554e892496</v>
    <v>536870912</v>
    <v>1</v>
    <v>115</v>
    <v>56</v>
    <v>Nebraska</v>
    <v>4</v>
    <v>5</v>
    <v>Map</v>
    <v>6</v>
    <v>57</v>
    <v>US-NE</v>
    <v>601</v>
    <v>602</v>
    <v>603</v>
    <v>191</v>
    <v>Nebraska is a landlocked state in the Midwestern region of the United States. It borders South Dakota to the north; Iowa to the east and Missouri to the southeast, both across the Missouri River; Kansas to the south; Colorado to the southwest; ...</v>
    <v>604</v>
    <v>605</v>
    <v>606</v>
    <v>607</v>
    <v>612</v>
    <v>613</v>
    <v>614</v>
    <v>615</v>
    <v>616</v>
    <v>Nebraska</v>
    <v>204</v>
    <v>617</v>
    <v>618</v>
    <v>619</v>
    <v>277</v>
    <v>620</v>
    <v>516</v>
    <v>621</v>
    <v>487</v>
    <v>510</v>
    <v>315</v>
    <v>597</v>
    <v>622</v>
    <v>40</v>
    <v>623</v>
    <v>624</v>
    <v>625</v>
    <v>626</v>
    <v>627</v>
    <v>321</v>
    <v>Nebraska</v>
    <v>mdp/vdpid/22869</v>
  </rv>
  <rv s="1">
    <fb>315194</fb>
    <v>8</v>
  </rv>
  <rv s="1">
    <fb>4863</fb>
    <v>8</v>
  </rv>
  <rv s="0">
    <v>536870912</v>
    <v>Santa Fe, New Mexico</v>
    <v>4b18f381-d510-4934-8a88-4507135c578d</v>
    <v>en-US</v>
    <v>Map</v>
  </rv>
  <rv s="1">
    <fb>763603</fb>
    <v>8</v>
  </rv>
  <rv s="1">
    <fb>917568</fb>
    <v>8</v>
  </rv>
  <rv s="2">
    <v>20</v>
    <v>6</v>
    <v>116</v>
    <v>7</v>
    <v>0</v>
    <v>Image of New Mexico</v>
  </rv>
  <rv s="0">
    <v>536870912</v>
    <v>Albuquerque, New Mexico</v>
    <v>7fffaaf6-e694-4095-be90-f6492cadbd58</v>
    <v>en-US</v>
    <v>Map</v>
  </rv>
  <rv s="0">
    <v>805306368</v>
    <v>Michelle Lujan Grisham (Governor)</v>
    <v>fe49b454-a2aa-4dfe-a1ba-763d379a487f</v>
    <v>en-US</v>
    <v>Generic</v>
  </rv>
  <rv s="0">
    <v>805306368</v>
    <v>Howie Morales (Lieutenant governor)</v>
    <v>d94f2150-c331-242b-1da6-e02f93039204</v>
    <v>en-US</v>
    <v>Generic</v>
  </rv>
  <rv s="0">
    <v>805306368</v>
    <v>Martin Heinrich (Senate)</v>
    <v>da49350f-b13e-156f-2772-ade036c3a48d</v>
    <v>en-US</v>
    <v>Generic</v>
  </rv>
  <rv s="0">
    <v>805306368</v>
    <v>Ben Ray Luján (Senate)</v>
    <v>b17634b0-5581-755b-9649-1736eceef176</v>
    <v>en-US</v>
    <v>Generic</v>
  </rv>
  <rv s="3">
    <v>31</v>
  </rv>
  <rv s="4">
    <v>https://www.bing.com/search?q=new+mexico&amp;form=skydnc</v>
    <v>Learn more on Bing</v>
  </rv>
  <rv s="1">
    <fb>777</fb>
    <v>17</v>
  </rv>
  <rv s="1">
    <fb>44963</fb>
    <v>17</v>
  </rv>
  <rv s="1">
    <fb>160300</fb>
    <v>17</v>
  </rv>
  <rv s="1">
    <fb>2.67</fb>
    <v>18</v>
  </rv>
  <rv s="1">
    <fb>2130256</fb>
    <v>8</v>
  </rv>
  <rv s="1">
    <fb>1.1000000000000001E-2</fb>
    <v>19</v>
  </rv>
  <rv s="1">
    <fb>0.105</fb>
    <v>20</v>
  </rv>
  <rv s="1">
    <fb>0.26300000000000001</fb>
    <v>19</v>
  </rv>
  <rv s="1">
    <fb>2.6000000000000002E-2</fb>
    <v>19</v>
  </rv>
  <rv s="1">
    <fb>0.84200000000000008</fb>
    <v>19</v>
  </rv>
  <rv s="1">
    <fb>0.48</fb>
    <v>19</v>
  </rv>
  <rv s="1">
    <fb>0.59099999999999997</fb>
    <v>19</v>
  </rv>
  <rv s="1">
    <fb>0.10099999999999999</fb>
    <v>19</v>
  </rv>
  <rv s="1">
    <fb>0.82499999999999996</fb>
    <v>19</v>
  </rv>
  <rv s="6">
    <v>#VALUE!</v>
    <v>en-US</v>
    <v>a16d3636-4349-41c7-a77e-89e34b26a8ad</v>
    <v>536870912</v>
    <v>1</v>
    <v>119</v>
    <v>15</v>
    <v>New Mexico</v>
    <v>4</v>
    <v>5</v>
    <v>Map</v>
    <v>6</v>
    <v>57</v>
    <v>US-NM</v>
    <v>629</v>
    <v>630</v>
    <v>631</v>
    <v>191</v>
    <v>New Mexico is a state in the Southwestern region of the United States. It is one of the Mountain States of the southern Rocky Mountains, sharing the Four Corners region with Utah, Colorado, and Arizona. It also borders the state of Texas to the ...</v>
    <v>632</v>
    <v>633</v>
    <v>634</v>
    <v>635</v>
    <v>640</v>
    <v>641</v>
    <v>642</v>
    <v>643</v>
    <v>644</v>
    <v>New Mexico</v>
    <v>645</v>
    <v>646</v>
    <v>647</v>
    <v>341</v>
    <v>648</v>
    <v>83</v>
    <v>649</v>
    <v>650</v>
    <v>314</v>
    <v>651</v>
    <v>652</v>
    <v>653</v>
    <v>182</v>
    <v>654</v>
    <v>241</v>
    <v>219</v>
    <v>279</v>
    <v>655</v>
    <v>321</v>
    <v>New Mexico</v>
    <v>mdp/vdpid/23132</v>
  </rv>
  <rv s="1">
    <fb>139390</fb>
    <v>8</v>
  </rv>
  <rv s="1">
    <fb>60550</fb>
    <v>8</v>
  </rv>
  <rv s="0">
    <v>536870912</v>
    <v>Raleigh, North Carolina</v>
    <v>7b706445-83c5-46a4-bb70-cff23cd555d3</v>
    <v>en-US</v>
    <v>Map</v>
  </rv>
  <rv s="1">
    <fb>3775581</fb>
    <v>8</v>
  </rv>
  <rv s="1">
    <fb>4540498</fb>
    <v>8</v>
  </rv>
  <rv s="2">
    <v>21</v>
    <v>6</v>
    <v>120</v>
    <v>7</v>
    <v>0</v>
    <v>Image of North Carolina</v>
  </rv>
  <rv s="0">
    <v>536870912</v>
    <v>Charlotte, North Carolina</v>
    <v>e6558399-4151-4390-ad12-f2a72b268ce7</v>
    <v>en-US</v>
    <v>Map</v>
  </rv>
  <rv s="0">
    <v>805306368</v>
    <v>Josh Stein (Governor)</v>
    <v>bd9e85b8-9788-a6bb-f6f8-da4439010652</v>
    <v>en-US</v>
    <v>Generic</v>
  </rv>
  <rv s="0">
    <v>805306368</v>
    <v>Rachel Hunt (Lieutenant governor)</v>
    <v>7a115748-1b0e-73d2-e474-930c4c40a56c</v>
    <v>en-US</v>
    <v>Generic</v>
  </rv>
  <rv s="0">
    <v>805306368</v>
    <v>Thom Tillis (Senate)</v>
    <v>2f3de2c4-5375-4957-ae4e-f7b61b1ad7da</v>
    <v>en-US</v>
    <v>Generic</v>
  </rv>
  <rv s="0">
    <v>805306368</v>
    <v>Ted Budd (Senate)</v>
    <v>45ffd2c1-154a-426a-adb2-4685e39394cd</v>
    <v>en-US</v>
    <v>Generic</v>
  </rv>
  <rv s="3">
    <v>32</v>
  </rv>
  <rv s="4">
    <v>https://www.bing.com/search?q=north+carolina&amp;form=skydnc</v>
    <v>Learn more on Bing</v>
  </rv>
  <rv s="1">
    <fb>797</fb>
    <v>17</v>
  </rv>
  <rv s="1">
    <fb>46868</fb>
    <v>17</v>
  </rv>
  <rv s="1">
    <fb>154900</fb>
    <v>17</v>
  </rv>
  <rv s="1">
    <fb>2.54</fb>
    <v>18</v>
  </rv>
  <rv s="1">
    <fb>11046024</fb>
    <v>8</v>
  </rv>
  <rv s="1">
    <fb>0.151</fb>
    <v>19</v>
  </rv>
  <rv s="1">
    <fb>0.28399999999999997</fb>
    <v>19</v>
  </rv>
  <rv s="1">
    <fb>0.221</fb>
    <v>19</v>
  </rv>
  <rv s="1">
    <fb>0.85799999999999998</fb>
    <v>19</v>
  </rv>
  <rv s="1">
    <fb>9.0999999999999998E-2</fb>
    <v>19</v>
  </rv>
  <rv s="1">
    <fb>0.61799999999999999</fb>
    <v>19</v>
  </rv>
  <rv s="1">
    <fb>0.22800000000000001</fb>
    <v>19</v>
  </rv>
  <rv s="1">
    <fb>0.71200000000000008</fb>
    <v>19</v>
  </rv>
  <rv s="10">
    <v>#VALUE!</v>
    <v>en-US</v>
    <v>9e2bf053-dd80-4646-8f26-65075e7085c0</v>
    <v>536870912</v>
    <v>1</v>
    <v>123</v>
    <v>56</v>
    <v>North Carolina</v>
    <v>4</v>
    <v>5</v>
    <v>Map</v>
    <v>6</v>
    <v>57</v>
    <v>US-NC</v>
    <v>657</v>
    <v>658</v>
    <v>659</v>
    <v>191</v>
    <v>North Carolina is a state in the Southeastern region of the United States. It is bordered by Virginia to the north, the Atlantic Ocean to the east, South Carolina to the south, Georgia to the southwest, and Tennessee to the west. The state is ...</v>
    <v>660</v>
    <v>661</v>
    <v>662</v>
    <v>663</v>
    <v>668</v>
    <v>669</v>
    <v>670</v>
    <v>671</v>
    <v>672</v>
    <v>North Carolina</v>
    <v>204</v>
    <v>673</v>
    <v>674</v>
    <v>185</v>
    <v>675</v>
    <v>310</v>
    <v>372</v>
    <v>676</v>
    <v>677</v>
    <v>570</v>
    <v>678</v>
    <v>679</v>
    <v>680</v>
    <v>40</v>
    <v>370</v>
    <v>624</v>
    <v>681</v>
    <v>44</v>
    <v>682</v>
    <v>11</v>
    <v>North Carolina</v>
    <v>mdp/vdpid/23611</v>
  </rv>
  <rv s="1">
    <fb>116096</fb>
    <v>8</v>
  </rv>
  <rv s="1">
    <fb>22816</fb>
    <v>8</v>
  </rv>
  <rv s="0">
    <v>536870912</v>
    <v>Columbus, Ohio</v>
    <v>5b78da0b-6447-4f71-92b2-f1fafe94ba51</v>
    <v>en-US</v>
    <v>Map</v>
  </rv>
  <rv s="1">
    <fb>4585084</fb>
    <v>8</v>
  </rv>
  <rv s="1">
    <fb>5164361</fb>
    <v>8</v>
  </rv>
  <rv s="2">
    <v>22</v>
    <v>6</v>
    <v>124</v>
    <v>7</v>
    <v>0</v>
    <v>Image of Ohio</v>
  </rv>
  <rv s="0">
    <v>805306368</v>
    <v>Mike DeWine (Governor)</v>
    <v>ba3cf2bc-483c-6746-4369-a5b07e33c8ea</v>
    <v>en-US</v>
    <v>Generic</v>
  </rv>
  <rv s="0">
    <v>805306368</v>
    <v>Jim Tressel (Lieutenant governor)</v>
    <v>fea1d415-3b0b-3b02-731b-3b6f17db87c8</v>
    <v>en-US</v>
    <v>Generic</v>
  </rv>
  <rv s="0">
    <v>805306368</v>
    <v>Bernie Moreno (Senate)</v>
    <v>a07f18b9-2c29-cef5-821d-7fce7cac2551</v>
    <v>en-US</v>
    <v>Generic</v>
  </rv>
  <rv s="0">
    <v>805306368</v>
    <v>Jon Husted (Senate)</v>
    <v>98c16a0c-0820-d45d-b6c8-e3b9090fb0f6</v>
    <v>en-US</v>
    <v>Generic</v>
  </rv>
  <rv s="3">
    <v>33</v>
  </rv>
  <rv s="4">
    <v>https://www.bing.com/search?q=ohio&amp;form=skydnc</v>
    <v>Learn more on Bing</v>
  </rv>
  <rv s="1">
    <fb>730</fb>
    <v>17</v>
  </rv>
  <rv s="1">
    <fb>49429</fb>
    <v>17</v>
  </rv>
  <rv s="1">
    <fb>129900</fb>
    <v>17</v>
  </rv>
  <rv s="3">
    <v>34</v>
  </rv>
  <rv s="1">
    <fb>2.46</fb>
    <v>18</v>
  </rv>
  <rv s="1">
    <fb>11883304</fb>
    <v>8</v>
  </rv>
  <rv s="1">
    <fb>6.9999999999999993E-3</fb>
    <v>19</v>
  </rv>
  <rv s="1">
    <fb>0.159</fb>
    <v>19</v>
  </rv>
  <rv s="1">
    <fb>3.0000000000000001E-3</fb>
    <v>20</v>
  </rv>
  <rv s="1">
    <fb>0.26100000000000001</fb>
    <v>19</v>
  </rv>
  <rv s="1">
    <fb>0.127</fb>
    <v>19</v>
  </rv>
  <rv s="1">
    <fb>3.6000000000000004E-2</fb>
    <v>19</v>
  </rv>
  <rv s="1">
    <fb>9.9000000000000005E-2</fb>
    <v>19</v>
  </rv>
  <rv s="1">
    <fb>0.82700000000000007</fb>
    <v>19</v>
  </rv>
  <rv s="10">
    <v>#VALUE!</v>
    <v>en-US</v>
    <v>6f3df7da-1ef6-48e3-b2b3-b5b5fce3e846</v>
    <v>536870912</v>
    <v>1</v>
    <v>127</v>
    <v>56</v>
    <v>Ohio</v>
    <v>4</v>
    <v>5</v>
    <v>Map</v>
    <v>6</v>
    <v>57</v>
    <v>US-OH</v>
    <v>684</v>
    <v>685</v>
    <v>686</v>
    <v>191</v>
    <v>Ohio is a state in the Midwestern region of the United States. It borders Lake Erie to the north, Pennsylvania to the east, West Virginia to the southeast, Kentucky to the southwest, Indiana to the west, and Michigan to the northwest. Of the 50 ...</v>
    <v>687</v>
    <v>688</v>
    <v>689</v>
    <v>686</v>
    <v>694</v>
    <v>695</v>
    <v>696</v>
    <v>697</v>
    <v>698</v>
    <v>Ohio</v>
    <v>699</v>
    <v>700</v>
    <v>701</v>
    <v>702</v>
    <v>703</v>
    <v>704</v>
    <v>624</v>
    <v>705</v>
    <v>706</v>
    <v>567</v>
    <v>627</v>
    <v>707</v>
    <v>39</v>
    <v>40</v>
    <v>708</v>
    <v>624</v>
    <v>80</v>
    <v>44</v>
    <v>709</v>
    <v>11</v>
    <v>Ohio</v>
    <v>mdp/vdpid/24230</v>
  </rv>
  <rv s="1">
    <fb>181195</fb>
    <v>8</v>
  </rv>
  <rv s="1">
    <fb>12092</fb>
    <v>8</v>
  </rv>
  <rv s="0">
    <v>536870912</v>
    <v>Oklahoma City</v>
    <v>59d212a0-2f5f-4681-a7a0-a8a6e25853e1</v>
    <v>en-US</v>
    <v>Map</v>
  </rv>
  <rv s="1">
    <fb>1455321</fb>
    <v>8</v>
  </rv>
  <rv s="1">
    <fb>1721045</fb>
    <v>8</v>
  </rv>
  <rv s="2">
    <v>23</v>
    <v>6</v>
    <v>128</v>
    <v>7</v>
    <v>0</v>
    <v>Image of Oklahoma</v>
  </rv>
  <rv s="0">
    <v>805306368</v>
    <v>Kevin Stitt (Governor)</v>
    <v>50460cc8-b10e-ddcd-8554-9a0e8a8aa526</v>
    <v>en-US</v>
    <v>Generic</v>
  </rv>
  <rv s="0">
    <v>805306368</v>
    <v>Matt Pinnell (Lieutenant governor)</v>
    <v>189caae5-49b2-e53b-db23-b10a7ec5d36b</v>
    <v>en-US</v>
    <v>Generic</v>
  </rv>
  <rv s="0">
    <v>805306368</v>
    <v>James Lankford (Senate)</v>
    <v>9bfa929f-1dbf-4884-2bbc-ecde4793ee48</v>
    <v>en-US</v>
    <v>Generic</v>
  </rv>
  <rv s="0">
    <v>805306368</v>
    <v>Markwayne Mullin (Senate)</v>
    <v>05fad978-d35b-4dc0-b57e-e3afb8372ed3</v>
    <v>en-US</v>
    <v>Generic</v>
  </rv>
  <rv s="3">
    <v>35</v>
  </rv>
  <rv s="4">
    <v>https://www.bing.com/search?q=oklahoma&amp;form=skydnc</v>
    <v>Learn more on Bing</v>
  </rv>
  <rv s="1">
    <fb>727</fb>
    <v>17</v>
  </rv>
  <rv s="1">
    <fb>46879</fb>
    <v>17</v>
  </rv>
  <rv s="1">
    <fb>117900</fb>
    <v>17</v>
  </rv>
  <rv s="1">
    <fb>3959353</fb>
    <v>8</v>
  </rv>
  <rv s="1">
    <fb>9.0999999999999998E-2</fb>
    <v>20</v>
  </rv>
  <rv s="1">
    <fb>0.24100000000000002</fb>
    <v>19</v>
  </rv>
  <rv s="1">
    <fb>7.8E-2</fb>
    <v>19</v>
  </rv>
  <rv s="1">
    <fb>0.61099999999999999</fb>
    <v>19</v>
  </rv>
  <rv s="1">
    <fb>0.113</fb>
    <v>19</v>
  </rv>
  <rv s="1">
    <fb>0.24600000000000002</fb>
    <v>19</v>
  </rv>
  <rv s="1">
    <fb>0.748</fb>
    <v>19</v>
  </rv>
  <rv s="12">
    <v>#VALUE!</v>
    <v>en-US</v>
    <v>cbcf556f-952a-4665-bb95-0500b27f9976</v>
    <v>536870912</v>
    <v>1</v>
    <v>131</v>
    <v>132</v>
    <v>Oklahoma</v>
    <v>4</v>
    <v>5</v>
    <v>Map</v>
    <v>6</v>
    <v>16</v>
    <v>US-OK</v>
    <v>711</v>
    <v>712</v>
    <v>713</v>
    <v>3</v>
    <v>Oklahoma is a state in the South Central region of the United States. It borders Texas to the south and west, Kansas to the north, Missouri to the northeast, Arkansas to the east, New Mexico to the west, and Colorado to the northwest. Partially ...</v>
    <v>714</v>
    <v>715</v>
    <v>716</v>
    <v>713</v>
    <v>721</v>
    <v>722</v>
    <v>723</v>
    <v>724</v>
    <v>725</v>
    <v>Oklahoma</v>
    <v>76</v>
    <v>339</v>
    <v>726</v>
    <v>343</v>
    <v>277</v>
    <v>727</v>
    <v>351</v>
    <v>728</v>
    <v>729</v>
    <v>546</v>
    <v>376</v>
    <v>654</v>
    <v>730</v>
    <v>182</v>
    <v>731</v>
    <v>44</v>
    <v>732</v>
    <v>626</v>
    <v>733</v>
    <v>Oklahoma</v>
    <v>mdp/vdpid/24293</v>
  </rv>
  <rv s="1">
    <fb>119283</fb>
    <v>8</v>
  </rv>
  <rv s="1">
    <fb>23303</fb>
    <v>8</v>
  </rv>
  <rv s="0">
    <v>536870912</v>
    <v>Harrisburg, Pennsylvania</v>
    <v>c0411c8e-89cf-5f47-d2f3-d5e52d320fff</v>
    <v>en-US</v>
    <v>Map</v>
  </rv>
  <rv s="1">
    <fb>4958859</fb>
    <v>8</v>
  </rv>
  <rv s="1">
    <fb>5612002</fb>
    <v>8</v>
  </rv>
  <rv s="2">
    <v>24</v>
    <v>6</v>
    <v>133</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36</v>
  </rv>
  <rv s="4">
    <v>https://www.bing.com/search?q=pennsylvania&amp;form=skydnc</v>
    <v>Learn more on Bing</v>
  </rv>
  <rv s="1">
    <fb>840</fb>
    <v>17</v>
  </rv>
  <rv s="1">
    <fb>53599</fb>
    <v>17</v>
  </rv>
  <rv s="1">
    <fb>166000</fb>
    <v>17</v>
  </rv>
  <rv s="1">
    <fb>13078751</fb>
    <v>8</v>
  </rv>
  <rv s="1">
    <fb>6.0000000000000001E-3</fb>
    <v>19</v>
  </rv>
  <rv s="1">
    <fb>0.17</fb>
    <v>19</v>
  </rv>
  <rv s="1">
    <fb>4.0000000000000001E-3</fb>
    <v>20</v>
  </rv>
  <rv s="1">
    <fb>0.28600000000000003</fb>
    <v>19</v>
  </rv>
  <rv s="1">
    <fb>0.11699999999999999</fb>
    <v>19</v>
  </rv>
  <rv s="1">
    <fb>0.89200000000000002</fb>
    <v>19</v>
  </rv>
  <rv s="1">
    <fb>0.628</fb>
    <v>19</v>
  </rv>
  <rv s="1">
    <fb>9.5000000000000001E-2</fb>
    <v>19</v>
  </rv>
  <rv s="1">
    <fb>0.21</fb>
    <v>19</v>
  </rv>
  <rv s="1">
    <fb>5.5999999999999994E-2</fb>
    <v>19</v>
  </rv>
  <rv s="1">
    <fb>0.82599999999999996</fb>
    <v>19</v>
  </rv>
  <rv s="10">
    <v>#VALUE!</v>
    <v>en-US</v>
    <v>6304580e-c803-4266-818a-971619176547</v>
    <v>536870912</v>
    <v>1</v>
    <v>136</v>
    <v>56</v>
    <v>Pennsylvania</v>
    <v>4</v>
    <v>5</v>
    <v>Map</v>
    <v>6</v>
    <v>57</v>
    <v>US-PA</v>
    <v>735</v>
    <v>736</v>
    <v>737</v>
    <v>191</v>
    <v>Pennsylvania, officially the Commonwealth of Pennsylvania, is a state spanning the Mid-Atlantic, Northeastern, Appalachian, and Great Lakes regions of the United States. It borders Delaware to its southeast, Maryland to its south, West Virginia ...</v>
    <v>738</v>
    <v>739</v>
    <v>740</v>
    <v>741</v>
    <v>746</v>
    <v>747</v>
    <v>748</v>
    <v>749</v>
    <v>750</v>
    <v>Pennsylvania</v>
    <v>76</v>
    <v>565</v>
    <v>751</v>
    <v>752</v>
    <v>753</v>
    <v>754</v>
    <v>210</v>
    <v>755</v>
    <v>756</v>
    <v>220</v>
    <v>757</v>
    <v>285</v>
    <v>758</v>
    <v>40</v>
    <v>759</v>
    <v>30</v>
    <v>760</v>
    <v>761</v>
    <v>762</v>
    <v>11</v>
    <v>Pennsylvania</v>
    <v>mdp/vdpid/25623</v>
  </rv>
  <rv s="1">
    <fb>82931</fb>
    <v>8</v>
  </rv>
  <rv s="1">
    <fb>32165</fb>
    <v>8</v>
  </rv>
  <rv s="0">
    <v>536870912</v>
    <v>Columbia, South Carolina</v>
    <v>0c8f6663-0a97-4263-b3e1-3cfe0b623552</v>
    <v>en-US</v>
    <v>Map</v>
  </rv>
  <rv s="1">
    <fb>1815094</fb>
    <v>8</v>
  </rv>
  <rv s="1">
    <fb>2236153</fb>
    <v>8</v>
  </rv>
  <rv s="2">
    <v>25</v>
    <v>6</v>
    <v>137</v>
    <v>7</v>
    <v>0</v>
    <v>Image of South Carolina</v>
  </rv>
  <rv s="0">
    <v>536870912</v>
    <v>Charleston, South Carolina</v>
    <v>cebb4aca-ea5b-40ca-99c1-dba28163d54a</v>
    <v>en-US</v>
    <v>Map</v>
  </rv>
  <rv s="0">
    <v>805306368</v>
    <v>Henry McMaster (Governor)</v>
    <v>1ee8a17e-7bdf-e76f-f39e-5653239f88dd</v>
    <v>en-US</v>
    <v>Generic</v>
  </rv>
  <rv s="0">
    <v>805306368</v>
    <v>Pamela Evette (Lieutenant governor)</v>
    <v>1aea5f86-6de3-0add-dabd-d5ae03afe8a6</v>
    <v>en-US</v>
    <v>Generic</v>
  </rv>
  <rv s="0">
    <v>805306368</v>
    <v>Lindsey Graham (Senate)</v>
    <v>9ba65851-7a4a-18c2-c979-0daf5d69d46b</v>
    <v>en-US</v>
    <v>Generic</v>
  </rv>
  <rv s="0">
    <v>805306368</v>
    <v>Tim Scott (Senate)</v>
    <v>e4a3380d-becb-dbf5-bdc0-7b5993eff931</v>
    <v>en-US</v>
    <v>Generic</v>
  </rv>
  <rv s="3">
    <v>37</v>
  </rv>
  <rv s="4">
    <v>https://www.bing.com/search?q=south+carolina&amp;form=skydnc</v>
    <v>Learn more on Bing</v>
  </rv>
  <rv s="1">
    <fb>790</fb>
    <v>17</v>
  </rv>
  <rv s="1">
    <fb>45483</fb>
    <v>17</v>
  </rv>
  <rv s="1">
    <fb>139900</fb>
    <v>17</v>
  </rv>
  <rv s="1">
    <fb>2.56</fb>
    <v>18</v>
  </rv>
  <rv s="1">
    <fb>5478831</fb>
    <v>8</v>
  </rv>
  <rv s="1">
    <fb>0.16200000000000001</fb>
    <v>19</v>
  </rv>
  <rv s="1">
    <fb>0.25800000000000001</fb>
    <v>19</v>
  </rv>
  <rv s="1">
    <fb>0.27600000000000002</fb>
    <v>19</v>
  </rv>
  <rv s="1">
    <fb>0.60099999999999998</fb>
    <v>19</v>
  </rv>
  <rv s="1">
    <fb>0.223</fb>
    <v>19</v>
  </rv>
  <rv s="1">
    <fb>5.9000000000000004E-2</fb>
    <v>19</v>
  </rv>
  <rv s="1">
    <fb>0.68400000000000005</fb>
    <v>19</v>
  </rv>
  <rv s="10">
    <v>#VALUE!</v>
    <v>en-US</v>
    <v>810015e8-b10b-4232-9e2c-de87a67bd26e</v>
    <v>536870912</v>
    <v>1</v>
    <v>140</v>
    <v>56</v>
    <v>South Carolina</v>
    <v>4</v>
    <v>5</v>
    <v>Map</v>
    <v>6</v>
    <v>57</v>
    <v>US-SC</v>
    <v>764</v>
    <v>765</v>
    <v>766</v>
    <v>191</v>
    <v>South Carolina is a state in the Southeastern region of the United States. It borders North Carolina to the north and northeast, the Atlantic Ocean to the southeast, and Georgia to the west and south across the Savannah River. Along with North ...</v>
    <v>767</v>
    <v>768</v>
    <v>769</v>
    <v>770</v>
    <v>775</v>
    <v>776</v>
    <v>777</v>
    <v>778</v>
    <v>779</v>
    <v>South Carolina</v>
    <v>76</v>
    <v>780</v>
    <v>781</v>
    <v>623</v>
    <v>782</v>
    <v>342</v>
    <v>243</v>
    <v>783</v>
    <v>784</v>
    <v>212</v>
    <v>37</v>
    <v>429</v>
    <v>785</v>
    <v>40</v>
    <v>85</v>
    <v>461</v>
    <v>786</v>
    <v>787</v>
    <v>788</v>
    <v>11</v>
    <v>South Carolina</v>
    <v>mdp/vdpid/31410</v>
  </rv>
  <rv s="1">
    <fb>109247</fb>
    <v>8</v>
  </rv>
  <rv s="1">
    <fb>36157</fb>
    <v>8</v>
  </rv>
  <rv s="0">
    <v>536870912</v>
    <v>Nashville, Tennessee</v>
    <v>e2accb9d-ccea-5b7c-7bbc-0db831476d61</v>
    <v>en-US</v>
    <v>Map</v>
  </rv>
  <rv s="1">
    <fb>2504556</fb>
    <v>8</v>
  </rv>
  <rv s="1">
    <fb>2919671</fb>
    <v>8</v>
  </rv>
  <rv s="2">
    <v>26</v>
    <v>6</v>
    <v>141</v>
    <v>7</v>
    <v>0</v>
    <v>Image of Tennessee</v>
  </rv>
  <rv s="0">
    <v>805306368</v>
    <v>Bill Lee (Governor)</v>
    <v>c8026be6-06ae-4f73-a92b-038dc03243c9</v>
    <v>en-US</v>
    <v>Generic</v>
  </rv>
  <rv s="0">
    <v>805306368</v>
    <v>Randy McNally (Lieutenant governor)</v>
    <v>eec243e8-886e-f143-44f8-d1a613dc6e71</v>
    <v>en-US</v>
    <v>Generic</v>
  </rv>
  <rv s="0">
    <v>805306368</v>
    <v>Marsha Blackburn (Senate)</v>
    <v>39117d39-6448-55ce-8537-67a4fd4cf0e9</v>
    <v>en-US</v>
    <v>Generic</v>
  </rv>
  <rv s="0">
    <v>805306368</v>
    <v>Bill Hagerty (Senate)</v>
    <v>48790b3f-20d0-51ec-537c-ca6c25fff853</v>
    <v>en-US</v>
    <v>Generic</v>
  </rv>
  <rv s="3">
    <v>38</v>
  </rv>
  <rv s="4">
    <v>https://www.bing.com/search?q=tennessee&amp;form=skydnc</v>
    <v>Learn more on Bing</v>
  </rv>
  <rv s="1">
    <fb>764</fb>
    <v>17</v>
  </rv>
  <rv s="1">
    <fb>45219</fb>
    <v>17</v>
  </rv>
  <rv s="1">
    <fb>142100</fb>
    <v>17</v>
  </rv>
  <rv s="1">
    <fb>7227750</fb>
    <v>8</v>
  </rv>
  <rv s="1">
    <fb>0.249</fb>
    <v>19</v>
  </rv>
  <rv s="1">
    <fb>0.17100000000000001</fb>
    <v>19</v>
  </rv>
  <rv s="1">
    <fb>0.85499999999999998</fb>
    <v>19</v>
  </rv>
  <rv s="1">
    <fb>0.61</fb>
    <v>19</v>
  </rv>
  <rv s="1">
    <fb>0.22699999999999998</fb>
    <v>19</v>
  </rv>
  <rv s="1">
    <fb>0.78799999999999992</fb>
    <v>19</v>
  </rv>
  <rv s="10">
    <v>#VALUE!</v>
    <v>en-US</v>
    <v>9bbc9c72-1bf1-4ef6-b66d-a6cdef70f4f3</v>
    <v>536870912</v>
    <v>1</v>
    <v>144</v>
    <v>56</v>
    <v>Tennessee</v>
    <v>4</v>
    <v>5</v>
    <v>Map</v>
    <v>6</v>
    <v>57</v>
    <v>US-TN</v>
    <v>790</v>
    <v>791</v>
    <v>792</v>
    <v>191</v>
    <v>Tennessee is a landlocked state in the Southeastern region of the United States. It borders Kentucky to the north, Virginia to the northeast, North Carolina to the east, Georgia, Alabama, and Mississippi to the south, Arkansas to the southwest, ...</v>
    <v>793</v>
    <v>794</v>
    <v>795</v>
    <v>792</v>
    <v>800</v>
    <v>801</v>
    <v>802</v>
    <v>803</v>
    <v>804</v>
    <v>Tennessee</v>
    <v>204</v>
    <v>239</v>
    <v>805</v>
    <v>212</v>
    <v>348</v>
    <v>754</v>
    <v>461</v>
    <v>806</v>
    <v>807</v>
    <v>212</v>
    <v>808</v>
    <v>352</v>
    <v>809</v>
    <v>40</v>
    <v>514</v>
    <v>461</v>
    <v>810</v>
    <v>435</v>
    <v>811</v>
    <v>382</v>
    <v>Tennessee</v>
    <v>mdp/vdpid/33025</v>
  </rv>
  <rv s="1">
    <fb>696241</fb>
    <v>8</v>
  </rv>
  <rv s="1">
    <fb>165853</fb>
    <v>8</v>
  </rv>
  <rv s="0">
    <v>536870912</v>
    <v>Austin, Texas</v>
    <v>afd7d7f6-01a2-401c-bb4d-59f7e34d585c</v>
    <v>en-US</v>
    <v>Map</v>
  </rv>
  <rv s="1">
    <fb>9149196</fb>
    <v>8</v>
  </rv>
  <rv s="1">
    <fb>10753629</fb>
    <v>8</v>
  </rv>
  <rv s="2">
    <v>27</v>
    <v>6</v>
    <v>145</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39</v>
  </rv>
  <rv s="4">
    <v>https://www.bing.com/search?q=texas&amp;form=skydnc</v>
    <v>Learn more on Bing</v>
  </rv>
  <rv s="1">
    <fb>882</fb>
    <v>17</v>
  </rv>
  <rv s="1">
    <fb>53207</fb>
    <v>17</v>
  </rv>
  <rv s="1">
    <fb>136000</fb>
    <v>17</v>
  </rv>
  <rv s="1">
    <fb>2.84</fb>
    <v>18</v>
  </rv>
  <rv s="1">
    <fb>31290831</fb>
    <v>8</v>
  </rv>
  <rv s="1">
    <fb>0.10800000000000001</fb>
    <v>19</v>
  </rv>
  <rv s="1">
    <fb>0.125</fb>
    <v>19</v>
  </rv>
  <rv s="1">
    <fb>0.16600000000000001</fb>
    <v>19</v>
  </rv>
  <rv s="1">
    <fb>0.81900000000000006</fb>
    <v>19</v>
  </rv>
  <rv s="1">
    <fb>0.64300000000000002</fb>
    <v>19</v>
  </rv>
  <rv s="1">
    <fb>8.1000000000000003E-2</fb>
    <v>19</v>
  </rv>
  <rv s="6">
    <v>#VALUE!</v>
    <v>en-US</v>
    <v>00a23ccd-3344-461c-8b9f-c2bb55be5815</v>
    <v>536870912</v>
    <v>1</v>
    <v>148</v>
    <v>15</v>
    <v>Texas</v>
    <v>4</v>
    <v>5</v>
    <v>Map</v>
    <v>6</v>
    <v>57</v>
    <v>US-TX</v>
    <v>813</v>
    <v>814</v>
    <v>815</v>
    <v>191</v>
    <v>Texas is the most populous state in the South Central region of the United States. It borders Louisiana to the east, Arkansas to the northeast, Oklahoma to the north, New Mexico to the west, and has an international border with the Mexican ...</v>
    <v>816</v>
    <v>817</v>
    <v>818</v>
    <v>819</v>
    <v>824</v>
    <v>825</v>
    <v>826</v>
    <v>827</v>
    <v>828</v>
    <v>Texas</v>
    <v>829</v>
    <v>830</v>
    <v>831</v>
    <v>756</v>
    <v>32</v>
    <v>246</v>
    <v>784</v>
    <v>832</v>
    <v>833</v>
    <v>834</v>
    <v>282</v>
    <v>835</v>
    <v>40</v>
    <v>836</v>
    <v>30</v>
    <v>649</v>
    <v>248</v>
    <v>547</v>
    <v>254</v>
    <v>Texas</v>
    <v>mdp/vdpid/33145</v>
  </rv>
  <rv s="1">
    <fb>219653</fb>
    <v>8</v>
  </rv>
  <rv s="1">
    <fb>22662</fb>
    <v>8</v>
  </rv>
  <rv s="0">
    <v>536870912</v>
    <v>Salt Lake City</v>
    <v>520b8048-39fe-4c55-8cbf-a52f9d8756fd</v>
    <v>en-US</v>
    <v>Map</v>
  </rv>
  <rv s="1">
    <fb>906292</fb>
    <v>8</v>
  </rv>
  <rv s="1">
    <fb>1054164</fb>
    <v>8</v>
  </rv>
  <rv s="2">
    <v>28</v>
    <v>6</v>
    <v>149</v>
    <v>7</v>
    <v>0</v>
    <v>Image of Utah</v>
  </rv>
  <rv s="0">
    <v>805306368</v>
    <v>Spencer Cox (Governor)</v>
    <v>b8df5066-fb62-3092-d3d5-fa1d766c0409</v>
    <v>en-US</v>
    <v>Generic</v>
  </rv>
  <rv s="0">
    <v>805306368</v>
    <v>Deidre Henderson (Lieutenant governor)</v>
    <v>644c1a0f-9cad-8cd7-ecd2-aa31b63f12c0</v>
    <v>en-US</v>
    <v>Generic</v>
  </rv>
  <rv s="0">
    <v>805306368</v>
    <v>Mike Lee (Senate)</v>
    <v>f5c85f74-0fbe-5ce1-327f-195c4ef26152</v>
    <v>en-US</v>
    <v>Generic</v>
  </rv>
  <rv s="0">
    <v>805306368</v>
    <v>John Curtis (Senate)</v>
    <v>9fcdc54d-156a-8cde-8ee6-0614a68038b7</v>
    <v>en-US</v>
    <v>Generic</v>
  </rv>
  <rv s="3">
    <v>40</v>
  </rv>
  <rv s="4">
    <v>https://www.bing.com/search?q=utah&amp;form=skydnc</v>
    <v>Learn more on Bing</v>
  </rv>
  <rv s="1">
    <fb>887</fb>
    <v>17</v>
  </rv>
  <rv s="1">
    <fb>60727</fb>
    <v>17</v>
  </rv>
  <rv s="1">
    <fb>215900</fb>
    <v>17</v>
  </rv>
  <rv s="1">
    <fb>3.15</fb>
    <v>18</v>
  </rv>
  <rv s="1">
    <fb>3503613</fb>
    <v>8</v>
  </rv>
  <rv s="1">
    <fb>1.4999999999999999E-2</fb>
    <v>20</v>
  </rv>
  <rv s="1">
    <fb>0.311</fb>
    <v>19</v>
  </rv>
  <rv s="1">
    <fb>1.3000000000000001E-2</fb>
    <v>19</v>
  </rv>
  <rv s="1">
    <fb>0.91200000000000003</fb>
    <v>19</v>
  </rv>
  <rv s="1">
    <fb>0.13699999999999998</fb>
    <v>19</v>
  </rv>
  <rv s="1">
    <fb>0.67700000000000005</fb>
    <v>19</v>
  </rv>
  <rv s="1">
    <fb>0.01</fb>
    <v>19</v>
  </rv>
  <rv s="10">
    <v>#VALUE!</v>
    <v>en-US</v>
    <v>c6705e44-d27f-4240-95a2-54e802e3b524</v>
    <v>536870912</v>
    <v>1</v>
    <v>152</v>
    <v>56</v>
    <v>Utah</v>
    <v>4</v>
    <v>5</v>
    <v>Map</v>
    <v>6</v>
    <v>57</v>
    <v>US-UT</v>
    <v>838</v>
    <v>839</v>
    <v>840</v>
    <v>191</v>
    <v>Utah is a state in the western United States. It is one of the Mountain States, sharing the Four Corners region with Arizona, Colorado, and New Mexico. It also borders Wyoming to the northeast, Idaho to the north, and Nevada to the west. In ...</v>
    <v>841</v>
    <v>842</v>
    <v>843</v>
    <v>840</v>
    <v>848</v>
    <v>849</v>
    <v>850</v>
    <v>851</v>
    <v>852</v>
    <v>Utah</v>
    <v>204</v>
    <v>853</v>
    <v>854</v>
    <v>597</v>
    <v>85</v>
    <v>855</v>
    <v>241</v>
    <v>856</v>
    <v>857</v>
    <v>207</v>
    <v>858</v>
    <v>859</v>
    <v>860</v>
    <v>861</v>
    <v>510</v>
    <v>42</v>
    <v>81</v>
    <v>207</v>
    <v>858</v>
    <v>222</v>
    <v>Utah</v>
    <v>mdp/vdpid/34626</v>
  </rv>
  <rv s="1">
    <fb>24923</fb>
    <v>8</v>
  </rv>
  <rv s="1">
    <fb>1771</fb>
    <v>8</v>
  </rv>
  <rv s="0">
    <v>536870912</v>
    <v>Montpelier, Vermont</v>
    <v>6a01399d-d09a-4bda-4500-012bb3271e9d</v>
    <v>en-US</v>
    <v>Map</v>
  </rv>
  <rv s="1">
    <fb>257167</fb>
    <v>8</v>
  </rv>
  <rv s="1">
    <fb>329525</fb>
    <v>8</v>
  </rv>
  <rv s="2">
    <v>29</v>
    <v>6</v>
    <v>153</v>
    <v>7</v>
    <v>0</v>
    <v>Image of Vermont</v>
  </rv>
  <rv s="0">
    <v>536870912</v>
    <v>Burlington, Vermont</v>
    <v>eebf9ffb-0254-aae7-1bdd-23d4e654a053</v>
    <v>en-US</v>
    <v>Map</v>
  </rv>
  <rv s="0">
    <v>805306368</v>
    <v>Phil Scott (Governor)</v>
    <v>f903a590-d3d7-9d9c-6429-b38ae1a17c71</v>
    <v>en-US</v>
    <v>Generic</v>
  </rv>
  <rv s="0">
    <v>805306368</v>
    <v>John S. Rodgers (Lieutenant governor)</v>
    <v>0f4d7c62-fed7-b470-0abd-dced794f3bca</v>
    <v>en-US</v>
    <v>Generic</v>
  </rv>
  <rv s="0">
    <v>805306368</v>
    <v>Bernie Sanders (Senate)</v>
    <v>d1b180da-aff9-59f7-887e-85784c68fe0c</v>
    <v>en-US</v>
    <v>Generic</v>
  </rv>
  <rv s="0">
    <v>805306368</v>
    <v>Peter Welch (Senate)</v>
    <v>30280e22-a5a0-57c8-a708-8fbde585185c</v>
    <v>en-US</v>
    <v>Generic</v>
  </rv>
  <rv s="3">
    <v>41</v>
  </rv>
  <rv s="4">
    <v>https://www.bing.com/search?q=vermont&amp;form=skydnc</v>
    <v>Learn more on Bing</v>
  </rv>
  <rv s="1">
    <fb>895</fb>
    <v>17</v>
  </rv>
  <rv s="1">
    <fb>55176</fb>
    <v>17</v>
  </rv>
  <rv s="1">
    <fb>217500</fb>
    <v>17</v>
  </rv>
  <rv s="1">
    <fb>2.34</fb>
    <v>18</v>
  </rv>
  <rv s="1">
    <fb>648493</fb>
    <v>8</v>
  </rv>
  <rv s="1">
    <fb>0.36</fb>
    <v>19</v>
  </rv>
  <rv s="1">
    <fb>4.2999999999999997E-2</fb>
    <v>19</v>
  </rv>
  <rv s="1">
    <fb>0.66599999999999993</fb>
    <v>19</v>
  </rv>
  <rv s="1">
    <fb>0.1</fb>
    <v>19</v>
  </rv>
  <rv s="1">
    <fb>0.192</fb>
    <v>19</v>
  </rv>
  <rv s="1">
    <fb>0.94799999999999995</fb>
    <v>19</v>
  </rv>
  <rv s="11">
    <v>#VALUE!</v>
    <v>en-US</v>
    <v>221864cc-447e-4e78-847c-59e485d73bff</v>
    <v>536870912</v>
    <v>1</v>
    <v>156</v>
    <v>102</v>
    <v>Vermont</v>
    <v>4</v>
    <v>5</v>
    <v>Map</v>
    <v>6</v>
    <v>103</v>
    <v>US-VT</v>
    <v>863</v>
    <v>864</v>
    <v>865</v>
    <v>191</v>
    <v>Vermont is a state in the New England region of the Northeastern United States. It borders Massachusetts to the south, New Hampshire to the east, New York to the west, and the Canadian province of Quebec to the north. According to the most ...</v>
    <v>866</v>
    <v>867</v>
    <v>868</v>
    <v>869</v>
    <v>874</v>
    <v>875</v>
    <v>876</v>
    <v>877</v>
    <v>878</v>
    <v>Vermont</v>
    <v>879</v>
    <v>880</v>
    <v>427</v>
    <v>35</v>
    <v>754</v>
    <v>243</v>
    <v>881</v>
    <v>857</v>
    <v>882</v>
    <v>462</v>
    <v>461</v>
    <v>883</v>
    <v>884</v>
    <v>30</v>
    <v>885</v>
    <v>543</v>
    <v>886</v>
    <v>11</v>
    <v>Vermont</v>
    <v>mdp/vdpid/35022</v>
  </rv>
  <rv s="1">
    <fb>110862</fb>
    <v>8</v>
  </rv>
  <rv s="1">
    <fb>31132</fb>
    <v>8</v>
  </rv>
  <rv s="0">
    <v>536870912</v>
    <v>Richmond, Virginia</v>
    <v>59263810-6a82-4930-943c-1fa0693b17b0</v>
    <v>en-US</v>
    <v>Map</v>
  </rv>
  <rv s="1">
    <fb>3062783</fb>
    <v>8</v>
  </rv>
  <rv s="1">
    <fb>3491054</fb>
    <v>8</v>
  </rv>
  <rv s="2">
    <v>30</v>
    <v>6</v>
    <v>157</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42</v>
  </rv>
  <rv s="4">
    <v>https://www.bing.com/search?q=virginia&amp;form=skydnc</v>
    <v>Learn more on Bing</v>
  </rv>
  <rv s="1">
    <fb>1116</fb>
    <v>17</v>
  </rv>
  <rv s="1">
    <fb>65015</fb>
    <v>17</v>
  </rv>
  <rv s="1">
    <fb>245000</fb>
    <v>17</v>
  </rv>
  <rv s="1">
    <fb>2.62</fb>
    <v>18</v>
  </rv>
  <rv s="1">
    <fb>8811195</fb>
    <v>8</v>
  </rv>
  <rv s="1">
    <fb>0.36299999999999999</fb>
    <v>19</v>
  </rv>
  <rv s="1">
    <fb>0.88300000000000001</fb>
    <v>19</v>
  </rv>
  <rv s="1">
    <fb>0.09</fb>
    <v>19</v>
  </rv>
  <rv s="1">
    <fb>0.64700000000000002</fb>
    <v>19</v>
  </rv>
  <rv s="1">
    <fb>0.70200000000000007</fb>
    <v>19</v>
  </rv>
  <rv s="10">
    <v>#VALUE!</v>
    <v>en-US</v>
    <v>7eee9976-e8a7-472c-ada1-007208abd678</v>
    <v>536870912</v>
    <v>1</v>
    <v>160</v>
    <v>56</v>
    <v>Virginia</v>
    <v>4</v>
    <v>5</v>
    <v>Map</v>
    <v>6</v>
    <v>57</v>
    <v>US-VA</v>
    <v>888</v>
    <v>889</v>
    <v>890</v>
    <v>191</v>
    <v>Virginia, officially the Commonwealth of Virginia, is a state in the Southeastern and Mid-Atlantic regions of the United States between the Atlantic Coast and the Appalachian Mountains. The state's capital is Richmond and its most populous city ...</v>
    <v>891</v>
    <v>892</v>
    <v>893</v>
    <v>894</v>
    <v>899</v>
    <v>900</v>
    <v>901</v>
    <v>902</v>
    <v>903</v>
    <v>Virginia</v>
    <v>204</v>
    <v>904</v>
    <v>905</v>
    <v>84</v>
    <v>428</v>
    <v>342</v>
    <v>279</v>
    <v>906</v>
    <v>375</v>
    <v>756</v>
    <v>907</v>
    <v>908</v>
    <v>909</v>
    <v>40</v>
    <v>570</v>
    <v>317</v>
    <v>786</v>
    <v>435</v>
    <v>910</v>
    <v>11</v>
    <v>Virginia</v>
    <v>mdp/vdpid/35364</v>
  </rv>
  <rv s="1">
    <fb>169640</fb>
    <v>8</v>
  </rv>
  <rv s="1">
    <fb>19274</fb>
    <v>8</v>
  </rv>
  <rv s="0">
    <v>536870912</v>
    <v>Madison, Wisconsin</v>
    <v>65426cc9-93eb-4569-8c2e-3b7c1b070278</v>
    <v>en-US</v>
    <v>Map</v>
  </rv>
  <rv s="1">
    <fb>2299107</fb>
    <v>8</v>
  </rv>
  <rv s="1">
    <fb>2668444</fb>
    <v>8</v>
  </rv>
  <rv s="2">
    <v>31</v>
    <v>6</v>
    <v>161</v>
    <v>7</v>
    <v>0</v>
    <v>Image of Wisconsin</v>
  </rv>
  <rv s="0">
    <v>536870912</v>
    <v>Milwaukee</v>
    <v>9fdb4bdb-6dd4-4dd1-9159-1e8abc73ab65</v>
    <v>en-US</v>
    <v>Map</v>
  </rv>
  <rv s="0">
    <v>805306368</v>
    <v>Tony Evers (Governor)</v>
    <v>a4d4fdcd-e9ac-4b23-8636-43a292c35b66</v>
    <v>en-US</v>
    <v>Generic</v>
  </rv>
  <rv s="0">
    <v>805306368</v>
    <v>Sara Rodriguez (Lieutenant governor)</v>
    <v>4d4d413b-6899-5243-5ea1-275db9b91d6a</v>
    <v>en-US</v>
    <v>Generic</v>
  </rv>
  <rv s="0">
    <v>805306368</v>
    <v>Ron Johnson (Senate)</v>
    <v>9451b73e-ab4e-c84d-6362-8ff17c286608</v>
    <v>en-US</v>
    <v>Generic</v>
  </rv>
  <rv s="0">
    <v>805306368</v>
    <v>Tammy Baldwin (Senate)</v>
    <v>df4c81b2-fcc2-4576-db39-5b0b27c09625</v>
    <v>en-US</v>
    <v>Generic</v>
  </rv>
  <rv s="3">
    <v>43</v>
  </rv>
  <rv s="4">
    <v>https://www.bing.com/search?q=wisconsin&amp;form=skydnc</v>
    <v>Learn more on Bing</v>
  </rv>
  <rv s="1">
    <fb>776</fb>
    <v>17</v>
  </rv>
  <rv s="1">
    <fb>53357</fb>
    <v>17</v>
  </rv>
  <rv s="1">
    <fb>165800</fb>
    <v>17</v>
  </rv>
  <rv s="1">
    <fb>2.4300000000000002</fb>
    <v>18</v>
  </rv>
  <rv s="1">
    <fb>5960975</fb>
    <v>8</v>
  </rv>
  <rv s="1">
    <fb>0.156</fb>
    <v>19</v>
  </rv>
  <rv s="1">
    <fb>1.1000000000000001E-2</fb>
    <v>20</v>
  </rv>
  <rv s="1">
    <fb>0.27800000000000002</fb>
    <v>19</v>
  </rv>
  <rv s="1">
    <fb>0.91</fb>
    <v>19</v>
  </rv>
  <rv s="1">
    <fb>0.67099999999999993</fb>
    <v>19</v>
  </rv>
  <rv s="1">
    <fb>0.22399999999999998</fb>
    <v>19</v>
  </rv>
  <rv s="1">
    <fb>0.87599999999999989</fb>
    <v>19</v>
  </rv>
  <rv s="6">
    <v>#VALUE!</v>
    <v>en-US</v>
    <v>cb4d2853-06f4-4467-8e7c-4e31cbb35cb2</v>
    <v>536870912</v>
    <v>1</v>
    <v>164</v>
    <v>15</v>
    <v>Wisconsin</v>
    <v>4</v>
    <v>5</v>
    <v>Map</v>
    <v>6</v>
    <v>57</v>
    <v>US-WI</v>
    <v>912</v>
    <v>913</v>
    <v>914</v>
    <v>191</v>
    <v>Wisconsin is a state in the Great Lakes region of the Upper Midwest of the United States. It borders Minnesota to the west, Iowa to the southwest, Illinois to the south, Lake Michigan to the east, Michigan to the northeast, and Lake Superior to ...</v>
    <v>915</v>
    <v>916</v>
    <v>917</v>
    <v>918</v>
    <v>923</v>
    <v>924</v>
    <v>925</v>
    <v>926</v>
    <v>927</v>
    <v>Wisconsin</v>
    <v>928</v>
    <v>929</v>
    <v>243</v>
    <v>930</v>
    <v>931</v>
    <v>372</v>
    <v>932</v>
    <v>510</v>
    <v>212</v>
    <v>933</v>
    <v>510</v>
    <v>934</v>
    <v>40</v>
    <v>218</v>
    <v>461</v>
    <v>935</v>
    <v>787</v>
    <v>936</v>
    <v>254</v>
    <v>Wisconsin</v>
    <v>mdp/vdpid/36684</v>
  </rv>
  <rv s="0">
    <v>536870912</v>
    <v>Cook County, Illinois</v>
    <v>38aa555d-a2f0-25e5-0b3a-ef870e8ef479</v>
    <v>en-US</v>
    <v>Map</v>
  </rv>
  <rv s="1">
    <fb>606.42399999999998</fb>
    <v>8</v>
  </rv>
  <rv s="0">
    <v>536870912</v>
    <v>United States</v>
    <v>e3ef53f2-d302-b22a-64a7-6e0ce65be769</v>
    <v>en-US</v>
    <v>Map</v>
  </rv>
  <rv s="2">
    <v>32</v>
    <v>6</v>
    <v>165</v>
    <v>7</v>
    <v>0</v>
    <v>Image of Chicago</v>
  </rv>
  <rv s="1">
    <fb>41.850029999999997</fb>
    <v>9</v>
  </rv>
  <rv s="0">
    <v>805306368</v>
    <v>Brandon Johnson (Mayor)</v>
    <v>51f38d5b-94e7-0349-9108-0f3eb33757cb</v>
    <v>en-US</v>
    <v>Generic</v>
  </rv>
  <rv s="3">
    <v>44</v>
  </rv>
  <rv s="4">
    <v>https://www.bing.com/search?q=chicago&amp;form=skydnc</v>
    <v>Learn more on Bing</v>
  </rv>
  <rv s="1">
    <fb>-87.650049999999993</fb>
    <v>9</v>
  </rv>
  <rv s="1">
    <fb>2664452</fb>
    <v>8</v>
  </rv>
  <rv s="3">
    <v>45</v>
  </rv>
  <rv s="8">
    <v>#VALUE!</v>
    <v>en-US</v>
    <v>28deeb39-ca49-4bd4-913b-929b1de4b25b</v>
    <v>536870912</v>
    <v>1</v>
    <v>166</v>
    <v>46</v>
    <v>Chicago</v>
    <v>4</v>
    <v>5</v>
    <v>Map</v>
    <v>6</v>
    <v>167</v>
    <v>100</v>
    <v>938</v>
    <v>939</v>
    <v>940</v>
    <v>Chicago is the most populous city in the U.S. state of Illinois and in the Midwestern United States. With a population of 2,746,388, as of the 2020 census, it is the third-most populous city in the United States after New York City and Los ...</v>
    <v>941</v>
    <v>942</v>
    <v>944</v>
    <v>945</v>
    <v>946</v>
    <v>Chicago</v>
    <v>947</v>
    <v>948</v>
    <v>Chicago</v>
    <v>mdp/vdpid/5477686925982695427</v>
  </rv>
  <rv s="0">
    <v>536870912</v>
    <v>Suffolk County</v>
    <v>cc8426c8-f6bc-398c-aab9-d3baeeb8d2cd</v>
    <v>en-US</v>
    <v>Map</v>
  </rv>
  <rv s="1">
    <fb>232.16776100000001</fb>
    <v>8</v>
  </rv>
  <rv s="0">
    <v>536870912</v>
    <v>Province of Massachusetts Bay</v>
    <v>05c8a95b-0b0f-51d2-5794-107d56018d69</v>
    <v>en-US</v>
    <v>Map</v>
  </rv>
  <rv s="2">
    <v>33</v>
    <v>6</v>
    <v>168</v>
    <v>7</v>
    <v>0</v>
    <v>Image of Boston</v>
  </rv>
  <rv s="1">
    <fb>42.360277777777803</fb>
    <v>9</v>
  </rv>
  <rv s="0">
    <v>805306368</v>
    <v>Michelle Wu (Mayor)</v>
    <v>08af4efd-ebd0-46fe-8bf9-e695cde7c2b8</v>
    <v>en-US</v>
    <v>Generic</v>
  </rv>
  <rv s="3">
    <v>46</v>
  </rv>
  <rv s="4">
    <v>https://www.bing.com/search?q=boston+massachusetts&amp;form=skydnc</v>
    <v>Learn more on Bing</v>
  </rv>
  <rv s="1">
    <fb>-71.057777777777801</fb>
    <v>9</v>
  </rv>
  <rv s="1">
    <fb>675647</fb>
    <v>8</v>
  </rv>
  <rv s="8">
    <v>#VALUE!</v>
    <v>en-US</v>
    <v>f0f5899a-361f-4fe4-89d1-11130aa2c653</v>
    <v>536870912</v>
    <v>1</v>
    <v>169</v>
    <v>46</v>
    <v>Boston</v>
    <v>4</v>
    <v>5</v>
    <v>Map</v>
    <v>6</v>
    <v>7</v>
    <v>108</v>
    <v>950</v>
    <v>951</v>
    <v>952</v>
    <v>Boston, officially the state of Boston, is the capital and most populous city in the Commonwealth of Massachusetts in the United States. The city serves as the cultural and financial center of the New England region of the Northeastern United ...</v>
    <v>953</v>
    <v>954</v>
    <v>956</v>
    <v>957</v>
    <v>958</v>
    <v>Boston</v>
    <v>959</v>
    <v>11</v>
    <v>Boston</v>
    <v>mdp/vdpid/5488162429013590018</v>
  </rv>
  <rv s="0">
    <v>536870912</v>
    <v>Montgomery County</v>
    <v>27d3e780-702a-653d-5cb6-1ab46da66710</v>
    <v>en-US</v>
    <v>Map</v>
  </rv>
  <rv s="1">
    <fb>1724.5445070000001</fb>
    <v>8</v>
  </rv>
  <rv s="2">
    <v>34</v>
    <v>6</v>
    <v>170</v>
    <v>7</v>
    <v>0</v>
    <v>Image of Houston</v>
  </rv>
  <rv s="1">
    <fb>29.762777777777998</fb>
    <v>9</v>
  </rv>
  <rv s="0">
    <v>805306368</v>
    <v>Sylvester Turner (Mayor)</v>
    <v>70668f90-c5da-66f0-41ae-152a1286911b</v>
    <v>en-US</v>
    <v>Generic</v>
  </rv>
  <rv s="3">
    <v>47</v>
  </rv>
  <rv s="4">
    <v>https://www.bing.com/search?q=houston+texas&amp;form=skydnc</v>
    <v>Learn more on Bing</v>
  </rv>
  <rv s="1">
    <fb>-95.383055555555998</fb>
    <v>9</v>
  </rv>
  <rv s="1">
    <fb>2304580</fb>
    <v>8</v>
  </rv>
  <rv s="8">
    <v>#VALUE!</v>
    <v>en-US</v>
    <v>ad99c262-d92e-4e88-87f7-5c66752fec36</v>
    <v>536870912</v>
    <v>1</v>
    <v>171</v>
    <v>46</v>
    <v>Houston</v>
    <v>4</v>
    <v>5</v>
    <v>Map</v>
    <v>6</v>
    <v>7</v>
    <v>129</v>
    <v>961</v>
    <v>962</v>
    <v>3</v>
    <v>Houston is the most populous city in the U.S. state of Texas and in the Southern United States. Located in Southeast Texas near Galveston Bay and the Gulf of Mexico, it is the seat of Harris County; as well as the principal city of the Greater ...</v>
    <v>963</v>
    <v>964</v>
    <v>966</v>
    <v>967</v>
    <v>968</v>
    <v>Houston</v>
    <v>969</v>
    <v>254</v>
    <v>Houston</v>
    <v>mdp/vdpid/5110537662389813249</v>
  </rv>
  <rv s="1">
    <fb>161.82191399999999</fb>
    <v>8</v>
  </rv>
  <rv s="2">
    <v>35</v>
    <v>6</v>
    <v>172</v>
    <v>7</v>
    <v>0</v>
    <v>Image of Richmond, Virginia</v>
  </rv>
  <rv s="1">
    <fb>37.540833333333303</fb>
    <v>9</v>
  </rv>
  <rv s="0">
    <v>805306368</v>
    <v>Danny Avula (Mayor)</v>
    <v>132de1f0-e810-27b5-3081-6c6eaf3da372</v>
    <v>en-US</v>
    <v>Generic</v>
  </rv>
  <rv s="3">
    <v>48</v>
  </rv>
  <rv s="4">
    <v>https://www.bing.com/search?q=richmond+virginia&amp;form=skydnc</v>
    <v>Learn more on Bing</v>
  </rv>
  <rv s="1">
    <fb>-77.436666666666696</fb>
    <v>9</v>
  </rv>
  <rv s="1">
    <fb>226610</fb>
    <v>8</v>
  </rv>
  <rv s="5">
    <v>#VALUE!</v>
    <v>en-US</v>
    <v>59263810-6a82-4930-943c-1fa0693b17b0</v>
    <v>536870912</v>
    <v>1</v>
    <v>173</v>
    <v>2</v>
    <v>Richmond, Virginia</v>
    <v>4</v>
    <v>5</v>
    <v>Map</v>
    <v>6</v>
    <v>7</v>
    <v>132</v>
    <v>971</v>
    <v>940</v>
    <v>Richmond is the capital city of the U.S. commonwealth of Virginia. Incorporated in 1742, Richmond has been an independent city since 1871. The city's population in the 2020 United States census was 226,610, up from 204,214 in 2010, making it ...</v>
    <v>972</v>
    <v>973</v>
    <v>975</v>
    <v>976</v>
    <v>977</v>
    <v>Richmond, Virginia</v>
    <v>978</v>
    <v>11</v>
    <v>Richmond, Virginia</v>
    <v>mdp/vdpid/10037721</v>
  </rv>
  <rv s="0">
    <v>536870912</v>
    <v>Burnaby</v>
    <v>459ea431-9eb1-865e-bc96-1ec1e155ee9e</v>
    <v>en-US</v>
    <v>Map</v>
  </rv>
  <rv s="0">
    <v>536870912</v>
    <v>British Columbia</v>
    <v>32a8fd1c-cd9d-0da9-35fb-f952ed824d4f</v>
    <v>en-US</v>
    <v>Map</v>
  </rv>
  <rv s="0">
    <v>536870912</v>
    <v>Metro Vancouver Regional District</v>
    <v>b31526f7-e7da-ece2-8722-ac71bfe24ef9</v>
    <v>en-US</v>
    <v>Map</v>
  </rv>
  <rv s="1">
    <fb>90.61</fb>
    <v>8</v>
  </rv>
  <rv s="0">
    <v>536870912</v>
    <v>Canada</v>
    <v>370ed614-32e1-4326-a356-dc0a7dd56aaa</v>
    <v>en-US</v>
    <v>Map</v>
  </rv>
  <rv s="2">
    <v>36</v>
    <v>6</v>
    <v>175</v>
    <v>7</v>
    <v>0</v>
    <v>Image of Burnaby</v>
  </rv>
  <rv s="1">
    <fb>49.25</fb>
    <v>9</v>
  </rv>
  <rv s="0">
    <v>805306368</v>
    <v>Mike Hurley (Mayor)</v>
    <v>96783d57-12bc-1a0e-1dce-b0d44acfc7a7</v>
    <v>en-US</v>
    <v>Generic</v>
  </rv>
  <rv s="3">
    <v>49</v>
  </rv>
  <rv s="4">
    <v>https://www.bing.com/search?q=burnaby&amp;form=skydnc</v>
    <v>Learn more on Bing</v>
  </rv>
  <rv s="1">
    <fb>-122.949167</fb>
    <v>9</v>
  </rv>
  <rv s="1">
    <fb>249125</fb>
    <v>8</v>
  </rv>
  <rv s="8">
    <v>#VALUE!</v>
    <v>en-US</v>
    <v>459ea431-9eb1-865e-bc96-1ec1e155ee9e</v>
    <v>536870912</v>
    <v>1</v>
    <v>176</v>
    <v>46</v>
    <v>Burnaby</v>
    <v>4</v>
    <v>5</v>
    <v>Map</v>
    <v>6</v>
    <v>177</v>
    <v>981</v>
    <v>982</v>
    <v>983</v>
    <v>984</v>
    <v>Burnaby is a city in the Lower Mainland region of British Columbia, Canada. Located in the centre of the Burrard Peninsula, it neighbours the City of Vancouver to the west, the District of North Vancouver across the confluence of the Burrard ...</v>
    <v>985</v>
    <v>986</v>
    <v>988</v>
    <v>989</v>
    <v>990</v>
    <v>Burnaby</v>
    <v>991</v>
    <v>289</v>
    <v>Burnaby</v>
    <v>mdp/vdpid/4859512808464711681</v>
  </rv>
  <rv s="1">
    <fb>6.8918382450780802E-2</fb>
    <v>19</v>
  </rv>
  <rv s="1">
    <fb>9984670</fb>
    <v>8</v>
  </rv>
  <rv s="1">
    <fb>72000</fb>
    <v>8</v>
  </rv>
  <rv s="1">
    <fb>10.1</fb>
    <v>18</v>
  </rv>
  <rv s="0">
    <v>536870912</v>
    <v>Ottawa</v>
    <v>3f2544d2-4937-9101-2f53-621199e253e5</v>
    <v>en-US</v>
    <v>Map</v>
  </rv>
  <rv s="1">
    <fb>544894.19799999997</fb>
    <v>8</v>
  </rv>
  <rv s="1">
    <fb>116.75729822552999</fb>
    <v>40</v>
  </rv>
  <rv s="1">
    <fb>1.9492690241159599E-2</fb>
    <v>19</v>
  </rv>
  <rv s="1">
    <fb>15588.4871464315</fb>
    <v>8</v>
  </rv>
  <rv s="1">
    <fb>1.4987999999999999</fb>
    <v>18</v>
  </rv>
  <rv s="1">
    <fb>0.38161546668997998</fb>
    <v>19</v>
  </rv>
  <rv s="1">
    <fb>74.089062024805997</fb>
    <v>41</v>
  </rv>
  <rv s="1">
    <fb>0.81</fb>
    <v>42</v>
  </rv>
  <rv s="1">
    <fb>1736425629519.96</fb>
    <v>17</v>
  </rv>
  <rv s="1">
    <fb>1.0094368</fb>
    <v>19</v>
  </rv>
  <rv s="1">
    <fb>0.68922510000000003</fb>
    <v>19</v>
  </rv>
  <rv s="2">
    <v>37</v>
    <v>6</v>
    <v>179</v>
    <v>7</v>
    <v>0</v>
    <v>Image of Canada</v>
  </rv>
  <rv s="1">
    <fb>4.3</fb>
    <v>41</v>
  </rv>
  <rv s="0">
    <v>536870912</v>
    <v>Toronto</v>
    <v>e9c1d78f-effd-4cbf-af56-ce709763b200</v>
    <v>en-US</v>
    <v>Map</v>
  </rv>
  <rv s="0">
    <v>805306368</v>
    <v>Charles III (Monarch)</v>
    <v>afc6f6a9-5b55-9178-3e6f-2c8b6d16ee9c</v>
    <v>en-US</v>
    <v>Generic</v>
  </rv>
  <rv s="0">
    <v>805306368</v>
    <v>Justin Trudeau (Prime minister)</v>
    <v>d37aba31-28d1-b943-f0c6-dbddeb460528</v>
    <v>en-US</v>
    <v>Generic</v>
  </rv>
  <rv s="3">
    <v>50</v>
  </rv>
  <rv s="4">
    <v>https://www.bing.com/search?q=canada+country&amp;form=skydnc</v>
    <v>Learn more on Bing</v>
  </rv>
  <rv s="1">
    <fb>81.948780487804896</fb>
    <v>41</v>
  </rv>
  <rv s="1">
    <fb>1937902710000</fb>
    <v>17</v>
  </rv>
  <rv s="1">
    <fb>10</fb>
    <v>41</v>
  </rv>
  <rv s="1">
    <fb>9.51</fb>
    <v>42</v>
  </rv>
  <rv s="3">
    <v>51</v>
  </rv>
  <rv s="1">
    <fb>0.1458492763</fb>
    <v>19</v>
  </rv>
  <rv s="1">
    <fb>2.6101999999999999</fb>
    <v>18</v>
  </rv>
  <rv s="1">
    <fb>38929902</fb>
    <v>8</v>
  </rv>
  <rv s="1">
    <fb>0.251</fb>
    <v>19</v>
  </rv>
  <rv s="1">
    <fb>0.40600000000000003</fb>
    <v>19</v>
  </rv>
  <rv s="1">
    <fb>0.124</fb>
    <v>19</v>
  </rv>
  <rv s="1">
    <fb>0.65070999145507802</fb>
    <v>19</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3">
    <v>52</v>
  </rv>
  <rv s="1">
    <fb>0.12844017475747799</fb>
    <v>19</v>
  </rv>
  <rv s="3">
    <v>53</v>
  </rv>
  <rv s="1">
    <fb>5.5640001296997095E-2</fb>
    <v>43</v>
  </rv>
  <rv s="1">
    <fb>30628482</fb>
    <v>8</v>
  </rv>
  <rv s="7">
    <v>#VALUE!</v>
    <v>en-US</v>
    <v>370ed614-32e1-4326-a356-dc0a7dd56aaa</v>
    <v>536870912</v>
    <v>1</v>
    <v>182</v>
    <v>37</v>
    <v>Canada</v>
    <v>4</v>
    <v>5</v>
    <v>Map</v>
    <v>6</v>
    <v>183</v>
    <v>CA</v>
    <v>993</v>
    <v>994</v>
    <v>995</v>
    <v>996</v>
    <v>51</v>
    <v>997</v>
    <v>998</v>
    <v>999</v>
    <v>1000</v>
    <v>CAD</v>
    <v>Canada is a country in North America. Its ten provinces and three territories extend from the Atlantic Ocean to the Pacific Ocean and northward into the Arctic Ocean, making it the world's second-largest country by total area, with the world's ...</v>
    <v>1001</v>
    <v>1002</v>
    <v>1003</v>
    <v>1004</v>
    <v>1005</v>
    <v>1006</v>
    <v>1007</v>
    <v>1008</v>
    <v>1009</v>
    <v>1010</v>
    <v>1011</v>
    <v>1014</v>
    <v>1015</v>
    <v>1016</v>
    <v>1017</v>
    <v>1018</v>
    <v>1019</v>
    <v>Canada</v>
    <v>O Canada</v>
    <v>1020</v>
    <v>Canada</v>
    <v>1021</v>
    <v>1022</v>
    <v>1023</v>
    <v>287</v>
    <v>1024</v>
    <v>1025</v>
    <v>42</v>
    <v>491</v>
    <v>1026</v>
    <v>753</v>
    <v>1027</v>
    <v>1040</v>
    <v>1041</v>
    <v>1042</v>
    <v>377</v>
    <v>1043</v>
    <v>Canada</v>
    <v>1044</v>
    <v>mdp/vdpid/39</v>
  </rv>
  <rv s="1">
    <fb>1076395</fb>
    <v>8</v>
  </rv>
  <rv s="1">
    <fb>2498691</fb>
    <v>8</v>
  </rv>
  <rv s="1">
    <fb>5169175</fb>
    <v>8</v>
  </rv>
  <rv s="1">
    <fb>5169174</fb>
    <v>8</v>
  </rv>
  <rv s="2">
    <v>38</v>
    <v>6</v>
    <v>184</v>
    <v>7</v>
    <v>0</v>
    <v>Image of Ontario</v>
  </rv>
  <rv s="0">
    <v>805306368</v>
    <v>Elizabeth Dowdeswell (Lieutenant governor)</v>
    <v>6b312e0c-679a-9523-3920-dd9fb0590e19</v>
    <v>en-US</v>
    <v>Generic</v>
  </rv>
  <rv s="0">
    <v>805306368</v>
    <v>Doug Ford (Premier)</v>
    <v>a00bb1b1-ce9d-bf65-c540-5e730be40cb9</v>
    <v>en-US</v>
    <v>Generic</v>
  </rv>
  <rv s="3">
    <v>54</v>
  </rv>
  <rv s="4">
    <v>https://www.bing.com/search?q=ontario+canada&amp;form=skydnc</v>
    <v>Learn more on Bing</v>
  </rv>
  <rv s="1">
    <fb>83160</fb>
    <v>191</v>
  </rv>
  <rv s="3">
    <v>55</v>
  </rv>
  <rv s="1">
    <fb>14733119</fb>
    <v>8</v>
  </rv>
  <rv s="13">
    <v>#VALUE!</v>
    <v>en-US</v>
    <v>070ad921-224a-9ed5-6fe1-8eab57b4b2e7</v>
    <v>536870912</v>
    <v>1</v>
    <v>188</v>
    <v>189</v>
    <v>Ontario</v>
    <v>4</v>
    <v>5</v>
    <v>Map</v>
    <v>6</v>
    <v>190</v>
    <v>CA-ON</v>
    <v>1046</v>
    <v>1047</v>
    <v>1011</v>
    <v>984</v>
    <v>Ontario is the southernmost province of Canada. Located in Central Canada, Ontario is the country's most populous province. As of the 2021 Canadian census, it is home to 38.5 per cent of the country's population, and is the second-largest ...</v>
    <v>1048</v>
    <v>1049</v>
    <v>1050</v>
    <v>1011</v>
    <v>1053</v>
    <v>1054</v>
    <v>1055</v>
    <v>Ontario</v>
    <v>1056</v>
    <v>481</v>
    <v>1057</v>
    <v>382</v>
    <v>Ontario</v>
    <v>mdp/vdpid/24465</v>
  </rv>
  <rv s="0">
    <v>536870912</v>
    <v>Hamilton, Ontario</v>
    <v>87c4ee59-c759-1660-3cef-413c50c5f7b8</v>
    <v>en-US</v>
    <v>Map</v>
  </rv>
  <rv s="1">
    <fb>1138</fb>
    <v>8</v>
  </rv>
  <rv s="0">
    <v>536870912</v>
    <v>Canada</v>
    <v>7b335d44-d55c-47de-6f99-333df6b0c2a7</v>
    <v>en-US</v>
    <v>Map</v>
  </rv>
  <rv s="2">
    <v>39</v>
    <v>6</v>
    <v>193</v>
    <v>7</v>
    <v>0</v>
    <v>Image of Hamilton, Ontario</v>
  </rv>
  <rv s="1">
    <fb>43.256666666667002</fb>
    <v>9</v>
  </rv>
  <rv s="0">
    <v>805306368</v>
    <v>Andrea Horwath (Mayor)</v>
    <v>ced56583-9be1-ad65-2c09-1dfda26d83a6</v>
    <v>en-US</v>
    <v>Generic</v>
  </rv>
  <rv s="3">
    <v>56</v>
  </rv>
  <rv s="4">
    <v>https://www.bing.com/search?q=hamilton+ontario&amp;form=skydnc</v>
    <v>Learn more on Bing</v>
  </rv>
  <rv s="1">
    <fb>-79.869166666666999</fb>
    <v>9</v>
  </rv>
  <rv s="1">
    <fb>569353</fb>
    <v>8</v>
  </rv>
  <rv s="5">
    <v>#VALUE!</v>
    <v>en-US</v>
    <v>87c4ee59-c759-1660-3cef-413c50c5f7b8</v>
    <v>536870912</v>
    <v>1</v>
    <v>194</v>
    <v>2</v>
    <v>Hamilton, Ontario</v>
    <v>4</v>
    <v>5</v>
    <v>Map</v>
    <v>6</v>
    <v>177</v>
    <v>1028</v>
    <v>1060</v>
    <v>1061</v>
    <v>Hamilton is a port city in the Canadian province of Ontario. Hamilton has a population of 569,353, and its census metropolitan area, which encompasses Burlington and Grimsby, has a population of 785,184. The city is situated approximately 45 ...</v>
    <v>1062</v>
    <v>1063</v>
    <v>1065</v>
    <v>1066</v>
    <v>1067</v>
    <v>Hamilton, Ontario</v>
    <v>1068</v>
    <v>11</v>
    <v>Hamilton, Ontario</v>
    <v>mdp/vdpid/5479628493698367489</v>
  </rv>
  <rv s="0">
    <v>536870912</v>
    <v>Reus</v>
    <v>0181989b-7e0f-a43a-e082-88b2aa6fbc39</v>
    <v>en-US</v>
    <v>Map</v>
  </rv>
  <rv s="0">
    <v>536870912</v>
    <v>Province of Tarragona</v>
    <v>4597b0ff-134e-9771-b6c8-e4f0139c0068</v>
    <v>en-US</v>
    <v>Map</v>
  </rv>
  <rv s="0">
    <v>536870912</v>
    <v>Baix Camp</v>
    <v>9c114b6b-0d15-d370-d4e7-c6e450eebbf1</v>
    <v>en-US</v>
    <v>Map</v>
  </rv>
  <rv s="1">
    <fb>52.8</fb>
    <v>8</v>
  </rv>
  <rv s="0">
    <v>536870912</v>
    <v>Spain</v>
    <v>1baf9d59-f443-e9f4-6e49-de048a073e3f</v>
    <v>en-US</v>
    <v>Map</v>
  </rv>
  <rv s="2">
    <v>40</v>
    <v>6</v>
    <v>195</v>
    <v>7</v>
    <v>0</v>
    <v>Image of Reus</v>
  </rv>
  <rv s="1">
    <fb>41.154870000000003</fb>
    <v>9</v>
  </rv>
  <rv s="0">
    <v>805306368</v>
    <v>Sandra Guaita (Mayor)</v>
    <v>b28f650e-56fa-a4e1-c6f1-1f8c8e66f265</v>
    <v>en-US</v>
    <v>Generic</v>
  </rv>
  <rv s="3">
    <v>57</v>
  </rv>
  <rv s="4">
    <v>https://www.bing.com/search?q=reus+spain&amp;form=skydnc</v>
    <v>Learn more on Bing</v>
  </rv>
  <rv s="1">
    <fb>1.1087100000000001</fb>
    <v>9</v>
  </rv>
  <rv s="1">
    <fb>103477</fb>
    <v>8</v>
  </rv>
  <rv s="3">
    <v>58</v>
  </rv>
  <rv s="8">
    <v>#VALUE!</v>
    <v>en-US</v>
    <v>0181989b-7e0f-a43a-e082-88b2aa6fbc39</v>
    <v>536870912</v>
    <v>1</v>
    <v>196</v>
    <v>46</v>
    <v>Reus</v>
    <v>4</v>
    <v>5</v>
    <v>Map</v>
    <v>6</v>
    <v>197</v>
    <v>1071</v>
    <v>1072</v>
    <v>1073</v>
    <v>1074</v>
    <v>Reus is the capital of Baix Camp, in Camp de Tarragona, Catalonia, Spain. The area has always been an important producer of wines and spirits, and gained continental importance at the time of the Phylloxera plague. Currently it is known for its ...</v>
    <v>1075</v>
    <v>1076</v>
    <v>1078</v>
    <v>1079</v>
    <v>1080</v>
    <v>Reus</v>
    <v>1081</v>
    <v>1082</v>
    <v>Reus</v>
    <v>mdp/vdpid/7207005625379717121</v>
  </rv>
  <rv s="1">
    <fb>0.52577247440306896</fb>
    <v>19</v>
  </rv>
  <rv s="1">
    <fb>505990</fb>
    <v>8</v>
  </rv>
  <rv s="1">
    <fb>196000</fb>
    <v>8</v>
  </rv>
  <rv s="1">
    <fb>7.9</fb>
    <v>18</v>
  </rv>
  <rv s="1">
    <fb>34</fb>
    <v>39</v>
  </rv>
  <rv s="0">
    <v>536870912</v>
    <v>Madrid</v>
    <v>a497c067-c4c6-4bf4-9a5d-34fd30589bda</v>
    <v>en-US</v>
    <v>Map</v>
  </rv>
  <rv s="1">
    <fb>244002.18</fb>
    <v>8</v>
  </rv>
  <rv s="1">
    <fb>110.96151904206</fb>
    <v>40</v>
  </rv>
  <rv s="1">
    <fb>6.9953624171701497E-3</fb>
    <v>19</v>
  </rv>
  <rv s="1">
    <fb>5355.9870055822103</fb>
    <v>8</v>
  </rv>
  <rv s="1">
    <fb>1.26</fb>
    <v>18</v>
  </rv>
  <rv s="1">
    <fb>0.36936209528965797</fb>
    <v>19</v>
  </rv>
  <rv s="1">
    <fb>72.955546118337793</fb>
    <v>41</v>
  </rv>
  <rv s="1">
    <fb>1.26</fb>
    <v>42</v>
  </rv>
  <rv s="1">
    <fb>1394116310768.6299</fb>
    <v>17</v>
  </rv>
  <rv s="1">
    <fb>1.0271029</fb>
    <v>19</v>
  </rv>
  <rv s="1">
    <fb>0.88853009999999999</fb>
    <v>19</v>
  </rv>
  <rv s="2">
    <v>41</v>
    <v>6</v>
    <v>199</v>
    <v>7</v>
    <v>0</v>
    <v>Image of Spain</v>
  </rv>
  <rv s="1">
    <fb>2.5</fb>
    <v>41</v>
  </rv>
  <rv s="0">
    <v>805306368</v>
    <v>Felipe VI (Monarch)</v>
    <v>ec86fb82-ddbc-286a-d1a7-3644682c1efc</v>
    <v>en-US</v>
    <v>Generic</v>
  </rv>
  <rv s="0">
    <v>805306368</v>
    <v>Pedro Sánchez (Prime minister)</v>
    <v>9e0d6cf3-f466-7b6f-0a92-aa23020fc120</v>
    <v>en-US</v>
    <v>Generic</v>
  </rv>
  <rv s="3">
    <v>59</v>
  </rv>
  <rv s="4">
    <v>https://www.bing.com/search?q=spain&amp;form=skydnc</v>
    <v>Learn more on Bing</v>
  </rv>
  <rv s="1">
    <fb>83.334146341463395</fb>
    <v>41</v>
  </rv>
  <rv s="1">
    <fb>797285840000</fb>
    <v>17</v>
  </rv>
  <rv s="1">
    <fb>4</fb>
    <v>41</v>
  </rv>
  <rv s="1">
    <fb>5.6</fb>
    <v>42</v>
  </rv>
  <rv s="3">
    <v>60</v>
  </rv>
  <rv s="1">
    <fb>0.24229018520000001</fb>
    <v>19</v>
  </rv>
  <rv s="1">
    <fb>3.8723000000000001</fb>
    <v>18</v>
  </rv>
  <rv s="1">
    <fb>47615034</fb>
    <v>8</v>
  </rv>
  <rv s="1">
    <fb>0.254</fb>
    <v>19</v>
  </rv>
  <rv s="1">
    <fb>0.41</fb>
    <v>19</v>
  </rv>
  <rv s="1">
    <fb>0.122</fb>
    <v>19</v>
  </rv>
  <rv s="1">
    <fb>0.17199999999999999</fb>
    <v>19</v>
  </rv>
  <rv s="1">
    <fb>0.57492000579834002</fb>
    <v>19</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61</v>
  </rv>
  <rv s="1">
    <fb>0.14248211393678101</fb>
    <v>19</v>
  </rv>
  <rv s="1">
    <fb>0.47</fb>
    <v>19</v>
  </rv>
  <rv s="1">
    <fb>0.13958999633789099</fb>
    <v>43</v>
  </rv>
  <rv s="1">
    <fb>37927409</fb>
    <v>8</v>
  </rv>
  <rv s="7">
    <v>#VALUE!</v>
    <v>en-US</v>
    <v>1baf9d59-f443-e9f4-6e49-de048a073e3f</v>
    <v>536870912</v>
    <v>1</v>
    <v>202</v>
    <v>37</v>
    <v>Spain</v>
    <v>4</v>
    <v>5</v>
    <v>Map</v>
    <v>6</v>
    <v>203</v>
    <v>ES</v>
    <v>1084</v>
    <v>1085</v>
    <v>1086</v>
    <v>1087</v>
    <v>1088</v>
    <v>1089</v>
    <v>1090</v>
    <v>1091</v>
    <v>1092</v>
    <v>EUR</v>
    <v>Spain, officially the Kingdom of Spain, is a country in Southwestern Europe with territories in North Africa. Featuring the southernmost point of continental Europe, it is the largest country in Southern Europe and the fourth-most populous ...</v>
    <v>1093</v>
    <v>1094</v>
    <v>1095</v>
    <v>1096</v>
    <v>1097</v>
    <v>1098</v>
    <v>1099</v>
    <v>1100</v>
    <v>1101</v>
    <v>1102</v>
    <v>1089</v>
    <v>1105</v>
    <v>1106</v>
    <v>1107</v>
    <v>1108</v>
    <v>1109</v>
    <v>1110</v>
    <v>Spain</v>
    <v>Marcha Real</v>
    <v>1111</v>
    <v>Reino de España</v>
    <v>1112</v>
    <v>1113</v>
    <v>1114</v>
    <v>573</v>
    <v>1115</v>
    <v>1116</v>
    <v>624</v>
    <v>319</v>
    <v>1117</v>
    <v>1118</v>
    <v>1119</v>
    <v>1138</v>
    <v>1139</v>
    <v>1082</v>
    <v>1140</v>
    <v>1141</v>
    <v>Spain</v>
    <v>1142</v>
    <v>mdp/vdpid/217</v>
  </rv>
  <rv s="1">
    <fb>604.45510000000002</fb>
    <v>8</v>
  </rv>
  <rv s="2">
    <v>42</v>
    <v>6</v>
    <v>204</v>
    <v>7</v>
    <v>0</v>
    <v>Image of Madrid</v>
  </rv>
  <rv s="1">
    <fb>40.416944444444397</fb>
    <v>9</v>
  </rv>
  <rv s="0">
    <v>805306368</v>
    <v>José Luis Martínez-Almeida (Mayor)</v>
    <v>d059f89e-9389-5fff-d365-894d7aefd20e</v>
    <v>en-US</v>
    <v>Generic</v>
  </rv>
  <rv s="3">
    <v>62</v>
  </rv>
  <rv s="4">
    <v>https://www.bing.com/search?q=madrid+spain&amp;form=skydnc</v>
    <v>Learn more on Bing</v>
  </rv>
  <rv s="1">
    <fb>-3.70333333333333</fb>
    <v>9</v>
  </rv>
  <rv s="1">
    <fb>3332035</fb>
    <v>8</v>
  </rv>
  <rv s="14">
    <v>#VALUE!</v>
    <v>en-US</v>
    <v>a497c067-c4c6-4bf4-9a5d-34fd30589bda</v>
    <v>536870912</v>
    <v>1</v>
    <v>205</v>
    <v>206</v>
    <v>Madrid</v>
    <v>4</v>
    <v>5</v>
    <v>Map</v>
    <v>6</v>
    <v>167</v>
    <v>1122</v>
    <v>1144</v>
    <v>1074</v>
    <v>Madrid is the capital and most populous city of Spain. The city has almost 3.4 million inhabitants and a metropolitan area population of approximately 7 million. It is the second-largest city in the European Union, and its monocentric ...</v>
    <v>1145</v>
    <v>1146</v>
    <v>1148</v>
    <v>1149</v>
    <v>1150</v>
    <v>Madrid</v>
    <v>1151</v>
    <v>Madrid</v>
    <v>mdp/vdpid/5669357583933112321</v>
  </rv>
  <rv s="0">
    <v>536870912</v>
    <v>Japan</v>
    <v>130d0438-fafb-cd2d-1a9e-1dd9c5aa87a9</v>
    <v>en-US</v>
    <v>Map</v>
  </rv>
  <rv s="1">
    <fb>0.122640991880623</fb>
    <v>19</v>
  </rv>
  <rv s="1">
    <fb>377972.28</fb>
    <v>8</v>
  </rv>
  <rv s="1">
    <fb>261000</fb>
    <v>8</v>
  </rv>
  <rv s="1">
    <fb>7.4</fb>
    <v>18</v>
  </rv>
  <rv s="1">
    <fb>81</fb>
    <v>39</v>
  </rv>
  <rv s="0">
    <v>536870912</v>
    <v>Tokyo</v>
    <v>cb44a92f-6c6f-99c4-2ae3-51601fdc919a</v>
    <v>en-US</v>
    <v>Map</v>
  </rv>
  <rv s="1">
    <fb>1135886.253</fb>
    <v>8</v>
  </rv>
  <rv s="1">
    <fb>105.482172148839</fb>
    <v>40</v>
  </rv>
  <rv s="1">
    <fb>4.7697368421052103E-3</fb>
    <v>19</v>
  </rv>
  <rv s="1">
    <fb>7819.7146359093604</fb>
    <v>8</v>
  </rv>
  <rv s="1">
    <fb>1.42</fb>
    <v>18</v>
  </rv>
  <rv s="1">
    <fb>0.68456222269653788</fb>
    <v>19</v>
  </rv>
  <rv s="1">
    <fb>93.026455107462894</fb>
    <v>41</v>
  </rv>
  <rv s="1">
    <fb>1.06</fb>
    <v>42</v>
  </rv>
  <rv s="1">
    <fb>5081769542379.7695</fb>
    <v>17</v>
  </rv>
  <rv s="1">
    <fb>0.98799942016601605</fb>
    <v>19</v>
  </rv>
  <rv s="1">
    <fb>0.63237579345703099</fb>
    <v>19</v>
  </rv>
  <rv s="2">
    <v>43</v>
    <v>6</v>
    <v>208</v>
    <v>7</v>
    <v>0</v>
    <v>Image of Japan</v>
  </rv>
  <rv s="1">
    <fb>1.8</fb>
    <v>41</v>
  </rv>
  <rv s="0">
    <v>805306368</v>
    <v>Naruhito (Emperor)</v>
    <v>35e4e13c-2b05-0c5c-8b77-bb62a3da4162</v>
    <v>en-US</v>
    <v>Generic</v>
  </rv>
  <rv s="0">
    <v>805306368</v>
    <v>Shigeru Ishiba (Prime minister)</v>
    <v>dddb9483-d8cc-cc64-0dc3-9b8261eb78ec</v>
    <v>en-US</v>
    <v>Generic</v>
  </rv>
  <rv s="3">
    <v>63</v>
  </rv>
  <rv s="4">
    <v>https://www.bing.com/search?q=japan&amp;form=skydnc</v>
    <v>Learn more on Bing</v>
  </rv>
  <rv s="1">
    <fb>84.210975609756105</fb>
    <v>41</v>
  </rv>
  <rv s="1">
    <fb>6191073290000</fb>
    <v>17</v>
  </rv>
  <rv s="1">
    <fb>5</fb>
    <v>41</v>
  </rv>
  <rv s="1">
    <fb>6.77</fb>
    <v>42</v>
  </rv>
  <rv s="3">
    <v>64</v>
  </rv>
  <rv s="1">
    <fb>0.13097521000000001</fb>
    <v>19</v>
  </rv>
  <rv s="1">
    <fb>2.4115000000000002</fb>
    <v>18</v>
  </rv>
  <rv s="1">
    <fb>125124989</fb>
    <v>8</v>
  </rv>
  <rv s="1">
    <fb>0.217</fb>
    <v>19</v>
  </rv>
  <rv s="1">
    <fb>0.26400000000000001</fb>
    <v>19</v>
  </rv>
  <rv s="1">
    <fb>0.41100000000000003</fb>
    <v>19</v>
  </rv>
  <rv s="1">
    <fb>0.61726001739502001</fb>
    <v>19</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65</v>
  </rv>
  <rv s="1">
    <fb>0.11905933830538</fb>
    <v>19</v>
  </rv>
  <rv s="3">
    <v>66</v>
  </rv>
  <rv s="1">
    <fb>0.46700000000000003</fb>
    <v>19</v>
  </rv>
  <rv s="1">
    <fb>2.2909998893737803E-2</fb>
    <v>43</v>
  </rv>
  <rv s="1">
    <fb>115782416</fb>
    <v>8</v>
  </rv>
  <rv s="7">
    <v>#VALUE!</v>
    <v>en-US</v>
    <v>130d0438-fafb-cd2d-1a9e-1dd9c5aa87a9</v>
    <v>536870912</v>
    <v>1</v>
    <v>211</v>
    <v>37</v>
    <v>Japan</v>
    <v>4</v>
    <v>5</v>
    <v>Map</v>
    <v>6</v>
    <v>212</v>
    <v>JP</v>
    <v>1154</v>
    <v>1155</v>
    <v>1156</v>
    <v>1157</v>
    <v>1158</v>
    <v>1159</v>
    <v>1160</v>
    <v>1161</v>
    <v>1162</v>
    <v>JPY</v>
    <v>Japan is an island country in East Asia. Located in the Pacific Ocean off the northeast coast of the Asian mainland, it is bordered on the west by the Sea of Japan and extends from the Sea of Okhotsk in the north to the East China Sea in the ...</v>
    <v>1163</v>
    <v>1164</v>
    <v>1165</v>
    <v>1166</v>
    <v>1167</v>
    <v>1168</v>
    <v>1169</v>
    <v>1170</v>
    <v>1171</v>
    <v>1172</v>
    <v>1159</v>
    <v>1175</v>
    <v>1176</v>
    <v>1177</v>
    <v>1178</v>
    <v>1179</v>
    <v>1180</v>
    <v>Japan</v>
    <v>Kimigayo</v>
    <v>1181</v>
    <v>日本国</v>
    <v>1182</v>
    <v>1183</v>
    <v>1184</v>
    <v>1185</v>
    <v>1186</v>
    <v>1187</v>
    <v>317</v>
    <v>570</v>
    <v>401</v>
    <v>833</v>
    <v>1188</v>
    <v>1234</v>
    <v>1235</v>
    <v>1236</v>
    <v>1237</v>
    <v>1238</v>
    <v>Japan</v>
    <v>1239</v>
    <v>mdp/vdpid/122</v>
  </rv>
  <rv s="1">
    <fb>2194.0500000000002</fb>
    <v>8</v>
  </rv>
  <rv s="0">
    <v>536870912</v>
    <v>Special wards of Tokyo</v>
    <v>991a398b-acba-89c9-84b8-4eb77b3886d7</v>
    <v>en-US</v>
    <v>Map</v>
  </rv>
  <rv s="2">
    <v>44</v>
    <v>6</v>
    <v>213</v>
    <v>7</v>
    <v>0</v>
    <v>Image of Tokyo</v>
  </rv>
  <rv s="0">
    <v>536870912</v>
    <v>Shinjuku</v>
    <v>5632a22f-8419-6fb3-4f39-59c7c6326f8c</v>
    <v>en-US</v>
    <v>Map</v>
  </rv>
  <rv s="0">
    <v>805306368</v>
    <v>Yuriko Koike (Governor)</v>
    <v>3529b845-857d-a726-e527-f3385928e06a</v>
    <v>en-US</v>
    <v>Generic</v>
  </rv>
  <rv s="3">
    <v>67</v>
  </rv>
  <rv s="4">
    <v>https://www.bing.com/search?q=tokyo&amp;form=skydnc</v>
    <v>Learn more on Bing</v>
  </rv>
  <rv s="1">
    <fb>14187176</fb>
    <v>8</v>
  </rv>
  <rv s="15">
    <v>#VALUE!</v>
    <v>en-US</v>
    <v>cb44a92f-6c6f-99c4-2ae3-51601fdc919a</v>
    <v>536870912</v>
    <v>1</v>
    <v>215</v>
    <v>216</v>
    <v>Tokyo</v>
    <v>4</v>
    <v>5</v>
    <v>Map</v>
    <v>6</v>
    <v>217</v>
    <v>JP-13</v>
    <v>1241</v>
    <v>1242</v>
    <v>1153</v>
    <v>Tokyo, officially the Tokyo Metropolis, is the capital city of Japan. With a population of over 14 million in the city proper in 2023, it is one of the most populous urban areas in the world. The Greater Tokyo Area, which includes Tokyo and ...</v>
    <v>1243</v>
    <v>1244</v>
    <v>1246</v>
    <v>1247</v>
    <v>Tokyo</v>
    <v>1248</v>
    <v>1236</v>
    <v>Tokyo</v>
    <v>mdp/vdpid/7932754762162765825</v>
  </rv>
  <rv s="0">
    <v>536870912</v>
    <v>Wellesley, Massachusetts</v>
    <v>64a1715c-3b25-17da-f6b0-9bae3605f92e</v>
    <v>en-US</v>
    <v>Map</v>
  </rv>
  <rv s="0">
    <v>536870912</v>
    <v>Norfolk County, Massachusetts</v>
    <v>eaa431cd-02d9-4291-327a-6b359c950c9d</v>
    <v>en-US</v>
    <v>Map</v>
  </rv>
  <rv s="1">
    <fb>27.244046999999998</fb>
    <v>8</v>
  </rv>
  <rv s="2">
    <v>45</v>
    <v>6</v>
    <v>218</v>
    <v>7</v>
    <v>0</v>
    <v>Image of Wellesley, Massachusetts</v>
  </rv>
  <rv s="1">
    <fb>42.296388888888998</fb>
    <v>9</v>
  </rv>
  <rv s="4">
    <v>https://www.bing.com/search?q=wellesley+massachusetts&amp;form=skydnc</v>
    <v>Learn more on Bing</v>
  </rv>
  <rv s="1">
    <fb>-71.293055555555995</fb>
    <v>9</v>
  </rv>
  <rv s="1">
    <fb>29550</fb>
    <v>8</v>
  </rv>
  <rv s="16">
    <v>#VALUE!</v>
    <v>en-US</v>
    <v>64a1715c-3b25-17da-f6b0-9bae3605f92e</v>
    <v>536870912</v>
    <v>1</v>
    <v>219</v>
    <v>220</v>
    <v>Wellesley, Massachusetts</v>
    <v>4</v>
    <v>5</v>
    <v>Map</v>
    <v>6</v>
    <v>7</v>
    <v>108</v>
    <v>1251</v>
    <v>1252</v>
    <v>940</v>
    <v>Wellesley is a town in Norfolk County, Massachusetts, United States. Wellesley is part of Greater Boston. The population was 29,550 at the time of the 2020 census. Wellesley College, Babson College, and a campus of Massachusetts Bay Community ...</v>
    <v>1253</v>
    <v>1254</v>
    <v>1255</v>
    <v>1256</v>
    <v>Wellesley, Massachusetts</v>
    <v>1257</v>
    <v>11</v>
    <v>Wellesley, Massachusetts</v>
    <v>mdp/vdpid/5488160508911550465</v>
  </rv>
  <rv s="0">
    <v>536870912</v>
    <v>Paris</v>
    <v>85584d24-2116-5b98-89f9-5714db931ac6</v>
    <v>en-US</v>
    <v>Map</v>
  </rv>
  <rv s="0">
    <v>536870912</v>
    <v>Metropolitan France</v>
    <v>a50a7b3c-58a6-b52d-98d1-10a1a763403b</v>
    <v>en-US</v>
    <v>Map</v>
  </rv>
  <rv s="0">
    <v>536870912</v>
    <v>Île-de-France</v>
    <v>ba200862-fc37-6d22-3434-c6e709faa507</v>
    <v>en-US</v>
    <v>Map</v>
  </rv>
  <rv s="1">
    <fb>105.4</fb>
    <v>8</v>
  </rv>
  <rv s="0">
    <v>536870912</v>
    <v>France</v>
    <v>c7bfe2de-4f82-e23c-ae42-8544b5b5c0ea</v>
    <v>en-US</v>
    <v>Map</v>
  </rv>
  <rv s="2">
    <v>46</v>
    <v>6</v>
    <v>221</v>
    <v>7</v>
    <v>0</v>
    <v>Image of Paris</v>
  </rv>
  <rv s="1">
    <fb>48.856666666666698</fb>
    <v>9</v>
  </rv>
  <rv s="0">
    <v>805306368</v>
    <v>Anne Hidalgo (Mayor)</v>
    <v>f26212ed-b25d-e4f8-ecf0-85777b9d38cf</v>
    <v>en-US</v>
    <v>Generic</v>
  </rv>
  <rv s="3">
    <v>68</v>
  </rv>
  <rv s="4">
    <v>https://www.bing.com/search?q=paris+france&amp;form=skydnc</v>
    <v>Learn more on Bing</v>
  </rv>
  <rv s="1">
    <fb>2.35222222222222</fb>
    <v>9</v>
  </rv>
  <rv s="1">
    <fb>2048472</fb>
    <v>8</v>
  </rv>
  <rv s="8">
    <v>#VALUE!</v>
    <v>en-US</v>
    <v>85584d24-2116-5b98-89f9-5714db931ac6</v>
    <v>536870912</v>
    <v>1</v>
    <v>222</v>
    <v>46</v>
    <v>Paris</v>
    <v>4</v>
    <v>5</v>
    <v>Map</v>
    <v>6</v>
    <v>223</v>
    <v>1260</v>
    <v>1261</v>
    <v>1262</v>
    <v>1263</v>
    <v>Paris is the capital and largest city of France. With an estimated population of 2,048,472 residents in January 2025 in an area of more than 105 km², Paris is the fourth-most populous city in the European Union, the ninth-most populous city in ...</v>
    <v>1264</v>
    <v>1265</v>
    <v>1267</v>
    <v>1268</v>
    <v>1269</v>
    <v>Paris</v>
    <v>1270</v>
    <v>1082</v>
    <v>Paris</v>
    <v>mdp/vdpid/7012570570818584578</v>
  </rv>
  <rv s="1">
    <fb>0.524475441661716</fb>
    <v>19</v>
  </rv>
  <rv s="1">
    <fb>643801</fb>
    <v>8</v>
  </rv>
  <rv s="1">
    <fb>307000</fb>
    <v>8</v>
  </rv>
  <rv s="1">
    <fb>11.3</fb>
    <v>18</v>
  </rv>
  <rv s="1">
    <fb>33</fb>
    <v>39</v>
  </rv>
  <rv s="1">
    <fb>303275.56800000003</fb>
    <v>8</v>
  </rv>
  <rv s="1">
    <fb>110.04856675289</fb>
    <v>40</v>
  </rv>
  <rv s="1">
    <fb>1.1082549228829199E-2</fb>
    <v>19</v>
  </rv>
  <rv s="1">
    <fb>6939.5214736692897</fb>
    <v>8</v>
  </rv>
  <rv s="1">
    <fb>1.88</fb>
    <v>18</v>
  </rv>
  <rv s="1">
    <fb>0.31233278442262596</fb>
    <v>19</v>
  </rv>
  <rv s="1">
    <fb>46.487970872236403</fb>
    <v>41</v>
  </rv>
  <rv s="1">
    <fb>1.39</fb>
    <v>42</v>
  </rv>
  <rv s="1">
    <fb>2715518274227.4502</fb>
    <v>17</v>
  </rv>
  <rv s="1">
    <fb>1.0251076000000001</fb>
    <v>19</v>
  </rv>
  <rv s="1">
    <fb>0.65629000000000004</fb>
    <v>19</v>
  </rv>
  <rv s="2">
    <v>47</v>
    <v>6</v>
    <v>225</v>
    <v>7</v>
    <v>0</v>
    <v>Image of France</v>
  </rv>
  <rv s="1">
    <fb>3.4</fb>
    <v>41</v>
  </rv>
  <rv s="0">
    <v>805306368</v>
    <v>Emmanuel Macron (President)</v>
    <v>35be5a56-7a78-6352-b158-60da8f84c858</v>
    <v>en-US</v>
    <v>Generic</v>
  </rv>
  <rv s="0">
    <v>805306368</v>
    <v>François Bayrou (Prime minister)</v>
    <v>901a2dc7-aad0-c6da-f219-c2d7def8acba</v>
    <v>en-US</v>
    <v>Generic</v>
  </rv>
  <rv s="3">
    <v>69</v>
  </rv>
  <rv s="4">
    <v>https://www.bing.com/search?q=france&amp;form=skydnc</v>
    <v>Learn more on Bing</v>
  </rv>
  <rv s="1">
    <fb>82.526829268292701</fb>
    <v>41</v>
  </rv>
  <rv s="1">
    <fb>2365950236659.3599</fb>
    <v>17</v>
  </rv>
  <rv s="1">
    <fb>8</fb>
    <v>41</v>
  </rv>
  <rv s="1">
    <fb>11.16</fb>
    <v>42</v>
  </rv>
  <rv s="3">
    <v>70</v>
  </rv>
  <rv s="1">
    <fb>6.7968269799999995E-2</fb>
    <v>19</v>
  </rv>
  <rv s="1">
    <fb>3.2671999999999999</fb>
    <v>18</v>
  </rv>
  <rv s="1">
    <fb>67749632</fb>
    <v>8</v>
  </rv>
  <rv s="1">
    <fb>0.21899999999999997</fb>
    <v>19</v>
  </rv>
  <rv s="1">
    <fb>0.4</fb>
    <v>19</v>
  </rv>
  <rv s="1">
    <fb>0.55125999450683605</fb>
    <v>19</v>
  </rv>
  <rv s="0">
    <v>536870912</v>
    <v>Brittany</v>
    <v>809fb739-638d-2499-95bd-c8e5b10153ee</v>
    <v>en-US</v>
    <v>Map</v>
  </rv>
  <rv s="0">
    <v>536870912</v>
    <v>Centre-Val de Loire</v>
    <v>6aafd8c4-aba3-0388-62a3-d302e77f40c4</v>
    <v>en-US</v>
    <v>Map</v>
  </rv>
  <rv s="0">
    <v>536870912</v>
    <v>Corsica</v>
    <v>7dae6ff4-03ba-2162-da4b-d4cf544ad43f</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71</v>
  </rv>
  <rv s="1">
    <fb>0.24229980509910898</fb>
    <v>19</v>
  </rv>
  <rv s="3">
    <v>72</v>
  </rv>
  <rv s="1">
    <fb>0.60699999999999998</fb>
    <v>19</v>
  </rv>
  <rv s="1">
    <fb>8.4270000457763714E-2</fb>
    <v>43</v>
  </rv>
  <rv s="1">
    <fb>54123364</fb>
    <v>8</v>
  </rv>
  <rv s="7">
    <v>#VALUE!</v>
    <v>en-US</v>
    <v>c7bfe2de-4f82-e23c-ae42-8544b5b5c0ea</v>
    <v>536870912</v>
    <v>1</v>
    <v>228</v>
    <v>37</v>
    <v>France</v>
    <v>4</v>
    <v>5</v>
    <v>Map</v>
    <v>6</v>
    <v>229</v>
    <v>FR</v>
    <v>1272</v>
    <v>1273</v>
    <v>1274</v>
    <v>1275</v>
    <v>1276</v>
    <v>1259</v>
    <v>1277</v>
    <v>1278</v>
    <v>1279</v>
    <v>EUR</v>
    <v>France, officially the French Republic, is a country located primarily in Western Europe. Its overseas regions and territories include French Guiana in South America, Saint Pierre and Miquelon in the North Atlantic, the French West Indies, and ...</v>
    <v>1280</v>
    <v>1281</v>
    <v>1282</v>
    <v>1283</v>
    <v>1284</v>
    <v>1285</v>
    <v>1286</v>
    <v>1287</v>
    <v>1288</v>
    <v>1289</v>
    <v>1259</v>
    <v>1292</v>
    <v>1293</v>
    <v>1294</v>
    <v>1295</v>
    <v>1296</v>
    <v>1297</v>
    <v>France</v>
    <v>La Marseillaise</v>
    <v>1298</v>
    <v>République française</v>
    <v>1299</v>
    <v>1300</v>
    <v>1301</v>
    <v>1302</v>
    <v>783</v>
    <v>1303</v>
    <v>311</v>
    <v>836</v>
    <v>309</v>
    <v>433</v>
    <v>1304</v>
    <v>1329</v>
    <v>1330</v>
    <v>1331</v>
    <v>1332</v>
    <v>1333</v>
    <v>France</v>
    <v>1334</v>
    <v>mdp/vdpid/84</v>
  </rv>
  <rv s="0">
    <v>536870912</v>
    <v>Santiago</v>
    <v>190dd277-52dd-5feb-5523-200c59886f8e</v>
    <v>en-US</v>
    <v>Map</v>
  </rv>
  <rv s="0">
    <v>536870912</v>
    <v>Santiago Metropolitan Region</v>
    <v>593b7d08-69b9-06ed-9b5c-adea6868ff88</v>
    <v>en-US</v>
    <v>Map</v>
  </rv>
  <rv s="1">
    <fb>837.89</fb>
    <v>8</v>
  </rv>
  <rv s="0">
    <v>536870912</v>
    <v>Chile</v>
    <v>604665af-d1f4-5c64-9b93-1ef5f0471308</v>
    <v>en-US</v>
    <v>Map</v>
  </rv>
  <rv s="2">
    <v>48</v>
    <v>6</v>
    <v>230</v>
    <v>7</v>
    <v>0</v>
    <v>Image of Santiago</v>
  </rv>
  <rv s="1">
    <fb>-33.4375</fb>
    <v>9</v>
  </rv>
  <rv s="0">
    <v>805306368</v>
    <v>Claudio Orrego (Governor)</v>
    <v>8d69da3a-7203-a1bd-c4ba-cdb5b8619732</v>
    <v>en-US</v>
    <v>Generic</v>
  </rv>
  <rv s="3">
    <v>73</v>
  </rv>
  <rv s="4">
    <v>https://www.bing.com/search?q=santiago+chile&amp;form=skydnc</v>
    <v>Learn more on Bing</v>
  </rv>
  <rv s="1">
    <fb>-70.650000000000006</fb>
    <v>9</v>
  </rv>
  <rv s="1">
    <fb>6257516</fb>
    <v>8</v>
  </rv>
  <rv s="17">
    <v>#VALUE!</v>
    <v>en-US</v>
    <v>190dd277-52dd-5feb-5523-200c59886f8e</v>
    <v>536870912</v>
    <v>1</v>
    <v>231</v>
    <v>232</v>
    <v>Santiago</v>
    <v>4</v>
    <v>5</v>
    <v>Map</v>
    <v>6</v>
    <v>233</v>
    <v>1337</v>
    <v>1337</v>
    <v>1338</v>
    <v>1339</v>
    <v>Santiago, also known as Santiago de Chile, is the capital and largest city of Chile and one of the largest cities in the Americas. It is located in the country's central valley and is the center of the Santiago Metropolitan Region, which has a ...</v>
    <v>1340</v>
    <v>1341</v>
    <v>1343</v>
    <v>1344</v>
    <v>1345</v>
    <v>Santiago</v>
    <v>1346</v>
    <v>Santiago</v>
    <v>mdp/vdpid/6430568610371993606</v>
  </rv>
  <rv s="1">
    <fb>0.21171649832251302</fb>
    <v>19</v>
  </rv>
  <rv s="1">
    <fb>756102</fb>
    <v>8</v>
  </rv>
  <rv s="1">
    <fb>122000</fb>
    <v>8</v>
  </rv>
  <rv s="1">
    <fb>12.428000000000001</fb>
    <v>18</v>
  </rv>
  <rv s="1">
    <fb>56</fb>
    <v>39</v>
  </rv>
  <rv s="1">
    <fb>85822.467999999993</fb>
    <v>8</v>
  </rv>
  <rv s="1">
    <fb>131.913566974844</fb>
    <v>40</v>
  </rv>
  <rv s="1">
    <fb>2.55754475703323E-2</fb>
    <v>19</v>
  </rv>
  <rv s="1">
    <fb>3879.6756048594998</fb>
    <v>8</v>
  </rv>
  <rv s="1">
    <fb>1.649</fb>
    <v>18</v>
  </rv>
  <rv s="1">
    <fb>0.24256925086238501</fb>
    <v>19</v>
  </rv>
  <rv s="1">
    <fb>74.647212262567805</fb>
    <v>41</v>
  </rv>
  <rv s="1">
    <fb>1.03</fb>
    <v>42</v>
  </rv>
  <rv s="1">
    <fb>282318159744.65002</fb>
    <v>17</v>
  </rv>
  <rv s="1">
    <fb>1.0143016</fb>
    <v>19</v>
  </rv>
  <rv s="1">
    <fb>0.88464419999999999</fb>
    <v>19</v>
  </rv>
  <rv s="2">
    <v>49</v>
    <v>6</v>
    <v>235</v>
    <v>7</v>
    <v>0</v>
    <v>Image of Chile</v>
  </rv>
  <rv s="1">
    <fb>6.2</fb>
    <v>41</v>
  </rv>
  <rv s="0">
    <v>805306368</v>
    <v>Gabriel Boric (President)</v>
    <v>a5b9649e-0dda-ce69-dd77-b90d92799948</v>
    <v>en-US</v>
    <v>Generic</v>
  </rv>
  <rv s="3">
    <v>74</v>
  </rv>
  <rv s="4">
    <v>https://www.bing.com/search?q=chile&amp;form=skydnc</v>
    <v>Learn more on Bing</v>
  </rv>
  <rv s="1">
    <fb>80.042000000000002</fb>
    <v>41</v>
  </rv>
  <rv s="1">
    <fb>203791650000</fb>
    <v>17</v>
  </rv>
  <rv s="1">
    <fb>13</fb>
    <v>41</v>
  </rv>
  <rv s="1">
    <fb>2</fb>
    <v>42</v>
  </rv>
  <rv s="1">
    <fb>0.32240714050000002</fb>
    <v>19</v>
  </rv>
  <rv s="1">
    <fb>2.5912000000000002</fb>
    <v>18</v>
  </rv>
  <rv s="1">
    <fb>19603733</fb>
    <v>8</v>
  </rv>
  <rv s="1">
    <fb>0.51300000000000001</fb>
    <v>19</v>
  </rv>
  <rv s="1">
    <fb>9.6999999999999989E-2</fb>
    <v>19</v>
  </rv>
  <rv s="1">
    <fb>0.13600000000000001</fb>
    <v>19</v>
  </rv>
  <rv s="1">
    <fb>0.62644001007080097</fb>
    <v>19</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3">
    <v>75</v>
  </rv>
  <rv s="1">
    <fb>0.182194149378896</fb>
    <v>19</v>
  </rv>
  <rv s="3">
    <v>76</v>
  </rv>
  <rv s="1">
    <fb>0.34</fb>
    <v>19</v>
  </rv>
  <rv s="1">
    <fb>7.09000015258789E-2</fb>
    <v>43</v>
  </rv>
  <rv s="1">
    <fb>16610135</fb>
    <v>8</v>
  </rv>
  <rv s="7">
    <v>#VALUE!</v>
    <v>en-US</v>
    <v>604665af-d1f4-5c64-9b93-1ef5f0471308</v>
    <v>536870912</v>
    <v>1</v>
    <v>238</v>
    <v>37</v>
    <v>Chile</v>
    <v>4</v>
    <v>5</v>
    <v>Map</v>
    <v>6</v>
    <v>239</v>
    <v>CL</v>
    <v>1348</v>
    <v>1349</v>
    <v>1350</v>
    <v>1351</v>
    <v>1352</v>
    <v>1336</v>
    <v>1353</v>
    <v>1354</v>
    <v>1355</v>
    <v>CLF</v>
    <v>Chile, officially the Republic of Chile, is a country in western South America. It is the southernmost country in the world and the closest to Antarctica, stretching along a narrow strip of land between the Andes Mountains and the Pacific Ocean. ...</v>
    <v>1356</v>
    <v>1357</v>
    <v>1358</v>
    <v>1359</v>
    <v>1360</v>
    <v>1361</v>
    <v>1362</v>
    <v>1363</v>
    <v>1364</v>
    <v>1365</v>
    <v>1336</v>
    <v>1367</v>
    <v>1368</v>
    <v>1369</v>
    <v>1370</v>
    <v>1371</v>
    <v>1372</v>
    <v>Chile</v>
    <v>National Anthem of Chile</v>
    <v>1111</v>
    <v>Chile</v>
    <v>1373</v>
    <v>1374</v>
    <v>1375</v>
    <v>375</v>
    <v>906</v>
    <v>1376</v>
    <v>516</v>
    <v>546</v>
    <v>1377</v>
    <v>1378</v>
    <v>1379</v>
    <v>1394</v>
    <v>1395</v>
    <v>1396</v>
    <v>1397</v>
    <v>1398</v>
    <v>Chile</v>
    <v>1399</v>
    <v>mdp/vdpid/46</v>
  </rv>
  <rv s="0">
    <v>536870912</v>
    <v>Netherlands</v>
    <v>bf5c1a4b-df0b-09dc-dce0-e3fb0c898dd3</v>
    <v>en-US</v>
    <v>Map</v>
  </rv>
  <rv s="1">
    <fb>0.53309587414663095</fb>
    <v>19</v>
  </rv>
  <rv s="1">
    <fb>37378</fb>
    <v>8</v>
  </rv>
  <rv s="1">
    <fb>41000</fb>
    <v>8</v>
  </rv>
  <rv s="1">
    <fb>9.6999999999999993</fb>
    <v>18</v>
  </rv>
  <rv s="1">
    <fb>31</fb>
    <v>39</v>
  </rv>
  <rv s="0">
    <v>536870912</v>
    <v>Amsterdam</v>
    <v>0b840501-8599-9528-5b22-13589caf205a</v>
    <v>en-US</v>
    <v>Map</v>
  </rv>
  <rv s="1">
    <fb>170779.524</fb>
    <v>8</v>
  </rv>
  <rv s="1">
    <fb>115.907994941178</fb>
    <v>40</v>
  </rv>
  <rv s="1">
    <fb>2.6336991024959299E-2</fb>
    <v>19</v>
  </rv>
  <rv s="1">
    <fb>6712.7747582450002</fb>
    <v>8</v>
  </rv>
  <rv s="1">
    <fb>1.59</fb>
    <v>18</v>
  </rv>
  <rv s="1">
    <fb>0.11178391395177099</fb>
    <v>19</v>
  </rv>
  <rv s="1">
    <fb>93.461004609605595</fb>
    <v>41</v>
  </rv>
  <rv s="1">
    <fb>1.68</fb>
    <v>42</v>
  </rv>
  <rv s="1">
    <fb>909070395160.78296</fb>
    <v>17</v>
  </rv>
  <rv s="1">
    <fb>1.0422962</fb>
    <v>19</v>
  </rv>
  <rv s="1">
    <fb>0.84980450000000007</fb>
    <v>19</v>
  </rv>
  <rv s="2">
    <v>50</v>
    <v>6</v>
    <v>241</v>
    <v>7</v>
    <v>0</v>
    <v>Image of Netherlands</v>
  </rv>
  <rv s="1">
    <fb>3.3</fb>
    <v>41</v>
  </rv>
  <rv s="0">
    <v>805306368</v>
    <v>Willem-Alexander of the Netherlands (Monarch)</v>
    <v>70912573-f10f-4d1d-a8f8-220566451e74</v>
    <v>en-US</v>
    <v>Generic</v>
  </rv>
  <rv s="0">
    <v>805306368</v>
    <v>Dick Schoof (Prime minister)</v>
    <v>f233de31-7c15-bae6-4524-fea7e2b4af68</v>
    <v>en-US</v>
    <v>Generic</v>
  </rv>
  <rv s="3">
    <v>77</v>
  </rv>
  <rv s="4">
    <v>https://www.bing.com/search?q=netherlands&amp;form=skydnc</v>
    <v>Learn more on Bing</v>
  </rv>
  <rv s="1">
    <fb>81.760975609756102</fb>
    <v>41</v>
  </rv>
  <rv s="1">
    <fb>1100105440292.49</fb>
    <v>17</v>
  </rv>
  <rv s="1">
    <fb>10.29</fb>
    <v>42</v>
  </rv>
  <rv s="3">
    <v>78</v>
  </rv>
  <rv s="1">
    <fb>0.1225176999</fb>
    <v>19</v>
  </rv>
  <rv s="1">
    <fb>3.6053999999999999</fb>
    <v>18</v>
  </rv>
  <rv s="1">
    <fb>17942942</fb>
    <v>8</v>
  </rv>
  <rv s="1">
    <fb>0.13800000000000001</fb>
    <v>19</v>
  </rv>
  <rv s="1">
    <fb>0.17499999999999999</fb>
    <v>19</v>
  </rv>
  <rv s="1">
    <fb>0.63619998931884802</fb>
    <v>19</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79</v>
  </rv>
  <rv s="1">
    <fb>0.230359193787393</fb>
    <v>19</v>
  </rv>
  <rv s="3">
    <v>80</v>
  </rv>
  <rv s="1">
    <fb>0.41200000000000003</fb>
    <v>19</v>
  </rv>
  <rv s="1">
    <fb>3.1960000991821301E-2</fb>
    <v>43</v>
  </rv>
  <rv s="1">
    <fb>15924729</fb>
    <v>8</v>
  </rv>
  <rv s="7">
    <v>#VALUE!</v>
    <v>en-US</v>
    <v>bf5c1a4b-df0b-09dc-dce0-e3fb0c898dd3</v>
    <v>536870912</v>
    <v>1</v>
    <v>244</v>
    <v>37</v>
    <v>Netherlands</v>
    <v>4</v>
    <v>5</v>
    <v>Map</v>
    <v>6</v>
    <v>245</v>
    <v>NL</v>
    <v>1402</v>
    <v>1403</v>
    <v>1404</v>
    <v>1405</v>
    <v>1406</v>
    <v>1407</v>
    <v>1408</v>
    <v>1409</v>
    <v>1410</v>
    <v>EUR</v>
    <v>The Netherlands, informally Holland, is a country in Northwestern Europe, with overseas territories in the Caribbean. It is the largest of the four constituent countries of the Kingdom of the Netherlands. The Netherlands consists of twelve ...</v>
    <v>1411</v>
    <v>1412</v>
    <v>1413</v>
    <v>1414</v>
    <v>1415</v>
    <v>1416</v>
    <v>1417</v>
    <v>1418</v>
    <v>1419</v>
    <v>1420</v>
    <v>1407</v>
    <v>1423</v>
    <v>1424</v>
    <v>1425</v>
    <v>1426</v>
    <v>1179</v>
    <v>1427</v>
    <v>Netherlands</v>
    <v>Wilhelmus</v>
    <v>1428</v>
    <v>Nederland</v>
    <v>1429</v>
    <v>1430</v>
    <v>1431</v>
    <v>786</v>
    <v>287</v>
    <v>344</v>
    <v>457</v>
    <v>33</v>
    <v>1432</v>
    <v>1433</v>
    <v>1434</v>
    <v>1449</v>
    <v>1450</v>
    <v>1451</v>
    <v>1452</v>
    <v>1453</v>
    <v>Netherlands</v>
    <v>1454</v>
    <v>mdp/vdpid/176</v>
  </rv>
  <rv s="0">
    <v>536870912</v>
    <v>Poughkeepsie, New York</v>
    <v>2a4bc2e3-5cc2-1557-a5e7-b0e789fd18a3</v>
    <v>en-US</v>
    <v>Map</v>
  </rv>
  <rv s="0">
    <v>536870912</v>
    <v>Dutchess County, New York</v>
    <v>7bcb4d8c-9bd2-bcd5-14a6-b1159624d83f</v>
    <v>en-US</v>
    <v>Map</v>
  </rv>
  <rv s="1">
    <fb>14.811698</fb>
    <v>8</v>
  </rv>
  <rv s="2">
    <v>51</v>
    <v>6</v>
    <v>246</v>
    <v>7</v>
    <v>0</v>
    <v>Image of Poughkeepsie, New York</v>
  </rv>
  <rv s="1">
    <fb>41.705277777778001</fb>
    <v>9</v>
  </rv>
  <rv s="0">
    <v>805306368</v>
    <v>Yvonne Flowers (Mayor)</v>
    <v>7665faed-13c6-9f2e-5a00-a7d9a2570e34</v>
    <v>en-US</v>
    <v>Generic</v>
  </rv>
  <rv s="3">
    <v>81</v>
  </rv>
  <rv s="4">
    <v>https://www.bing.com/search?q=poughkeepsie+new+york&amp;form=skydnc</v>
    <v>Learn more on Bing</v>
  </rv>
  <rv s="1">
    <fb>-73.930555555555998</fb>
    <v>9</v>
  </rv>
  <rv s="1">
    <fb>31577</fb>
    <v>8</v>
  </rv>
  <rv s="8">
    <v>#VALUE!</v>
    <v>en-US</v>
    <v>2a4bc2e3-5cc2-1557-a5e7-b0e789fd18a3</v>
    <v>536870912</v>
    <v>1</v>
    <v>247</v>
    <v>46</v>
    <v>Poughkeepsie, New York</v>
    <v>4</v>
    <v>5</v>
    <v>Map</v>
    <v>6</v>
    <v>7</v>
    <v>1</v>
    <v>1457</v>
    <v>1458</v>
    <v>940</v>
    <v>Poughkeepsie, officially the City of Poughkeepsie, which is separate from the Town of Poughkeepsie around it, is a city in the U.S. state of New York. It is the county seat of Dutchess County, with a 2020 census population of 31,577. ...</v>
    <v>1459</v>
    <v>1460</v>
    <v>1462</v>
    <v>1463</v>
    <v>1464</v>
    <v>Poughkeepsie, New York</v>
    <v>1465</v>
    <v>11</v>
    <v>Poughkeepsie, New York</v>
    <v>mdp/vdpid/5487244055920246785</v>
  </rv>
  <rv s="0">
    <v>536870912</v>
    <v>Barcelona</v>
    <v>d5173d0d-188f-c557-d46a-fbf1f89f03ce</v>
    <v>en-US</v>
    <v>Map</v>
  </rv>
  <rv s="0">
    <v>536870912</v>
    <v>Barcelona Province</v>
    <v>b2a3ae51-9710-d8d5-f226-e01e09478534</v>
    <v>en-US</v>
    <v>Map</v>
  </rv>
  <rv s="1">
    <fb>101.3</fb>
    <v>8</v>
  </rv>
  <rv s="2">
    <v>52</v>
    <v>6</v>
    <v>248</v>
    <v>7</v>
    <v>0</v>
    <v>Image of Barcelona</v>
  </rv>
  <rv s="1">
    <fb>41.3825</fb>
    <v>9</v>
  </rv>
  <rv s="0">
    <v>805306368</v>
    <v>Jaume Collboni (Mayor)</v>
    <v>fb505805-3540-2bdd-59af-416cc66976e3</v>
    <v>en-US</v>
    <v>Generic</v>
  </rv>
  <rv s="3">
    <v>82</v>
  </rv>
  <rv s="4">
    <v>https://www.bing.com/search?q=barcelona&amp;form=skydnc</v>
    <v>Learn more on Bing</v>
  </rv>
  <rv s="1">
    <fb>2.1769444444444002</fb>
    <v>9</v>
  </rv>
  <rv s="1">
    <fb>1660122</fb>
    <v>8</v>
  </rv>
  <rv s="14">
    <v>#VALUE!</v>
    <v>en-US</v>
    <v>d5173d0d-188f-c557-d46a-fbf1f89f03ce</v>
    <v>536870912</v>
    <v>1</v>
    <v>249</v>
    <v>206</v>
    <v>Barcelona</v>
    <v>4</v>
    <v>5</v>
    <v>Map</v>
    <v>6</v>
    <v>167</v>
    <v>1468</v>
    <v>1469</v>
    <v>1074</v>
    <v>Barcelona is a city on the northeastern coast of Spain. It is the capital and largest city of the autonomous community of Catalonia, as well as the second-most populous municipality of Spain. With a population of 1.6 million within city limits, ...</v>
    <v>1470</v>
    <v>1471</v>
    <v>1473</v>
    <v>1474</v>
    <v>1475</v>
    <v>Barcelona</v>
    <v>1476</v>
    <v>Barcelona</v>
    <v>mdp/vdpid/7207108388495294465</v>
  </rv>
  <rv s="0">
    <v>536870912</v>
    <v>Hanover</v>
    <v>8cbec06b-1881-ae51-6d9c-230e82b37dd8</v>
    <v>en-US</v>
    <v>Map</v>
  </rv>
  <rv s="0">
    <v>536870912</v>
    <v>Lower Saxony</v>
    <v>c91589e2-9db8-e9f2-b60d-1000c3502bc2</v>
    <v>en-US</v>
    <v>Map</v>
  </rv>
  <rv s="0">
    <v>536870912</v>
    <v>Hanover Region</v>
    <v>72426456-eb5d-447a-a76c-c0a66928509f</v>
    <v>en-US</v>
    <v>Map</v>
  </rv>
  <rv s="1">
    <fb>204.15</fb>
    <v>8</v>
  </rv>
  <rv s="0">
    <v>536870912</v>
    <v>Germany</v>
    <v>75c62d8e-1449-4e4d-b188-d9e88f878dd9</v>
    <v>en-US</v>
    <v>Map</v>
  </rv>
  <rv s="2">
    <v>53</v>
    <v>6</v>
    <v>250</v>
    <v>7</v>
    <v>0</v>
    <v>Image of Hanover</v>
  </rv>
  <rv s="1">
    <fb>52.374444444444002</fb>
    <v>9</v>
  </rv>
  <rv s="0">
    <v>805306368</v>
    <v>Belit Onay (Mayor)</v>
    <v>badae67f-fa74-405c-8aad-0b862c2cb5bd</v>
    <v>en-US</v>
    <v>Generic</v>
  </rv>
  <rv s="3">
    <v>83</v>
  </rv>
  <rv s="4">
    <v>https://www.bing.com/search?q=hanover+germany&amp;form=skydnc</v>
    <v>Learn more on Bing</v>
  </rv>
  <rv s="1">
    <fb>9.7386111111110996</fb>
    <v>9</v>
  </rv>
  <rv s="1">
    <fb>545045</fb>
    <v>8</v>
  </rv>
  <rv s="8">
    <v>#VALUE!</v>
    <v>en-US</v>
    <v>8cbec06b-1881-ae51-6d9c-230e82b37dd8</v>
    <v>536870912</v>
    <v>1</v>
    <v>251</v>
    <v>46</v>
    <v>Hanover</v>
    <v>4</v>
    <v>5</v>
    <v>Map</v>
    <v>6</v>
    <v>252</v>
    <v>1479</v>
    <v>1480</v>
    <v>1481</v>
    <v>1482</v>
    <v>Hanover is the capital and largest city of the German state of Lower Saxony. Its population of 535,932 makes it the 13th-largest city in Germany as well as the fourth-largest in northern Germany after Berlin, Hamburg and Bremen. Hanover's urban ...</v>
    <v>1483</v>
    <v>1484</v>
    <v>1486</v>
    <v>1487</v>
    <v>1488</v>
    <v>Hanover</v>
    <v>1489</v>
    <v>1082</v>
    <v>Hanover</v>
    <v>mdp/vdpid/7011770605024313347</v>
  </rv>
  <rv s="1">
    <fb>0.47678612319670299</fb>
    <v>19</v>
  </rv>
  <rv s="1">
    <fb>357587.77</fb>
    <v>8</v>
  </rv>
  <rv s="1">
    <fb>180000</fb>
    <v>8</v>
  </rv>
  <rv s="1">
    <fb>9.5</fb>
    <v>18</v>
  </rv>
  <rv s="1">
    <fb>49</fb>
    <v>39</v>
  </rv>
  <rv s="0">
    <v>536870912</v>
    <v>Berlin</v>
    <v>42784943-7c23-7672-5527-06f89b965cdf</v>
    <v>en-US</v>
    <v>Map</v>
  </rv>
  <rv s="1">
    <fb>727972.84</fb>
    <v>8</v>
  </rv>
  <rv s="1">
    <fb>112.854887342124</fb>
    <v>40</v>
  </rv>
  <rv s="1">
    <fb>1.4456670146976E-2</fb>
    <v>19</v>
  </rv>
  <rv s="1">
    <fb>7035.4829747167596</fb>
    <v>8</v>
  </rv>
  <rv s="1">
    <fb>1.56</fb>
    <v>18</v>
  </rv>
  <rv s="1">
    <fb>0.326912067781085</fb>
    <v>19</v>
  </rv>
  <rv s="1">
    <fb>78.862551056754995</fb>
    <v>41</v>
  </rv>
  <rv s="1">
    <fb>3845630030823.52</fb>
    <v>17</v>
  </rv>
  <rv s="1">
    <fb>1.0402236</fb>
    <v>19</v>
  </rv>
  <rv s="1">
    <fb>0.70246649999999999</fb>
    <v>19</v>
  </rv>
  <rv s="2">
    <v>54</v>
    <v>6</v>
    <v>254</v>
    <v>7</v>
    <v>0</v>
    <v>Image of Germany</v>
  </rv>
  <rv s="1">
    <fb>3.1</fb>
    <v>41</v>
  </rv>
  <rv s="0">
    <v>805306368</v>
    <v>Frank-Walter Steinmeier (President)</v>
    <v>a6d595f9-116c-57de-2b35-48e9bde9f83d</v>
    <v>en-US</v>
    <v>Generic</v>
  </rv>
  <rv s="0">
    <v>805306368</v>
    <v>Olaf Scholz (Chancellor)</v>
    <v>d327207b-5560-1fae-17a8-4bc95203ea8e</v>
    <v>en-US</v>
    <v>Generic</v>
  </rv>
  <rv s="3">
    <v>84</v>
  </rv>
  <rv s="4">
    <v>https://www.bing.com/search?q=germany&amp;form=skydnc</v>
    <v>Learn more on Bing</v>
  </rv>
  <rv s="1">
    <fb>80.892682926829295</fb>
    <v>41</v>
  </rv>
  <rv s="1">
    <fb>2098173930000</fb>
    <v>17</v>
  </rv>
  <rv s="1">
    <fb>7</fb>
    <v>41</v>
  </rv>
  <rv s="1">
    <fb>9.99</fb>
    <v>42</v>
  </rv>
  <rv s="3">
    <v>85</v>
  </rv>
  <rv s="1">
    <fb>0.12528421940000001</fb>
    <v>19</v>
  </rv>
  <rv s="1">
    <fb>4.2488000000000001</fb>
    <v>18</v>
  </rv>
  <rv s="1">
    <fb>84079811</fb>
    <v>8</v>
  </rv>
  <rv s="1">
    <fb>0.39600000000000002</fb>
    <v>19</v>
  </rv>
  <rv s="1">
    <fb>7.5999999999999998E-2</fb>
    <v>19</v>
  </rv>
  <rv s="1">
    <fb>0.60811000823974604</fb>
    <v>19</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86</v>
  </rv>
  <rv s="1">
    <fb>0.11505903952014901</fb>
    <v>19</v>
  </rv>
  <rv s="1">
    <fb>0.48799999999999999</fb>
    <v>19</v>
  </rv>
  <rv s="1">
    <fb>3.0429999828338602E-2</fb>
    <v>43</v>
  </rv>
  <rv s="1">
    <fb>64324835</fb>
    <v>8</v>
  </rv>
  <rv s="7">
    <v>#VALUE!</v>
    <v>en-US</v>
    <v>75c62d8e-1449-4e4d-b188-d9e88f878dd9</v>
    <v>536870912</v>
    <v>1</v>
    <v>257</v>
    <v>37</v>
    <v>Germany</v>
    <v>4</v>
    <v>5</v>
    <v>Map</v>
    <v>6</v>
    <v>258</v>
    <v>DE</v>
    <v>1491</v>
    <v>1492</v>
    <v>1493</v>
    <v>1494</v>
    <v>1495</v>
    <v>1496</v>
    <v>1497</v>
    <v>1498</v>
    <v>1499</v>
    <v>EUR</v>
    <v>Germany, officially the Federal Republic of Germany, is a country in Central Europe. It lies between the Baltic and North Sea to the north and the Alps to the south. Its sixteen constituent states have a total population of over 82 million in an ...</v>
    <v>1500</v>
    <v>1501</v>
    <v>1502</v>
    <v>1503</v>
    <v>1284</v>
    <v>1504</v>
    <v>1505</v>
    <v>1506</v>
    <v>1507</v>
    <v>1508</v>
    <v>1496</v>
    <v>1511</v>
    <v>1512</v>
    <v>1513</v>
    <v>1514</v>
    <v>1515</v>
    <v>1516</v>
    <v>Germany</v>
    <v>National Anthem of Germany</v>
    <v>1517</v>
    <v>Bundesrepublik Deutschland</v>
    <v>1518</v>
    <v>1519</v>
    <v>1520</v>
    <v>681</v>
    <v>732</v>
    <v>1521</v>
    <v>317</v>
    <v>1522</v>
    <v>401</v>
    <v>807</v>
    <v>1523</v>
    <v>1537</v>
    <v>1538</v>
    <v>1082</v>
    <v>1539</v>
    <v>1540</v>
    <v>Germany</v>
    <v>1541</v>
    <v>mdp/vdpid/94</v>
  </rv>
  <rv s="1">
    <fb>891.12</fb>
    <v>8</v>
  </rv>
  <rv s="1">
    <fb>1794936</fb>
    <v>8</v>
  </rv>
  <rv s="1">
    <fb>1868905</fb>
    <v>8</v>
  </rv>
  <rv s="2">
    <v>55</v>
    <v>6</v>
    <v>259</v>
    <v>7</v>
    <v>0</v>
    <v>Image of Berlin</v>
  </rv>
  <rv s="0">
    <v>805306368</v>
    <v>Franziska Giffey (Mayor)</v>
    <v>0f36a115-cd69-74b0-1ad8-5ee6074d7916</v>
    <v>en-US</v>
    <v>Generic</v>
  </rv>
  <rv s="3">
    <v>87</v>
  </rv>
  <rv s="4">
    <v>https://www.bing.com/search?q=berlin+germany&amp;form=skydnc</v>
    <v>Learn more on Bing</v>
  </rv>
  <rv s="1">
    <fb>1.83</fb>
    <v>18</v>
  </rv>
  <rv s="1">
    <fb>3755251</fb>
    <v>8</v>
  </rv>
  <rv s="18">
    <v>#VALUE!</v>
    <v>en-US</v>
    <v>42784943-7c23-7672-5527-06f89b965cdf</v>
    <v>536870912</v>
    <v>1</v>
    <v>262</v>
    <v>263</v>
    <v>Berlin</v>
    <v>4</v>
    <v>5</v>
    <v>Map</v>
    <v>6</v>
    <v>264</v>
    <v>DE-BE</v>
    <v>1543</v>
    <v>1482</v>
    <v>Berlin is the capital and largest city of Germany by both area and by population. Its more than 3.85 million inhabitants make it the European Union's most populous city, according to population within city limits. Simultaneously, the city is one ...</v>
    <v>1544</v>
    <v>1545</v>
    <v>1546</v>
    <v>1548</v>
    <v>1549</v>
    <v>Berlin</v>
    <v>1517</v>
    <v>1550</v>
    <v>1551</v>
    <v>Berlin</v>
    <v>mdp/vdpid/7017957146650214401</v>
  </rv>
  <rv s="0">
    <v>536870912</v>
    <v>College Station, Texas</v>
    <v>b2094016-bb67-474f-80d3-22fdfcee1175</v>
    <v>en-US</v>
    <v>Map</v>
  </rv>
  <rv s="0">
    <v>536870912</v>
    <v>Brazos County</v>
    <v>d3d68b68-2350-fe52-ee1a-1d3159b7dbff</v>
    <v>en-US</v>
    <v>Map</v>
  </rv>
  <rv s="1">
    <fb>132.44009399999999</fb>
    <v>8</v>
  </rv>
  <rv s="2">
    <v>56</v>
    <v>6</v>
    <v>265</v>
    <v>7</v>
    <v>0</v>
    <v>Image of College Station, Texas</v>
  </rv>
  <rv s="1">
    <fb>30.601388888889002</fb>
    <v>9</v>
  </rv>
  <rv s="0">
    <v>805306368</v>
    <v>John Nichols (Mayor)</v>
    <v>8aefaab9-eda5-951c-97b0-ef950d040107</v>
    <v>en-US</v>
    <v>Generic</v>
  </rv>
  <rv s="3">
    <v>88</v>
  </rv>
  <rv s="4">
    <v>https://www.bing.com/search?q=college+station+texas&amp;form=skydnc</v>
    <v>Learn more on Bing</v>
  </rv>
  <rv s="1">
    <fb>-96.314444444444007</fb>
    <v>9</v>
  </rv>
  <rv s="1">
    <fb>120511</fb>
    <v>8</v>
  </rv>
  <rv s="17">
    <v>#VALUE!</v>
    <v>en-US</v>
    <v>b2094016-bb67-474f-80d3-22fdfcee1175</v>
    <v>536870912</v>
    <v>1</v>
    <v>266</v>
    <v>232</v>
    <v>College Station, Texas</v>
    <v>4</v>
    <v>5</v>
    <v>Map</v>
    <v>6</v>
    <v>7</v>
    <v>129</v>
    <v>1554</v>
    <v>1555</v>
    <v>3</v>
    <v>College Station is a city in Brazos County, Texas, United States, situated in East-Central Texas in the heart of the Brazos Valley, towards the eastern edge of the region known as the Texas Triangle. It is 83 miles northwest of Houston and 87 ...</v>
    <v>1556</v>
    <v>1557</v>
    <v>1559</v>
    <v>1560</v>
    <v>1561</v>
    <v>College Station, Texas</v>
    <v>1562</v>
    <v>College Station, Texas</v>
    <v>mdp/vdpid/5108952542566416385</v>
  </rv>
  <rv s="0">
    <v>536870912</v>
    <v>Australia</v>
    <v>06de2191-243d-a83f-6990-2eb1c7f3382a</v>
    <v>en-US</v>
    <v>Map</v>
  </rv>
  <rv s="1">
    <fb>0.48241944248714902</fb>
    <v>19</v>
  </rv>
  <rv s="1">
    <fb>7692024</fb>
    <v>8</v>
  </rv>
  <rv s="1">
    <fb>58000</fb>
    <v>8</v>
  </rv>
  <rv s="1">
    <fb>12.6</fb>
    <v>18</v>
  </rv>
  <rv s="1">
    <fb>61</fb>
    <v>39</v>
  </rv>
  <rv s="0">
    <v>536870912</v>
    <v>Canberra</v>
    <v>59ab58e3-2f00-9175-e7b8-76d910040855</v>
    <v>en-US</v>
    <v>Map</v>
  </rv>
  <rv s="1">
    <fb>375907.837</fb>
    <v>8</v>
  </rv>
  <rv s="1">
    <fb>119.797086368366</fb>
    <v>40</v>
  </rv>
  <rv s="1">
    <fb>1.61076787290379E-2</fb>
    <v>19</v>
  </rv>
  <rv s="1">
    <fb>10071.3989785006</fb>
    <v>8</v>
  </rv>
  <rv s="1">
    <fb>1.74</fb>
    <v>18</v>
  </rv>
  <rv s="1">
    <fb>0.16258278059599401</fb>
    <v>19</v>
  </rv>
  <rv s="1">
    <fb>89.625630110237395</fb>
    <v>41</v>
  </rv>
  <rv s="1">
    <fb>0.93</fb>
    <v>42</v>
  </rv>
  <rv s="1">
    <fb>1392680589329.1399</fb>
    <v>17</v>
  </rv>
  <rv s="1">
    <fb>1.0033898000000001</fb>
    <v>19</v>
  </rv>
  <rv s="1">
    <fb>1.1314216000000001</fb>
    <v>19</v>
  </rv>
  <rv s="2">
    <v>57</v>
    <v>6</v>
    <v>268</v>
    <v>7</v>
    <v>0</v>
    <v>Image of Australia</v>
  </rv>
  <rv s="0">
    <v>536870912</v>
    <v>Sydney</v>
    <v>3ecec2e8-2993-42e7-7299-f693bbe3b9b9</v>
    <v>en-US</v>
    <v>Map</v>
  </rv>
  <rv s="0">
    <v>805306368</v>
    <v>Anthony Albanese (Prime minister)</v>
    <v>00f8b947-2f64-9828-df4d-5993583bdbe4</v>
    <v>en-US</v>
    <v>Generic</v>
  </rv>
  <rv s="3">
    <v>89</v>
  </rv>
  <rv s="4">
    <v>https://www.bing.com/search?q=australia&amp;form=skydnc</v>
    <v>Learn more on Bing</v>
  </rv>
  <rv s="1">
    <fb>82.748780487804893</fb>
    <v>41</v>
  </rv>
  <rv s="1">
    <fb>1487598500000</fb>
    <v>17</v>
  </rv>
  <rv s="1">
    <fb>6</fb>
    <v>41</v>
  </rv>
  <rv s="1">
    <fb>13.59</fb>
    <v>42</v>
  </rv>
  <rv s="3">
    <v>90</v>
  </rv>
  <rv s="1">
    <fb>0.19558295019999999</fb>
    <v>19</v>
  </rv>
  <rv s="1">
    <fb>3.6778</fb>
    <v>18</v>
  </rv>
  <rv s="1">
    <fb>25978935</fb>
    <v>8</v>
  </rv>
  <rv s="1">
    <fb>0.42100000000000004</fb>
    <v>19</v>
  </rv>
  <rv s="1">
    <fb>0.65517997741699208</fb>
    <v>19</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91</v>
  </rv>
  <rv s="1">
    <fb>0.22985815296127299</fb>
    <v>19</v>
  </rv>
  <rv s="3">
    <v>92</v>
  </rv>
  <rv s="1">
    <fb>0.47399999999999998</fb>
    <v>19</v>
  </rv>
  <rv s="1">
    <fb>5.2680001258850098E-2</fb>
    <v>43</v>
  </rv>
  <rv s="1">
    <fb>21844756</fb>
    <v>8</v>
  </rv>
  <rv s="7">
    <v>#VALUE!</v>
    <v>en-US</v>
    <v>06de2191-243d-a83f-6990-2eb1c7f3382a</v>
    <v>536870912</v>
    <v>1</v>
    <v>271</v>
    <v>37</v>
    <v>Australia</v>
    <v>4</v>
    <v>5</v>
    <v>Map</v>
    <v>6</v>
    <v>272</v>
    <v>AU</v>
    <v>1565</v>
    <v>1566</v>
    <v>1567</v>
    <v>1568</v>
    <v>1569</v>
    <v>1570</v>
    <v>1571</v>
    <v>1572</v>
    <v>1573</v>
    <v>AUD</v>
    <v>Australia, officially the Commonwealth of Australia, is a country comprising the mainland of the Australian continent, the island of Tasmania and numerous smaller islands. It has a total area of 7,688,287 km², making it the sixth-largest country ...</v>
    <v>1574</v>
    <v>1575</v>
    <v>1576</v>
    <v>1577</v>
    <v>1578</v>
    <v>1579</v>
    <v>1580</v>
    <v>1581</v>
    <v>1582</v>
    <v>1508</v>
    <v>1583</v>
    <v>1585</v>
    <v>1586</v>
    <v>1587</v>
    <v>1588</v>
    <v>1589</v>
    <v>1590</v>
    <v>Australia</v>
    <v>Advance Australia Fair</v>
    <v>1591</v>
    <v>Commonwealth of Australia</v>
    <v>1592</v>
    <v>1593</v>
    <v>1594</v>
    <v>677</v>
    <v>280</v>
    <v>1595</v>
    <v>372</v>
    <v>41</v>
    <v>1117</v>
    <v>455</v>
    <v>1596</v>
    <v>1612</v>
    <v>1613</v>
    <v>1614</v>
    <v>1615</v>
    <v>1616</v>
    <v>Australia</v>
    <v>1617</v>
    <v>mdp/vdpid/12</v>
  </rv>
  <rv s="1">
    <fb>12144.6</fb>
    <v>8</v>
  </rv>
  <rv s="2">
    <v>58</v>
    <v>6</v>
    <v>273</v>
    <v>7</v>
    <v>0</v>
    <v>Image of Sydney</v>
  </rv>
  <rv s="1">
    <fb>-33.867777777777803</fb>
    <v>9</v>
  </rv>
  <rv s="4">
    <v>https://www.bing.com/search?q=sydney+australia&amp;form=skydnc</v>
    <v>Learn more on Bing</v>
  </rv>
  <rv s="1">
    <fb>151.21</fb>
    <v>9</v>
  </rv>
  <rv s="1">
    <fb>4698656</fb>
    <v>8</v>
  </rv>
  <rv s="19">
    <v>#VALUE!</v>
    <v>en-US</v>
    <v>3ecec2e8-2993-42e7-7299-f693bbe3b9b9</v>
    <v>536870912</v>
    <v>1</v>
    <v>274</v>
    <v>275</v>
    <v>Sydney</v>
    <v>4</v>
    <v>5</v>
    <v>Map</v>
    <v>6</v>
    <v>177</v>
    <v>1598</v>
    <v>1619</v>
    <v>1564</v>
    <v>Sydney is the capital city of the state of New South Wales, and the most populous city in Australia. Located on Australia's east coast, the metropolis surrounds Sydney Harbour and extends about 80 km from the Pacific Ocean in the east to the ...</v>
    <v>1620</v>
    <v>1621</v>
    <v>1622</v>
    <v>1623</v>
    <v>Sydney</v>
    <v>1624</v>
    <v>Sydney</v>
    <v>mdp/vdpid/8878834554543013889</v>
  </rv>
  <rv s="0">
    <v>536870912</v>
    <v>Lewiston, Maine</v>
    <v>62a324e3-9115-74d0-eb60-8ff7798072b8</v>
    <v>en-US</v>
    <v>Map</v>
  </rv>
  <rv s="0">
    <v>536870912</v>
    <v>Androscoggin County, Maine</v>
    <v>79a052aa-0d2a-6f20-3c5b-dfc84bd67b56</v>
    <v>en-US</v>
    <v>Map</v>
  </rv>
  <rv s="1">
    <fb>92.034599</fb>
    <v>8</v>
  </rv>
  <rv s="2">
    <v>59</v>
    <v>6</v>
    <v>276</v>
    <v>7</v>
    <v>0</v>
    <v>Image of Lewiston, Maine</v>
  </rv>
  <rv s="1">
    <fb>44.100555555555601</fb>
    <v>9</v>
  </rv>
  <rv s="0">
    <v>805306368</v>
    <v>Carl Sheline (Mayor)</v>
    <v>1d8bfa6f-8754-047a-7b4a-7ace04079e6d</v>
    <v>en-US</v>
    <v>Generic</v>
  </rv>
  <rv s="3">
    <v>93</v>
  </rv>
  <rv s="4">
    <v>https://www.bing.com/search?q=lewiston+maine&amp;form=skydnc</v>
    <v>Learn more on Bing</v>
  </rv>
  <rv s="1">
    <fb>-70.2152777777778</fb>
    <v>9</v>
  </rv>
  <rv s="1">
    <fb>37121</fb>
    <v>8</v>
  </rv>
  <rv s="8">
    <v>#VALUE!</v>
    <v>en-US</v>
    <v>62a324e3-9115-74d0-eb60-8ff7798072b8</v>
    <v>536870912</v>
    <v>1</v>
    <v>277</v>
    <v>46</v>
    <v>Lewiston, Maine</v>
    <v>4</v>
    <v>5</v>
    <v>Map</v>
    <v>6</v>
    <v>7</v>
    <v>106</v>
    <v>1627</v>
    <v>1628</v>
    <v>940</v>
    <v>Lewiston is the second most populous city in the U.S. state of Maine, with the city's population at 37,121 as of the 2020 United States Census. The city lies halfway between Augusta, the state's capital, and Portland, the state's most populous ...</v>
    <v>1629</v>
    <v>1630</v>
    <v>1632</v>
    <v>1633</v>
    <v>1634</v>
    <v>Lewiston, Maine</v>
    <v>1635</v>
    <v>11</v>
    <v>Lewiston, Maine</v>
    <v>mdp/vdpid/5488274503953809410</v>
  </rv>
  <rv s="0">
    <v>536870912</v>
    <v>Montreal</v>
    <v>bf31f6ec-acd1-2e01-932b-c5c78c45d051</v>
    <v>en-US</v>
    <v>Map</v>
  </rv>
  <rv s="1">
    <fb>498</fb>
    <v>8</v>
  </rv>
  <rv s="2">
    <v>60</v>
    <v>6</v>
    <v>278</v>
    <v>7</v>
    <v>0</v>
    <v>Image of Montreal</v>
  </rv>
  <rv s="1">
    <fb>45.508888888888997</fb>
    <v>9</v>
  </rv>
  <rv s="0">
    <v>805306368</v>
    <v>Valérie Plante (Mayor)</v>
    <v>e63721dc-a633-6bba-7c34-e8c1efaae3fc</v>
    <v>en-US</v>
    <v>Generic</v>
  </rv>
  <rv s="3">
    <v>94</v>
  </rv>
  <rv s="4">
    <v>https://www.bing.com/search?q=montreal+canada&amp;form=skydnc</v>
    <v>Learn more on Bing</v>
  </rv>
  <rv s="1">
    <fb>-73.561666666666994</fb>
    <v>9</v>
  </rv>
  <rv s="1">
    <fb>1762949</fb>
    <v>8</v>
  </rv>
  <rv s="5">
    <v>#VALUE!</v>
    <v>en-US</v>
    <v>bf31f6ec-acd1-2e01-932b-c5c78c45d051</v>
    <v>536870912</v>
    <v>1</v>
    <v>279</v>
    <v>2</v>
    <v>Montreal</v>
    <v>4</v>
    <v>5</v>
    <v>Map</v>
    <v>6</v>
    <v>177</v>
    <v>1029</v>
    <v>1638</v>
    <v>984</v>
    <v>Montreal is the largest city in the province of Quebec, the second-largest in Canada, and the tenth-largest in North America. Founded in 1642 as Ville-Marie, or "City of Mary", it is now named after Mount Royal, the triple-peaked hill around ...</v>
    <v>1639</v>
    <v>1640</v>
    <v>1642</v>
    <v>1643</v>
    <v>1644</v>
    <v>Montreal</v>
    <v>1645</v>
    <v>11</v>
    <v>Montreal</v>
    <v>mdp/vdpid/5293949126482853889</v>
  </rv>
  <rv s="0">
    <v>536870912</v>
    <v>Albany, New York</v>
    <v>62ca8245-972e-448d-af38-345d4a958798</v>
    <v>en-US</v>
    <v>Map</v>
  </rv>
  <rv s="0">
    <v>536870912</v>
    <v>Colombia</v>
    <v>c396e3d8-2a85-d230-f691-7850536d840e</v>
    <v>en-US</v>
    <v>Map</v>
  </rv>
  <rv s="1">
    <fb>0.40257414657503404</fb>
    <v>19</v>
  </rv>
  <rv s="1">
    <fb>1141748</fb>
    <v>8</v>
  </rv>
  <rv s="1">
    <fb>481000</fb>
    <v>8</v>
  </rv>
  <rv s="1">
    <fb>14.882</fb>
    <v>18</v>
  </rv>
  <rv s="1">
    <fb>57</fb>
    <v>39</v>
  </rv>
  <rv s="0">
    <v>536870912</v>
    <v>Bogotá</v>
    <v>66b24d5c-468c-2dd6-e6ce-34504b6f6cb4</v>
    <v>en-US</v>
    <v>Map</v>
  </rv>
  <rv s="1">
    <fb>97813.558000000005</fb>
    <v>8</v>
  </rv>
  <rv s="1">
    <fb>140.95037394202501</fb>
    <v>40</v>
  </rv>
  <rv s="1">
    <fb>3.52549273618952E-2</fb>
    <v>19</v>
  </rv>
  <rv s="1">
    <fb>1312.1575030143699</fb>
    <v>8</v>
  </rv>
  <rv s="1">
    <fb>1.8069999999999999</fb>
    <v>18</v>
  </rv>
  <rv s="1">
    <fb>0.52703938288643504</fb>
    <v>19</v>
  </rv>
  <rv s="1">
    <fb>76.685692626893996</fb>
    <v>41</v>
  </rv>
  <rv s="1">
    <fb>0.68</fb>
    <v>42</v>
  </rv>
  <rv s="1">
    <fb>323802808108.24597</fb>
    <v>17</v>
  </rv>
  <rv s="1">
    <fb>1.1452666</fb>
    <v>19</v>
  </rv>
  <rv s="1">
    <fb>0.55327490000000001</fb>
    <v>19</v>
  </rv>
  <rv s="2">
    <v>61</v>
    <v>6</v>
    <v>281</v>
    <v>7</v>
    <v>0</v>
    <v>Image of Colombia</v>
  </rv>
  <rv s="1">
    <fb>12.2</fb>
    <v>41</v>
  </rv>
  <rv s="0">
    <v>805306368</v>
    <v>Gustavo Petro (President)</v>
    <v>6d82a058-5246-ec8e-cc68-4ec9b7022623</v>
    <v>en-US</v>
    <v>Generic</v>
  </rv>
  <rv s="0">
    <v>805306368</v>
    <v>Francia Márquez (Vice president)</v>
    <v>31dbe672-1593-31cc-dd43-199002188cba</v>
    <v>en-US</v>
    <v>Generic</v>
  </rv>
  <rv s="3">
    <v>95</v>
  </rv>
  <rv s="4">
    <v>https://www.bing.com/search?q=colombia&amp;form=skydnc</v>
    <v>Learn more on Bing</v>
  </rv>
  <rv s="1">
    <fb>77.108999999999995</fb>
    <v>41</v>
  </rv>
  <rv s="1">
    <fb>132040280000</fb>
    <v>17</v>
  </rv>
  <rv s="1">
    <fb>83</fb>
    <v>41</v>
  </rv>
  <rv s="1">
    <fb>1.23</fb>
    <v>42</v>
  </rv>
  <rv s="3">
    <v>96</v>
  </rv>
  <rv s="1">
    <fb>0.1829434999</fb>
    <v>19</v>
  </rv>
  <rv s="1">
    <fb>2.1848000000000001</fb>
    <v>18</v>
  </rv>
  <rv s="1">
    <fb>51874024</fb>
    <v>8</v>
  </rv>
  <rv s="1">
    <fb>0.19899999999999998</fb>
    <v>19</v>
  </rv>
  <rv s="1">
    <fb>0.39700000000000002</fb>
    <v>19</v>
  </rv>
  <rv s="1">
    <fb>0.55399999999999994</fb>
    <v>19</v>
  </rv>
  <rv s="1">
    <fb>1.3999999999999999E-2</fb>
    <v>19</v>
  </rv>
  <rv s="1">
    <fb>0.126</fb>
    <v>19</v>
  </rv>
  <rv s="1">
    <fb>0.68771003723144508</fb>
    <v>19</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97</v>
  </rv>
  <rv s="1">
    <fb>0.144026436439844</fb>
    <v>19</v>
  </rv>
  <rv s="3">
    <v>98</v>
  </rv>
  <rv s="1">
    <fb>9.7069997787475604E-2</fb>
    <v>43</v>
  </rv>
  <rv s="1">
    <fb>40827302</fb>
    <v>8</v>
  </rv>
  <rv s="7">
    <v>#VALUE!</v>
    <v>en-US</v>
    <v>c396e3d8-2a85-d230-f691-7850536d840e</v>
    <v>536870912</v>
    <v>1</v>
    <v>284</v>
    <v>37</v>
    <v>Colombia</v>
    <v>4</v>
    <v>5</v>
    <v>Map</v>
    <v>6</v>
    <v>285</v>
    <v>CO</v>
    <v>1649</v>
    <v>1650</v>
    <v>1651</v>
    <v>1652</v>
    <v>1653</v>
    <v>1654</v>
    <v>1655</v>
    <v>1656</v>
    <v>1657</v>
    <v>COP</v>
    <v>Colombia, officially the Republic of Colombia, is a country primarily located in South America with insular regions in North America. The Colombian mainland is bordered by the Caribbean Sea to the north, Venezuela to the east and northeast, ...</v>
    <v>1658</v>
    <v>1659</v>
    <v>1660</v>
    <v>1661</v>
    <v>1662</v>
    <v>1663</v>
    <v>1664</v>
    <v>1665</v>
    <v>1666</v>
    <v>1667</v>
    <v>1654</v>
    <v>1670</v>
    <v>1671</v>
    <v>1672</v>
    <v>1673</v>
    <v>1674</v>
    <v>1675</v>
    <v>Colombia</v>
    <v>National Anthem of Colombia</v>
    <v>1676</v>
    <v>República de Colombia</v>
    <v>1677</v>
    <v>1678</v>
    <v>1679</v>
    <v>1680</v>
    <v>1681</v>
    <v>1682</v>
    <v>1683</v>
    <v>402</v>
    <v>836</v>
    <v>1684</v>
    <v>1685</v>
    <v>1718</v>
    <v>1719</v>
    <v>1720</v>
    <v>682</v>
    <v>1721</v>
    <v>Colombia</v>
    <v>1722</v>
    <v>mdp/vdpid/51</v>
  </rv>
  <rv s="0">
    <v>536870912</v>
    <v>Ithaca, New York</v>
    <v>995b9809-430a-93c1-623f-eb06a9e7a795</v>
    <v>en-US</v>
    <v>Map</v>
  </rv>
  <rv s="0">
    <v>536870912</v>
    <v>Tompkins County, New York</v>
    <v>f8fdb554-dcaa-ff88-2d31-900c0ad7ac03</v>
    <v>en-US</v>
    <v>Map</v>
  </rv>
  <rv s="1">
    <fb>15.727155</fb>
    <v>8</v>
  </rv>
  <rv s="2">
    <v>62</v>
    <v>6</v>
    <v>286</v>
    <v>7</v>
    <v>0</v>
    <v>Image of Ithaca, New York</v>
  </rv>
  <rv s="1">
    <fb>42.443333333333001</fb>
    <v>9</v>
  </rv>
  <rv s="0">
    <v>805306368</v>
    <v>Robert Cantelmo (Mayor)</v>
    <v>668ed569-d064-e97e-8004-54f7a2969f83</v>
    <v>en-US</v>
    <v>Generic</v>
  </rv>
  <rv s="3">
    <v>99</v>
  </rv>
  <rv s="4">
    <v>https://www.bing.com/search?q=ithaca+new+york&amp;form=skydnc</v>
    <v>Learn more on Bing</v>
  </rv>
  <rv s="1">
    <fb>-76.5</fb>
    <v>9</v>
  </rv>
  <rv s="1">
    <fb>32108</fb>
    <v>8</v>
  </rv>
  <rv s="8">
    <v>#VALUE!</v>
    <v>en-US</v>
    <v>995b9809-430a-93c1-623f-eb06a9e7a795</v>
    <v>536870912</v>
    <v>1</v>
    <v>287</v>
    <v>46</v>
    <v>Ithaca, New York</v>
    <v>4</v>
    <v>5</v>
    <v>Map</v>
    <v>6</v>
    <v>7</v>
    <v>1</v>
    <v>1725</v>
    <v>1726</v>
    <v>940</v>
    <v>Ithaca is a city in and the county seat of Tompkins County, New York, United States. Situated on the southern shore of Cayuga Lake in the Finger Lakes region of New York, Ithaca is the largest community in the Ithaca metropolitan statistical ...</v>
    <v>1727</v>
    <v>1728</v>
    <v>1730</v>
    <v>1731</v>
    <v>1732</v>
    <v>Ithaca, New York</v>
    <v>1733</v>
    <v>11</v>
    <v>Ithaca, New York</v>
    <v>mdp/vdpid/5485931518813536258</v>
  </rv>
  <rv s="0">
    <v>536870912</v>
    <v>Italy</v>
    <v>09e8f885-427b-8850-947d-202e0287b9e8</v>
    <v>en-US</v>
    <v>Map</v>
  </rv>
  <rv s="1">
    <fb>0.432345141769226</fb>
    <v>19</v>
  </rv>
  <rv s="1">
    <fb>302068</fb>
    <v>8</v>
  </rv>
  <rv s="1">
    <fb>347000</fb>
    <v>8</v>
  </rv>
  <rv s="1">
    <fb>7.3</fb>
    <v>18</v>
  </rv>
  <rv s="1">
    <fb>39</fb>
    <v>39</v>
  </rv>
  <rv s="0">
    <v>536870912</v>
    <v>Rome</v>
    <v>5ed498af-fa85-2a88-874d-212494ddb06f</v>
    <v>en-US</v>
    <v>Map</v>
  </rv>
  <rv s="1">
    <fb>320411.45899999997</fb>
    <v>8</v>
  </rv>
  <rv s="1">
    <fb>110.623595648239</fb>
    <v>40</v>
  </rv>
  <rv s="1">
    <fb>6.1124694376529102E-3</fb>
    <v>19</v>
  </rv>
  <rv s="1">
    <fb>5002.4066798773601</fb>
    <v>8</v>
  </rv>
  <rv s="1">
    <fb>1.29</fb>
    <v>18</v>
  </rv>
  <rv s="1">
    <fb>0.31790303272888798</fb>
    <v>19</v>
  </rv>
  <rv s="1">
    <fb>79.948454735494707</fb>
    <v>41</v>
  </rv>
  <rv s="1">
    <fb>1.61</fb>
    <v>42</v>
  </rv>
  <rv s="1">
    <fb>2001244392041.5701</fb>
    <v>17</v>
  </rv>
  <rv s="1">
    <fb>1.0187936</fb>
    <v>19</v>
  </rv>
  <rv s="1">
    <fb>0.61933000000000005</fb>
    <v>19</v>
  </rv>
  <rv s="2">
    <v>63</v>
    <v>6</v>
    <v>289</v>
    <v>7</v>
    <v>0</v>
    <v>Image of Italy</v>
  </rv>
  <rv s="1">
    <fb>2.6</fb>
    <v>41</v>
  </rv>
  <rv s="0">
    <v>805306368</v>
    <v>Sergio Mattarella (President)</v>
    <v>7b09388e-8b92-1261-db16-7c6882735fe1</v>
    <v>en-US</v>
    <v>Generic</v>
  </rv>
  <rv s="0">
    <v>805306368</v>
    <v>Giorgia Meloni (Prime minister)</v>
    <v>5c9bb82e-e08f-f5eb-9f29-f20e75e8eb8f</v>
    <v>en-US</v>
    <v>Generic</v>
  </rv>
  <rv s="3">
    <v>100</v>
  </rv>
  <rv s="4">
    <v>https://www.bing.com/search?q=italy&amp;form=skydnc</v>
    <v>Learn more on Bing</v>
  </rv>
  <rv s="1">
    <fb>82.946341463414697</fb>
    <v>41</v>
  </rv>
  <rv s="1">
    <fb>522087790000</fb>
    <v>17</v>
  </rv>
  <rv s="1">
    <fb>2</fb>
    <v>41</v>
  </rv>
  <rv s="3">
    <v>101</v>
  </rv>
  <rv s="1">
    <fb>0.2283268819</fb>
    <v>19</v>
  </rv>
  <rv s="1">
    <fb>3.9773999999999998</fb>
    <v>18</v>
  </rv>
  <rv s="1">
    <fb>58856847</fb>
    <v>8</v>
  </rv>
  <rv s="1">
    <fb>0.12</fb>
    <v>19</v>
  </rv>
  <rv s="1">
    <fb>0.495550003051758</fb>
    <v>19</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102</v>
  </rv>
  <rv s="1">
    <fb>0.24250464933068097</fb>
    <v>19</v>
  </rv>
  <rv s="1">
    <fb>9.8870000839233405E-2</fb>
    <v>43</v>
  </rv>
  <rv s="1">
    <fb>42651966</fb>
    <v>8</v>
  </rv>
  <rv s="20">
    <v>#VALUE!</v>
    <v>en-US</v>
    <v>09e8f885-427b-8850-947d-202e0287b9e8</v>
    <v>536870912</v>
    <v>1</v>
    <v>292</v>
    <v>293</v>
    <v>Italy</v>
    <v>4</v>
    <v>5</v>
    <v>Map</v>
    <v>6</v>
    <v>294</v>
    <v>IT</v>
    <v>1736</v>
    <v>1737</v>
    <v>1738</v>
    <v>1739</v>
    <v>1740</v>
    <v>1741</v>
    <v>1742</v>
    <v>1743</v>
    <v>1744</v>
    <v>EUR</v>
    <v>Italy, officially the Italian Republic, is a country in Southern and Western Europe. It consists of a peninsula that extends into the Mediterranean Sea, with the Alps on its northern land border, as well as nearly 800 islands, notably Sicily and ...</v>
    <v>1745</v>
    <v>1746</v>
    <v>1747</v>
    <v>1748</v>
    <v>1749</v>
    <v>1750</v>
    <v>1751</v>
    <v>1752</v>
    <v>1753</v>
    <v>1754</v>
    <v>1741</v>
    <v>1757</v>
    <v>1758</v>
    <v>1759</v>
    <v>1760</v>
    <v>1761</v>
    <v>Italy</v>
    <v>Il Canto degli Italiani</v>
    <v>1762</v>
    <v>Repubblica Italiana</v>
    <v>1763</v>
    <v>1764</v>
    <v>1765</v>
    <v>318</v>
    <v>456</v>
    <v>1595</v>
    <v>30</v>
    <v>44</v>
    <v>1766</v>
    <v>433</v>
    <v>1767</v>
    <v>1788</v>
    <v>1789</v>
    <v>1082</v>
    <v>653</v>
    <v>1790</v>
    <v>Italy</v>
    <v>1791</v>
    <v>mdp/vdpid/118</v>
  </rv>
  <rv s="0">
    <v>536870912</v>
    <v>Sweden</v>
    <v>a5928099-53c3-11a8-91e6-6fe59b8c4f9a</v>
    <v>en-US</v>
    <v>Map</v>
  </rv>
  <rv s="1">
    <fb>7.4427340355012209E-2</fb>
    <v>19</v>
  </rv>
  <rv s="1">
    <fb>447425.16</fb>
    <v>8</v>
  </rv>
  <rv s="1">
    <fb>30000</fb>
    <v>8</v>
  </rv>
  <rv s="1">
    <fb>11.4</fb>
    <v>18</v>
  </rv>
  <rv s="1">
    <fb>46</fb>
    <v>39</v>
  </rv>
  <rv s="0">
    <v>536870912</v>
    <v>Stockholm</v>
    <v>9daa4a8d-0e69-da3a-672e-16d4743a665b</v>
    <v>en-US</v>
    <v>Map</v>
  </rv>
  <rv s="1">
    <fb>43252.264999999999</fb>
    <v>8</v>
  </rv>
  <rv s="1">
    <fb>110.509219846432</fb>
    <v>40</v>
  </rv>
  <rv s="1">
    <fb>1.7841509740383198E-2</fb>
    <v>19</v>
  </rv>
  <rv s="1">
    <fb>13480.148224391</fb>
    <v>8</v>
  </rv>
  <rv s="1">
    <fb>1.76</fb>
    <v>18</v>
  </rv>
  <rv s="1">
    <fb>0.68922933392256491</fb>
    <v>19</v>
  </rv>
  <rv s="1">
    <fb>25.117096134653099</fb>
    <v>41</v>
  </rv>
  <rv s="1">
    <fb>1.42</fb>
    <v>42</v>
  </rv>
  <rv s="1">
    <fb>530832908737.862</fb>
    <v>17</v>
  </rv>
  <rv s="1">
    <fb>1.2657537999999999</fb>
    <v>19</v>
  </rv>
  <rv s="1">
    <fb>0.6698824000000001</fb>
    <v>19</v>
  </rv>
  <rv s="2">
    <v>64</v>
    <v>6</v>
    <v>296</v>
    <v>7</v>
    <v>0</v>
    <v>Image of Sweden</v>
  </rv>
  <rv s="1">
    <fb>2.2000000000000002</fb>
    <v>41</v>
  </rv>
  <rv s="0">
    <v>805306368</v>
    <v>Carl XVI Gustaf (Monarch)</v>
    <v>d74145c5-55cc-559b-1761-543f3fbf2fcd</v>
    <v>en-US</v>
    <v>Generic</v>
  </rv>
  <rv s="0">
    <v>805306368</v>
    <v>Ulf Kristersson (Prime minister)</v>
    <v>b10837fe-3ec0-27e8-04f3-230e5f1c436f</v>
    <v>en-US</v>
    <v>Generic</v>
  </rv>
  <rv s="3">
    <v>103</v>
  </rv>
  <rv s="4">
    <v>https://www.bing.com/search?q=sweden&amp;form=skydnc</v>
    <v>Learn more on Bing</v>
  </rv>
  <rv s="1">
    <fb>82.512195121951194</fb>
    <v>41</v>
  </rv>
  <rv s="1">
    <fb>289877140000</fb>
    <v>17</v>
  </rv>
  <rv s="3">
    <v>104</v>
  </rv>
  <rv s="1">
    <fb>0.15191583449999999</fb>
    <v>19</v>
  </rv>
  <rv s="1">
    <fb>3.984</fb>
    <v>18</v>
  </rv>
  <rv s="1">
    <fb>10486941</fb>
    <v>8</v>
  </rv>
  <rv s="1">
    <fb>0.23100000000000001</fb>
    <v>19</v>
  </rv>
  <rv s="1">
    <fb>0.371</fb>
    <v>19</v>
  </rv>
  <rv s="1">
    <fb>0.64561996459960891</fb>
    <v>19</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105</v>
  </rv>
  <rv s="1">
    <fb>0.27911031322372698</fb>
    <v>19</v>
  </rv>
  <rv s="1">
    <fb>0.49099999999999999</fb>
    <v>19</v>
  </rv>
  <rv s="1">
    <fb>6.4759998321533202E-2</fb>
    <v>43</v>
  </rv>
  <rv s="1">
    <fb>9021165</fb>
    <v>8</v>
  </rv>
  <rv s="20">
    <v>#VALUE!</v>
    <v>en-US</v>
    <v>a5928099-53c3-11a8-91e6-6fe59b8c4f9a</v>
    <v>536870912</v>
    <v>1</v>
    <v>299</v>
    <v>293</v>
    <v>Sweden</v>
    <v>4</v>
    <v>5</v>
    <v>Map</v>
    <v>6</v>
    <v>300</v>
    <v>SE</v>
    <v>1794</v>
    <v>1795</v>
    <v>1796</v>
    <v>1797</v>
    <v>1798</v>
    <v>1799</v>
    <v>1800</v>
    <v>1801</v>
    <v>1802</v>
    <v>SEK</v>
    <v>Sweden, formally the Kingdom of Sweden, is a Nordic country located on the Scandinavian Peninsula in Northern Europe. It borders Norway to the west and north, and Finland to the east. At 450,295 square kilometres, Sweden is the largest Nordic ...</v>
    <v>1803</v>
    <v>1804</v>
    <v>1805</v>
    <v>1806</v>
    <v>1807</v>
    <v>1808</v>
    <v>1809</v>
    <v>1810</v>
    <v>1811</v>
    <v>1812</v>
    <v>1799</v>
    <v>1815</v>
    <v>1816</v>
    <v>1817</v>
    <v>1818</v>
    <v>1109</v>
    <v>Sweden</v>
    <v>Du gamla, du fria</v>
    <v>1819</v>
    <v>Konungariket Sverige</v>
    <v>1820</v>
    <v>1821</v>
    <v>1822</v>
    <v>1823</v>
    <v>786</v>
    <v>1824</v>
    <v>540</v>
    <v>183</v>
    <v>346</v>
    <v>35</v>
    <v>1825</v>
    <v>1847</v>
    <v>1848</v>
    <v>1331</v>
    <v>1849</v>
    <v>1850</v>
    <v>Sweden</v>
    <v>1851</v>
    <v>mdp/vdpid/221</v>
  </rv>
  <rv s="1">
    <fb>187.16</fb>
    <v>8</v>
  </rv>
  <rv s="0">
    <v>536870912</v>
    <v>Kalmar Union</v>
    <v>723b5437-f021-ebd7-3a7a-2fcc8a5bab2d</v>
    <v>en-US</v>
    <v>Map</v>
  </rv>
  <rv s="2">
    <v>65</v>
    <v>6</v>
    <v>301</v>
    <v>7</v>
    <v>0</v>
    <v>Image of Stockholm</v>
  </rv>
  <rv s="1">
    <fb>59.329444444444</fb>
    <v>9</v>
  </rv>
  <rv s="0">
    <v>805306368</v>
    <v>Karin Wanngård (Mayor)</v>
    <v>ff45a3f2-13a5-6f7f-5794-0b7c2a0d7877</v>
    <v>en-US</v>
    <v>Generic</v>
  </rv>
  <rv s="3">
    <v>106</v>
  </rv>
  <rv s="4">
    <v>https://www.bing.com/search?q=stockholm+sweden&amp;form=skydnc</v>
    <v>Learn more on Bing</v>
  </rv>
  <rv s="1">
    <fb>18.068611111111</fb>
    <v>9</v>
  </rv>
  <rv s="1">
    <fb>978770</fb>
    <v>8</v>
  </rv>
  <rv s="5">
    <v>#VALUE!</v>
    <v>en-US</v>
    <v>9daa4a8d-0e69-da3a-672e-16d4743a665b</v>
    <v>536870912</v>
    <v>1</v>
    <v>302</v>
    <v>2</v>
    <v>Stockholm</v>
    <v>4</v>
    <v>5</v>
    <v>Map</v>
    <v>6</v>
    <v>177</v>
    <v>1837</v>
    <v>1853</v>
    <v>1854</v>
    <v>Stockholm is the capital and most populous city of Sweden, as well as the largest urban area in the Nordic countries. Approximately 1 million people live in the municipality, with 1.6 million in the urban area, and 2.5 million in the ...</v>
    <v>1855</v>
    <v>1856</v>
    <v>1858</v>
    <v>1859</v>
    <v>1860</v>
    <v>Stockholm</v>
    <v>1861</v>
    <v>1082</v>
    <v>Stockholm</v>
    <v>mdp/vdpid/7005763932988112897</v>
  </rv>
  <rv s="0">
    <v>536870912</v>
    <v>Switzerland</v>
    <v>c10c98b9-afcd-84bf-c5c8-4220fc76a2e3</v>
    <v>en-US</v>
    <v>Map</v>
  </rv>
  <rv s="1">
    <fb>0.38363446027908404</fb>
    <v>19</v>
  </rv>
  <rv s="1">
    <fb>41285</fb>
    <v>8</v>
  </rv>
  <rv s="1">
    <fb>21000</fb>
    <v>8</v>
  </rv>
  <rv s="1">
    <fb>10</fb>
    <v>18</v>
  </rv>
  <rv s="1">
    <fb>41</fb>
    <v>39</v>
  </rv>
  <rv s="0">
    <v>536870912</v>
    <v>Bern</v>
    <v>15dda629-8f09-9c82-b064-7a7e8e84c804</v>
    <v>en-US</v>
    <v>Map</v>
  </rv>
  <rv s="1">
    <fb>34477.133999999998</fb>
    <v>8</v>
  </rv>
  <rv s="1">
    <fb>99.546913020227805</fb>
    <v>40</v>
  </rv>
  <rv s="1">
    <fb>3.6291600452038396E-3</fb>
    <v>19</v>
  </rv>
  <rv s="1">
    <fb>7520.1660249450197</fb>
    <v>8</v>
  </rv>
  <rv s="1">
    <fb>1.52</fb>
    <v>18</v>
  </rv>
  <rv s="1">
    <fb>0.318301452005265</fb>
    <v>19</v>
  </rv>
  <rv s="1">
    <fb>50.168225480798597</fb>
    <v>41</v>
  </rv>
  <rv s="1">
    <fb>1.45</fb>
    <v>42</v>
  </rv>
  <rv s="1">
    <fb>703082435360.11694</fb>
    <v>17</v>
  </rv>
  <rv s="1">
    <fb>1.0519068</fb>
    <v>19</v>
  </rv>
  <rv s="1">
    <fb>0.59562990000000005</fb>
    <v>19</v>
  </rv>
  <rv s="2">
    <v>66</v>
    <v>6</v>
    <v>304</v>
    <v>7</v>
    <v>0</v>
    <v>Image of Switzerland</v>
  </rv>
  <rv s="1">
    <fb>3.7</fb>
    <v>41</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107</v>
  </rv>
  <rv s="4">
    <v>https://www.bing.com/search?q=switzerland&amp;form=skydnc</v>
    <v>Learn more on Bing</v>
  </rv>
  <rv s="1">
    <fb>83.551219512195104</fb>
    <v>41</v>
  </rv>
  <rv s="1">
    <fb>1834453260000</fb>
    <v>17</v>
  </rv>
  <rv s="3">
    <v>108</v>
  </rv>
  <rv s="1">
    <fb>0.28345719829999999</fb>
    <v>19</v>
  </rv>
  <rv s="1">
    <fb>4.2957000000000001</fb>
    <v>18</v>
  </rv>
  <rv s="1">
    <fb>8769741</fb>
    <v>8</v>
  </rv>
  <rv s="1">
    <fb>0.255</fb>
    <v>19</v>
  </rv>
  <rv s="1">
    <fb>3.1E-2</fb>
    <v>19</v>
  </rv>
  <rv s="1">
    <fb>0.16699999999999998</fb>
    <v>19</v>
  </rv>
  <rv s="1">
    <fb>0.68252998352050798</fb>
    <v>19</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109</v>
  </rv>
  <rv s="1">
    <fb>0.10080933835403399</fb>
    <v>19</v>
  </rv>
  <rv s="1">
    <fb>4.5809998512268101E-2</fb>
    <v>43</v>
  </rv>
  <rv s="1">
    <fb>6332428</fb>
    <v>8</v>
  </rv>
  <rv s="20">
    <v>#VALUE!</v>
    <v>en-US</v>
    <v>c10c98b9-afcd-84bf-c5c8-4220fc76a2e3</v>
    <v>536870912</v>
    <v>1</v>
    <v>307</v>
    <v>293</v>
    <v>Switzerland</v>
    <v>4</v>
    <v>5</v>
    <v>Map</v>
    <v>6</v>
    <v>203</v>
    <v>CH</v>
    <v>1864</v>
    <v>1865</v>
    <v>1866</v>
    <v>1867</v>
    <v>1868</v>
    <v>1869</v>
    <v>1870</v>
    <v>1871</v>
    <v>1872</v>
    <v>CHF</v>
    <v>Switzerland, officially the Swiss Confederation, is a landlocked country located in west-central Europe. It is bordered by Italy to the south, France to the west, Germany to the north, and Austria and Liechtenstein to the east. Switzerland is ...</v>
    <v>1873</v>
    <v>1874</v>
    <v>1875</v>
    <v>1876</v>
    <v>1877</v>
    <v>1878</v>
    <v>1879</v>
    <v>1880</v>
    <v>1881</v>
    <v>1882</v>
    <v>1883</v>
    <v>1891</v>
    <v>1892</v>
    <v>1893</v>
    <v>1894</v>
    <v>1179</v>
    <v>Switzerland</v>
    <v>Swiss Psalm</v>
    <v>1895</v>
    <v>Confoederatio Helvetica</v>
    <v>1896</v>
    <v>1897</v>
    <v>1898</v>
    <v>935</v>
    <v>1899</v>
    <v>1025</v>
    <v>1900</v>
    <v>570</v>
    <v>832</v>
    <v>1901</v>
    <v>1902</v>
    <v>1928</v>
    <v>1929</v>
    <v>1331</v>
    <v>403</v>
    <v>1930</v>
    <v>Switzerland</v>
    <v>1931</v>
    <v>mdp/vdpid/223</v>
  </rv>
  <rv s="0">
    <v>536870912</v>
    <v>Williamstown, Massachusetts</v>
    <v>c3f0d418-4b8d-7084-68ab-51c4f3d2e774</v>
    <v>en-US</v>
    <v>Map</v>
  </rv>
  <rv s="0">
    <v>536870912</v>
    <v>Berkshire County, Massachusetts</v>
    <v>a8a686a5-38f2-049c-2764-941d5ea4035d</v>
    <v>en-US</v>
    <v>Map</v>
  </rv>
  <rv s="1">
    <fb>121.4</fb>
    <v>8</v>
  </rv>
  <rv s="2">
    <v>67</v>
    <v>6</v>
    <v>309</v>
    <v>7</v>
    <v>0</v>
    <v>Image of Williamstown, Massachusetts</v>
  </rv>
  <rv s="1">
    <fb>42.713333333333303</fb>
    <v>9</v>
  </rv>
  <rv s="4">
    <v>https://www.bing.com/search?q=williamstown+massachusetts&amp;form=skydnc</v>
    <v>Learn more on Bing</v>
  </rv>
  <rv s="1">
    <fb>-73.209444444444401</fb>
    <v>9</v>
  </rv>
  <rv s="1">
    <fb>7513</fb>
    <v>8</v>
  </rv>
  <rv s="16">
    <v>#VALUE!</v>
    <v>en-US</v>
    <v>c3f0d418-4b8d-7084-68ab-51c4f3d2e774</v>
    <v>536870912</v>
    <v>1</v>
    <v>310</v>
    <v>220</v>
    <v>Williamstown, Massachusetts</v>
    <v>4</v>
    <v>5</v>
    <v>Map</v>
    <v>6</v>
    <v>7</v>
    <v>108</v>
    <v>1934</v>
    <v>1935</v>
    <v>940</v>
    <v>Williamstown is a town in Berkshire County, Massachusetts, United States. It shares a border with Vermont to the north and New York to the west. Located in Berkshire County, the town is part of the Pittsfield, Massachusetts metropolitan ...</v>
    <v>1936</v>
    <v>1937</v>
    <v>1938</v>
    <v>1939</v>
    <v>Williamstown, Massachusetts</v>
    <v>1940</v>
    <v>11</v>
    <v>Williamstown, Massachusetts</v>
    <v>mdp/vdpid/5486488147061637121</v>
  </rv>
  <rv s="0">
    <v>536870912</v>
    <v>Portland, Oregon</v>
    <v>5658ef8a-9267-4851-b335-72bc82329a4e</v>
    <v>en-US</v>
    <v>Map</v>
  </rv>
  <rv s="0">
    <v>536870912</v>
    <v>Multnomah County, Oregon</v>
    <v>09a9dfb0-af26-d1d9-c818-43e2fdd19867</v>
    <v>en-US</v>
    <v>Map</v>
  </rv>
  <rv s="1">
    <fb>375.80552599999999</fb>
    <v>8</v>
  </rv>
  <rv s="2">
    <v>68</v>
    <v>6</v>
    <v>311</v>
    <v>7</v>
    <v>0</v>
    <v>Image of Portland, Oregon</v>
  </rv>
  <rv s="1">
    <fb>45.516666666667</fb>
    <v>9</v>
  </rv>
  <rv s="0">
    <v>805306368</v>
    <v>Keith Wilson (Mayor)</v>
    <v>5ef72d86-7eea-2ea5-3eee-42f15a9430b3</v>
    <v>en-US</v>
    <v>Generic</v>
  </rv>
  <rv s="3">
    <v>110</v>
  </rv>
  <rv s="4">
    <v>https://www.bing.com/search?q=portland+oregon&amp;form=skydnc</v>
    <v>Learn more on Bing</v>
  </rv>
  <rv s="1">
    <fb>-122.66666666667</fb>
    <v>9</v>
  </rv>
  <rv s="1">
    <fb>652503</fb>
    <v>8</v>
  </rv>
  <rv s="8">
    <v>#VALUE!</v>
    <v>en-US</v>
    <v>5658ef8a-9267-4851-b335-72bc82329a4e</v>
    <v>536870912</v>
    <v>1</v>
    <v>312</v>
    <v>46</v>
    <v>Portland, Oregon</v>
    <v>4</v>
    <v>5</v>
    <v>Map</v>
    <v>6</v>
    <v>7</v>
    <v>123</v>
    <v>1943</v>
    <v>1944</v>
    <v>940</v>
    <v>Portland is the most populous city in the U.S. state of Oregon, located in the Pacific Northwest region. Situated close to northwest Oregon at the confluence of the Willamette and Columbia rivers, it is the county seat of Multnomah County, ...</v>
    <v>1945</v>
    <v>1946</v>
    <v>1948</v>
    <v>1949</v>
    <v>1950</v>
    <v>Portland, Oregon</v>
    <v>1951</v>
    <v>289</v>
    <v>Portland, Oregon</v>
    <v>mdp/vdpid/4860910142754914306</v>
  </rv>
  <rv s="0">
    <v>536870912</v>
    <v>Indianapolis</v>
    <v>28ad13c5-50fe-aae3-acb8-c5dea28be321</v>
    <v>en-US</v>
    <v>Map</v>
  </rv>
  <rv s="0">
    <v>536870912</v>
    <v>Marion County, Indiana</v>
    <v>ab457602-8310-1e9c-f76e-b62f7c980071</v>
    <v>en-US</v>
    <v>Map</v>
  </rv>
  <rv s="1">
    <fb>953.18073600000002</fb>
    <v>8</v>
  </rv>
  <rv s="2">
    <v>69</v>
    <v>6</v>
    <v>313</v>
    <v>7</v>
    <v>0</v>
    <v>Image of Indianapolis</v>
  </rv>
  <rv s="1">
    <fb>39.768611111110999</fb>
    <v>9</v>
  </rv>
  <rv s="0">
    <v>805306368</v>
    <v>Joe Hogsett (Mayor)</v>
    <v>35a12ddd-c281-8321-ccbb-63acd394f368</v>
    <v>en-US</v>
    <v>Generic</v>
  </rv>
  <rv s="3">
    <v>111</v>
  </rv>
  <rv s="4">
    <v>https://www.bing.com/search?q=indianapolis&amp;form=skydnc</v>
    <v>Learn more on Bing</v>
  </rv>
  <rv s="1">
    <fb>-86.158055555556004</fb>
    <v>9</v>
  </rv>
  <rv s="1">
    <fb>887642</fb>
    <v>8</v>
  </rv>
  <rv s="3">
    <v>112</v>
  </rv>
  <rv s="8">
    <v>#VALUE!</v>
    <v>en-US</v>
    <v>28ad13c5-50fe-aae3-acb8-c5dea28be321</v>
    <v>536870912</v>
    <v>1</v>
    <v>314</v>
    <v>46</v>
    <v>Indianapolis</v>
    <v>4</v>
    <v>5</v>
    <v>Map</v>
    <v>6</v>
    <v>7</v>
    <v>101</v>
    <v>1954</v>
    <v>1955</v>
    <v>940</v>
    <v>Indianapolis, colloquially known as Indy, is the capital and most populous city of the U.S. state of Indiana and the seat of Marion County. Indianapolis is situated in the state's central till plain region along the west fork of the White River. ...</v>
    <v>1956</v>
    <v>1957</v>
    <v>1959</v>
    <v>1960</v>
    <v>1961</v>
    <v>Indianapolis</v>
    <v>1962</v>
    <v>1963</v>
    <v>Indianapolis</v>
    <v>mdp/vdpid/5478461750934241282</v>
  </rv>
  <rv s="0">
    <v>536870912</v>
    <v>Brazil</v>
    <v>a828cf41-b938-49fe-7986-4b336618d413</v>
    <v>en-US</v>
    <v>Map</v>
  </rv>
  <rv s="1">
    <fb>0.33924533448829503</fb>
    <v>19</v>
  </rv>
  <rv s="1">
    <fb>8515767</fb>
    <v>8</v>
  </rv>
  <rv s="1">
    <fb>730000</fb>
    <v>8</v>
  </rv>
  <rv s="1">
    <fb>13.923999999999999</fb>
    <v>18</v>
  </rv>
  <rv s="1">
    <fb>55</fb>
    <v>39</v>
  </rv>
  <rv s="0">
    <v>536870912</v>
    <v>Brasília</v>
    <v>0f4c1a26-f33c-b6de-a63f-578da6617369</v>
    <v>en-US</v>
    <v>Map</v>
  </rv>
  <rv s="1">
    <fb>462298.69</fb>
    <v>8</v>
  </rv>
  <rv s="1">
    <fb>167.397860280061</fb>
    <v>40</v>
  </rv>
  <rv s="1">
    <fb>3.7329762121689397E-2</fb>
    <v>19</v>
  </rv>
  <rv s="1">
    <fb>2619.96061573831</fb>
    <v>8</v>
  </rv>
  <rv s="1">
    <fb>1.73</fb>
    <v>18</v>
  </rv>
  <rv s="1">
    <fb>0.58931054038338704</fb>
    <v>19</v>
  </rv>
  <rv s="1">
    <fb>59.1075326389753</fb>
    <v>41</v>
  </rv>
  <rv s="1">
    <fb>1.02</fb>
    <v>42</v>
  </rv>
  <rv s="1">
    <fb>1839758040765.6201</fb>
    <v>17</v>
  </rv>
  <rv s="1">
    <fb>1.1544783999999999</fb>
    <v>19</v>
  </rv>
  <rv s="1">
    <fb>0.513436</fb>
    <v>19</v>
  </rv>
  <rv s="2">
    <v>70</v>
    <v>6</v>
    <v>316</v>
    <v>7</v>
    <v>0</v>
    <v>Image of Brazil</v>
  </rv>
  <rv s="1">
    <fb>12.8</fb>
    <v>41</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113</v>
  </rv>
  <rv s="4">
    <v>https://www.bing.com/search?q=brazil&amp;form=skydnc</v>
    <v>Learn more on Bing</v>
  </rv>
  <rv s="1">
    <fb>75.671999999999997</fb>
    <v>41</v>
  </rv>
  <rv s="1">
    <fb>1187361690000</fb>
    <v>17</v>
  </rv>
  <rv s="1">
    <fb>60</fb>
    <v>41</v>
  </rv>
  <rv s="1">
    <fb>1.53</fb>
    <v>42</v>
  </rv>
  <rv s="3">
    <v>114</v>
  </rv>
  <rv s="1">
    <fb>0.28289823089999999</fb>
    <v>19</v>
  </rv>
  <rv s="1">
    <fb>2.1499000000000001</fb>
    <v>18</v>
  </rv>
  <rv s="1">
    <fb>215313498</fb>
    <v>8</v>
  </rv>
  <rv s="1">
    <fb>0.42499999999999999</fb>
    <v>19</v>
  </rv>
  <rv s="1">
    <fb>0.58399999999999996</fb>
    <v>19</v>
  </rv>
  <rv s="1">
    <fb>0.63883998870849601</fb>
    <v>19</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115</v>
  </rv>
  <rv s="1">
    <fb>0.14178605589771201</fb>
    <v>19</v>
  </rv>
  <rv s="3">
    <v>116</v>
  </rv>
  <rv s="1">
    <fb>0.65099999999999991</fb>
    <v>19</v>
  </rv>
  <rv s="1">
    <fb>0.12083000183105501</fb>
    <v>43</v>
  </rv>
  <rv s="1">
    <fb>183241641</fb>
    <v>8</v>
  </rv>
  <rv s="7">
    <v>#VALUE!</v>
    <v>en-US</v>
    <v>a828cf41-b938-49fe-7986-4b336618d413</v>
    <v>536870912</v>
    <v>1</v>
    <v>319</v>
    <v>37</v>
    <v>Brazil</v>
    <v>4</v>
    <v>5</v>
    <v>Map</v>
    <v>6</v>
    <v>320</v>
    <v>BR</v>
    <v>1966</v>
    <v>1967</v>
    <v>1968</v>
    <v>1969</v>
    <v>1970</v>
    <v>1971</v>
    <v>1972</v>
    <v>1973</v>
    <v>1974</v>
    <v>BRL</v>
    <v>Brazil, officially the Federative Republic of Brazil, is the largest and easternmost country in South America. It is the world's fifth-largest country by area and the seventh largest by population, with over 212 million people. The country is a ...</v>
    <v>1975</v>
    <v>1976</v>
    <v>1977</v>
    <v>1978</v>
    <v>1979</v>
    <v>1980</v>
    <v>1981</v>
    <v>1982</v>
    <v>1983</v>
    <v>1984</v>
    <v>1985</v>
    <v>1988</v>
    <v>1989</v>
    <v>1990</v>
    <v>1991</v>
    <v>1992</v>
    <v>1993</v>
    <v>Brazil</v>
    <v>Brazilian National Anthem</v>
    <v>1994</v>
    <v>República Federativa do Brasil</v>
    <v>1995</v>
    <v>1996</v>
    <v>1997</v>
    <v>885</v>
    <v>1998</v>
    <v>1999</v>
    <v>861</v>
    <v>1900</v>
    <v>623</v>
    <v>1766</v>
    <v>2000</v>
    <v>2028</v>
    <v>2029</v>
    <v>2030</v>
    <v>2031</v>
    <v>2032</v>
    <v>Brazil</v>
    <v>2033</v>
    <v>mdp/vdpid/32</v>
  </rv>
  <rv s="0">
    <v>536870912</v>
    <v>Pittsburgh</v>
    <v>67b9bd42-dc58-455c-9858-ece11da6a2fd</v>
    <v>en-US</v>
    <v>Map</v>
  </rv>
  <rv s="0">
    <v>536870912</v>
    <v>Allegheny County, Pennsylvania</v>
    <v>0545943c-8c71-ab81-283b-fb5f8f3bcb81</v>
    <v>en-US</v>
    <v>Map</v>
  </rv>
  <rv s="1">
    <fb>151</fb>
    <v>8</v>
  </rv>
  <rv s="2">
    <v>71</v>
    <v>6</v>
    <v>321</v>
    <v>7</v>
    <v>0</v>
    <v>Image of Pittsburgh</v>
  </rv>
  <rv s="1">
    <fb>40.441666666666698</fb>
    <v>9</v>
  </rv>
  <rv s="0">
    <v>805306368</v>
    <v>Ed Gainey (Mayor)</v>
    <v>2e529e45-5c30-976a-b3a8-08cde96efdc4</v>
    <v>en-US</v>
    <v>Generic</v>
  </rv>
  <rv s="3">
    <v>117</v>
  </rv>
  <rv s="4">
    <v>https://www.bing.com/search?q=pittsburgh&amp;form=skydnc</v>
    <v>Learn more on Bing</v>
  </rv>
  <rv s="1">
    <fb>-80</fb>
    <v>9</v>
  </rv>
  <rv s="1">
    <fb>303255</fb>
    <v>8</v>
  </rv>
  <rv s="8">
    <v>#VALUE!</v>
    <v>en-US</v>
    <v>67b9bd42-dc58-455c-9858-ece11da6a2fd</v>
    <v>536870912</v>
    <v>1</v>
    <v>322</v>
    <v>46</v>
    <v>Pittsburgh</v>
    <v>4</v>
    <v>5</v>
    <v>Map</v>
    <v>6</v>
    <v>167</v>
    <v>124</v>
    <v>2036</v>
    <v>2037</v>
    <v>940</v>
    <v>Pittsburgh is a city in and the county seat of Allegheny County, Pennsylvania, United States. It is the second-most populous city in Pennsylvania and the 68th-most populous city in the U.S., with a population of 302,971 as of the 2020 census. ...</v>
    <v>2038</v>
    <v>2039</v>
    <v>2041</v>
    <v>2042</v>
    <v>2043</v>
    <v>Pittsburgh</v>
    <v>2044</v>
    <v>11</v>
    <v>Pittsburgh</v>
    <v>mdp/vdpid/5480746593323843587</v>
  </rv>
  <rv s="0">
    <v>536870912</v>
    <v>Uruguay</v>
    <v>4d1c354d-d080-b633-86bc-0bad862c8cc1</v>
    <v>en-US</v>
    <v>Map</v>
  </rv>
  <rv s="1">
    <fb>0.82559705230116509</fb>
    <v>19</v>
  </rv>
  <rv s="1">
    <fb>176215</fb>
    <v>8</v>
  </rv>
  <rv s="1">
    <fb>22000</fb>
    <v>8</v>
  </rv>
  <rv s="1">
    <fb>13.856999999999999</fb>
    <v>18</v>
  </rv>
  <rv s="1">
    <fb>598</fb>
    <v>39</v>
  </rv>
  <rv s="0">
    <v>536870912</v>
    <v>Montevideo</v>
    <v>6f057c0a-9767-4c6b-b46f-6095e75df6ce</v>
    <v>en-US</v>
    <v>Map</v>
  </rv>
  <rv s="1">
    <fb>6765.6149999999998</fb>
    <v>8</v>
  </rv>
  <rv s="1">
    <fb>202.92198338614401</fb>
    <v>40</v>
  </rv>
  <rv s="1">
    <fb>7.8819887087962198E-2</fb>
    <v>19</v>
  </rv>
  <rv s="1">
    <fb>3085.1944193006002</fb>
    <v>8</v>
  </rv>
  <rv s="1">
    <fb>1.9730000000000001</fb>
    <v>18</v>
  </rv>
  <rv s="1">
    <fb>0.106715803350153</fb>
    <v>19</v>
  </rv>
  <rv s="1">
    <fb>46.270307888488801</fb>
    <v>41</v>
  </rv>
  <rv s="1">
    <fb>1.5</fb>
    <v>42</v>
  </rv>
  <rv s="1">
    <fb>56045912952.342003</fb>
    <v>17</v>
  </rv>
  <rv s="1">
    <fb>1.0845944000000001</fb>
    <v>19</v>
  </rv>
  <rv s="1">
    <fb>0.63125770000000003</fb>
    <v>19</v>
  </rv>
  <rv s="2">
    <v>72</v>
    <v>6</v>
    <v>324</v>
    <v>7</v>
    <v>0</v>
    <v>Image of Uruguay</v>
  </rv>
  <rv s="1">
    <fb>6.4</fb>
    <v>41</v>
  </rv>
  <rv s="0">
    <v>805306368</v>
    <v>Luis Lacalle Pou (President)</v>
    <v>45b12faf-c863-9c49-f448-8d6570636f58</v>
    <v>en-US</v>
    <v>Generic</v>
  </rv>
  <rv s="0">
    <v>805306368</v>
    <v>Beatriz Argimón (Vice president)</v>
    <v>fdad8b43-7954-7971-e1d7-65aea1df14f9</v>
    <v>en-US</v>
    <v>Generic</v>
  </rv>
  <rv s="3">
    <v>118</v>
  </rv>
  <rv s="4">
    <v>https://www.bing.com/search?q=uruguay&amp;form=skydnc</v>
    <v>Learn more on Bing</v>
  </rv>
  <rv s="1">
    <fb>77.77</fb>
    <v>41</v>
  </rv>
  <rv s="1">
    <fb>283800000</fb>
    <v>17</v>
  </rv>
  <rv s="1">
    <fb>17</fb>
    <v>41</v>
  </rv>
  <rv s="1">
    <fb>1.66</fb>
    <v>42</v>
  </rv>
  <rv s="3">
    <v>119</v>
  </rv>
  <rv s="1">
    <fb>0.16191438689999998</fb>
    <v>19</v>
  </rv>
  <rv s="1">
    <fb>5.0499000000000001</fb>
    <v>18</v>
  </rv>
  <rv s="1">
    <fb>3422794</fb>
    <v>8</v>
  </rv>
  <rv s="1">
    <fb>0.29699999999999999</fb>
    <v>19</v>
  </rv>
  <rv s="1">
    <fb>0.45899999999999996</fb>
    <v>19</v>
  </rv>
  <rv s="1">
    <fb>0.64021003723144498</fb>
    <v>19</v>
  </rv>
  <rv s="0">
    <v>536870912</v>
    <v>Artigas Department</v>
    <v>fba8474e-01a4-b560-b9db-3632789d7418</v>
    <v>en-US</v>
    <v>Map</v>
  </rv>
  <rv s="0">
    <v>536870912</v>
    <v>Canelones Department</v>
    <v>47a6cb77-1084-cc26-db7c-3a31f25cad6c</v>
    <v>en-US</v>
    <v>Map</v>
  </rv>
  <rv s="0">
    <v>536870912</v>
    <v>Cerro Largo Department</v>
    <v>17cbef99-9025-55af-1bf6-693b24e4cbf8</v>
    <v>en-US</v>
    <v>Map</v>
  </rv>
  <rv s="0">
    <v>536870912</v>
    <v>Colonia Department</v>
    <v>794441ed-35f5-6a38-65fe-1bd820a78487</v>
    <v>en-US</v>
    <v>Map</v>
  </rv>
  <rv s="0">
    <v>536870912</v>
    <v>Durazno Department</v>
    <v>812de676-d0a2-23e3-f7e6-3e002da3a2ca</v>
    <v>en-US</v>
    <v>Map</v>
  </rv>
  <rv s="0">
    <v>536870912</v>
    <v>Flores Department</v>
    <v>8744bd18-02b9-d69c-5205-c77980587fa8</v>
    <v>en-US</v>
    <v>Map</v>
  </rv>
  <rv s="0">
    <v>536870912</v>
    <v>Florida Department</v>
    <v>ea047b14-8780-2d2b-754d-7fb89f334f00</v>
    <v>en-US</v>
    <v>Map</v>
  </rv>
  <rv s="0">
    <v>536870912</v>
    <v>Lavalleja Department</v>
    <v>10d28e4e-b416-05ae-493b-27e45db3a2a5</v>
    <v>en-US</v>
    <v>Map</v>
  </rv>
  <rv s="0">
    <v>536870912</v>
    <v>Maldonado Department</v>
    <v>bc35c120-ecdd-02db-b583-d31b4a2752db</v>
    <v>en-US</v>
    <v>Map</v>
  </rv>
  <rv s="0">
    <v>536870912</v>
    <v>Montevideo Department</v>
    <v>b91bb4e2-7350-50c2-c5ec-7a29179101c8</v>
    <v>en-US</v>
    <v>Map</v>
  </rv>
  <rv s="0">
    <v>536870912</v>
    <v>Paysandú Department</v>
    <v>62ccb945-3081-60ca-acbc-2879d5666afa</v>
    <v>en-US</v>
    <v>Map</v>
  </rv>
  <rv s="0">
    <v>536870912</v>
    <v>Río Negro Department</v>
    <v>c51cdc11-8d24-b6c6-218e-1bf15937ed9f</v>
    <v>en-US</v>
    <v>Map</v>
  </rv>
  <rv s="0">
    <v>536870912</v>
    <v>Rivera Department</v>
    <v>93dab529-8b73-8eaa-840b-3bfd75594642</v>
    <v>en-US</v>
    <v>Map</v>
  </rv>
  <rv s="0">
    <v>536870912</v>
    <v>Rocha Department</v>
    <v>6ec9f1ef-cd41-1cd6-4b5b-098fdf2c9a42</v>
    <v>en-US</v>
    <v>Map</v>
  </rv>
  <rv s="0">
    <v>536870912</v>
    <v>Salto Department</v>
    <v>03610b7b-013c-0ee8-410e-862a629b2ea6</v>
    <v>en-US</v>
    <v>Map</v>
  </rv>
  <rv s="0">
    <v>536870912</v>
    <v>San José Department</v>
    <v>430941cb-a24d-6855-7fd1-c2de5e0eafb0</v>
    <v>en-US</v>
    <v>Map</v>
  </rv>
  <rv s="0">
    <v>536870912</v>
    <v>Soriano Department</v>
    <v>20c5f360-f062-1dba-7326-b35033e2d45b</v>
    <v>en-US</v>
    <v>Map</v>
  </rv>
  <rv s="0">
    <v>536870912</v>
    <v>Tacuarembó Department</v>
    <v>3d3ab1e0-e4dd-a712-e9ed-4e8019c73c8b</v>
    <v>en-US</v>
    <v>Map</v>
  </rv>
  <rv s="0">
    <v>536870912</v>
    <v>Treinta y Tres Department</v>
    <v>ce5de2e0-0829-6413-4cfe-22c8fb1f8bb1</v>
    <v>en-US</v>
    <v>Map</v>
  </rv>
  <rv s="3">
    <v>120</v>
  </rv>
  <rv s="1">
    <fb>0.20091963021411099</fb>
    <v>19</v>
  </rv>
  <rv s="3">
    <v>121</v>
  </rv>
  <rv s="1">
    <fb>0.41799999999999998</fb>
    <v>19</v>
  </rv>
  <rv s="1">
    <fb>8.7309999465942395E-2</fb>
    <v>43</v>
  </rv>
  <rv s="1">
    <fb>3303394</fb>
    <v>8</v>
  </rv>
  <rv s="7">
    <v>#VALUE!</v>
    <v>en-US</v>
    <v>4d1c354d-d080-b633-86bc-0bad862c8cc1</v>
    <v>536870912</v>
    <v>1</v>
    <v>327</v>
    <v>37</v>
    <v>Uruguay</v>
    <v>4</v>
    <v>5</v>
    <v>Map</v>
    <v>6</v>
    <v>328</v>
    <v>UY</v>
    <v>2047</v>
    <v>2048</v>
    <v>2049</v>
    <v>2050</v>
    <v>2051</v>
    <v>2052</v>
    <v>2053</v>
    <v>2054</v>
    <v>2055</v>
    <v>UYU</v>
    <v>Uruguay, officially the Oriental Republic of Uruguay, is a country in South America. It shares borders with Argentina to its west and southwest and Brazil to its north and northeast, while bordering the Río de la Plata to the south and the ...</v>
    <v>2056</v>
    <v>2057</v>
    <v>2058</v>
    <v>2059</v>
    <v>2060</v>
    <v>2061</v>
    <v>2062</v>
    <v>2063</v>
    <v>2064</v>
    <v>2065</v>
    <v>2052</v>
    <v>2068</v>
    <v>2069</v>
    <v>2070</v>
    <v>2071</v>
    <v>2072</v>
    <v>2073</v>
    <v>Uruguay</v>
    <v>National Anthem of Uruguay</v>
    <v>2074</v>
    <v>Repúbilca Oriental del Uruguay</v>
    <v>2075</v>
    <v>2076</v>
    <v>2077</v>
    <v>36</v>
    <v>2078</v>
    <v>2079</v>
    <v>516</v>
    <v>787</v>
    <v>597</v>
    <v>86</v>
    <v>2080</v>
    <v>2100</v>
    <v>2101</v>
    <v>2102</v>
    <v>2103</v>
    <v>2104</v>
    <v>Uruguay</v>
    <v>2105</v>
    <v>mdp/vdpid/246</v>
  </rv>
  <rv s="0">
    <v>536870912</v>
    <v>Grinnell, Iowa</v>
    <v>62737a92-ae86-9b5d-9b52-d2381ad2f216</v>
    <v>en-US</v>
    <v>Map</v>
  </rv>
  <rv s="0">
    <v>536870912</v>
    <v>Poweshiek County, Iowa</v>
    <v>faaa9661-5382-304d-58f5-6199b4e0c893</v>
    <v>en-US</v>
    <v>Map</v>
  </rv>
  <rv s="1">
    <fb>14.364091</fb>
    <v>8</v>
  </rv>
  <rv s="2">
    <v>73</v>
    <v>6</v>
    <v>329</v>
    <v>7</v>
    <v>0</v>
    <v>Image of Grinnell, Iowa</v>
  </rv>
  <rv s="1">
    <fb>41.743611111111001</fb>
    <v>9</v>
  </rv>
  <rv s="4">
    <v>https://www.bing.com/search?q=grinnell+iowa&amp;form=skydnc</v>
    <v>Learn more on Bing</v>
  </rv>
  <rv s="1">
    <fb>-92.724722222221999</fb>
    <v>9</v>
  </rv>
  <rv s="1">
    <fb>9564</fb>
    <v>8</v>
  </rv>
  <rv s="16">
    <v>#VALUE!</v>
    <v>en-US</v>
    <v>62737a92-ae86-9b5d-9b52-d2381ad2f216</v>
    <v>536870912</v>
    <v>1</v>
    <v>330</v>
    <v>220</v>
    <v>Grinnell, Iowa</v>
    <v>4</v>
    <v>5</v>
    <v>Map</v>
    <v>6</v>
    <v>7</v>
    <v>102</v>
    <v>2108</v>
    <v>2109</v>
    <v>191</v>
    <v>Grinnell is a city in Poweshiek County, Iowa, United States. The population was 9,564 at the time of the 2020 census. It is best known for being the home of Grinnell College, as well as being the location of the Merchants' National Bank ...</v>
    <v>2110</v>
    <v>2111</v>
    <v>2112</v>
    <v>2113</v>
    <v>Grinnell, Iowa</v>
    <v>2114</v>
    <v>254</v>
    <v>Grinnell, Iowa</v>
    <v>mdp/vdpid/5093027083324489729</v>
  </rv>
  <rv s="0">
    <v>536870912</v>
    <v>Waterville, Maine</v>
    <v>bccdffc8-e311-85b5-6547-10744910d73b</v>
    <v>en-US</v>
    <v>Map</v>
  </rv>
  <rv s="0">
    <v>536870912</v>
    <v>Kennebec County</v>
    <v>8de68467-c34b-ec2b-e1d5-26cbcc48b79a</v>
    <v>en-US</v>
    <v>Map</v>
  </rv>
  <rv s="1">
    <fb>36.397387000000002</fb>
    <v>8</v>
  </rv>
  <rv s="2">
    <v>74</v>
    <v>6</v>
    <v>331</v>
    <v>7</v>
    <v>0</v>
    <v>Image of Waterville, Maine</v>
  </rv>
  <rv s="1">
    <fb>44.551944444443997</fb>
    <v>9</v>
  </rv>
  <rv s="0">
    <v>805306368</v>
    <v>Jay Coelho (Mayor)</v>
    <v>b84e15ca-f655-8a30-4eb1-d558f5e616fc</v>
    <v>en-US</v>
    <v>Generic</v>
  </rv>
  <rv s="3">
    <v>122</v>
  </rv>
  <rv s="4">
    <v>https://www.bing.com/search?q=waterville+maine&amp;form=skydnc</v>
    <v>Learn more on Bing</v>
  </rv>
  <rv s="1">
    <fb>-69.645833333333002</fb>
    <v>9</v>
  </rv>
  <rv s="1">
    <fb>15828</fb>
    <v>8</v>
  </rv>
  <rv s="8">
    <v>#VALUE!</v>
    <v>en-US</v>
    <v>bccdffc8-e311-85b5-6547-10744910d73b</v>
    <v>536870912</v>
    <v>1</v>
    <v>332</v>
    <v>46</v>
    <v>Waterville, Maine</v>
    <v>4</v>
    <v>5</v>
    <v>Map</v>
    <v>6</v>
    <v>7</v>
    <v>106</v>
    <v>2117</v>
    <v>2118</v>
    <v>3</v>
    <v>Waterville is a city in Kennebec County, Maine, United States, on the west bank of the Kennebec River. The city is home to Colby College and Thomas College. As of the 2020 census the population was 15,828. Along with Augusta, Waterville is one ...</v>
    <v>2119</v>
    <v>2120</v>
    <v>2122</v>
    <v>2123</v>
    <v>2124</v>
    <v>Waterville, Maine</v>
    <v>2125</v>
    <v>11</v>
    <v>Waterville, Maine</v>
    <v>mdp/vdpid/5488252247114514433</v>
  </rv>
  <rv s="0">
    <v>536870912</v>
    <v>Miane</v>
    <v>7c296735-f6d0-c3c5-e7a6-6c9bd255bb0b</v>
    <v>en-US</v>
    <v>Map</v>
  </rv>
  <rv s="1">
    <fb>30.88</fb>
    <v>8</v>
  </rv>
  <rv s="1">
    <fb>45.95</fb>
    <v>9</v>
  </rv>
  <rv s="4">
    <v>https://www.bing.com/search?q=miane+italy&amp;form=skydnc</v>
    <v>Learn more on Bing</v>
  </rv>
  <rv s="1">
    <fb>12.1</fb>
    <v>9</v>
  </rv>
  <rv s="1">
    <fb>3118</fb>
    <v>8</v>
  </rv>
  <rv s="21">
    <v>#VALUE!</v>
    <v>en-US</v>
    <v>7c296735-f6d0-c3c5-e7a6-6c9bd255bb0b</v>
    <v>536870912</v>
    <v>1</v>
    <v>334</v>
    <v>335</v>
    <v>Miane</v>
    <v>4</v>
    <v>336</v>
    <v>Map</v>
    <v>6</v>
    <v>167</v>
    <v>1787</v>
    <v>2128</v>
    <v>1735</v>
    <v>Miane is a comune in the Province of Treviso in the Italian region Veneto, located about 60 kilometres northwest of Venice and about 35 kilometres northwest of Treviso. As of 31 December 2004, it had a population of 3,661 and an area of 30.9 ...</v>
    <v>2129</v>
    <v>2130</v>
    <v>2131</v>
    <v>Miane</v>
    <v>2132</v>
    <v>Miane</v>
    <v>mdp/vdpid/7022573782283845633</v>
  </rv>
  <rv s="0">
    <v>536870912</v>
    <v>Getafe</v>
    <v>99b5dffc-d6a8-4c66-b021-5f63a2060e3c</v>
    <v>en-US</v>
    <v>Map</v>
  </rv>
  <rv s="1">
    <fb>78.739999999999995</fb>
    <v>8</v>
  </rv>
  <rv s="0">
    <v>536870912</v>
    <v>Spain</v>
    <v>32ba7e90-50d9-abbf-6822-7fd7ea22999b</v>
    <v>en-US</v>
    <v>Map</v>
  </rv>
  <rv s="2">
    <v>75</v>
    <v>6</v>
    <v>337</v>
    <v>7</v>
    <v>0</v>
    <v>Image of Getafe</v>
  </rv>
  <rv s="1">
    <fb>40.299999999999997</fb>
    <v>9</v>
  </rv>
  <rv s="0">
    <v>805306368</v>
    <v>Sara Hernández (Mayor)</v>
    <v>dbe9c3d5-db39-8ac6-c79f-b1eedbc7b851</v>
    <v>en-US</v>
    <v>Generic</v>
  </rv>
  <rv s="3">
    <v>123</v>
  </rv>
  <rv s="4">
    <v>https://www.bing.com/search?q=getafe+spain&amp;form=skydnc</v>
    <v>Learn more on Bing</v>
  </rv>
  <rv s="1">
    <fb>-3.7166666666667001</fb>
    <v>9</v>
  </rv>
  <rv s="1">
    <fb>187525</fb>
    <v>8</v>
  </rv>
  <rv s="3">
    <v>124</v>
  </rv>
  <rv s="5">
    <v>#VALUE!</v>
    <v>en-US</v>
    <v>99b5dffc-d6a8-4c66-b021-5f63a2060e3c</v>
    <v>536870912</v>
    <v>1</v>
    <v>338</v>
    <v>2</v>
    <v>Getafe</v>
    <v>4</v>
    <v>5</v>
    <v>Map</v>
    <v>6</v>
    <v>167</v>
    <v>1122</v>
    <v>2135</v>
    <v>2136</v>
    <v>Getafe is a municipality and a city in Spain belonging to the Community of Madrid. As of 2018, it has a population of 180,747, the region's sixth most populated municipality. Getafe is located 13 km south of Madrid's city centre, within a flat ...</v>
    <v>2137</v>
    <v>2138</v>
    <v>2140</v>
    <v>2141</v>
    <v>2142</v>
    <v>Getafe</v>
    <v>2143</v>
    <v>2144</v>
    <v>Getafe</v>
    <v>mdp/vdpid/5669358810767032321</v>
  </rv>
  <rv s="0">
    <v>536870912</v>
    <v>Toulouse</v>
    <v>66f18335-714d-a89b-accf-daa50ae2a3b0</v>
    <v>en-US</v>
    <v>Map</v>
  </rv>
  <rv s="0">
    <v>536870912</v>
    <v>Toulouse Métropole</v>
    <v>2afec0cf-5b51-7c80-0629-1e6bad081da1</v>
    <v>en-US</v>
    <v>Map</v>
  </rv>
  <rv s="1">
    <fb>118.3</fb>
    <v>8</v>
  </rv>
  <rv s="2">
    <v>76</v>
    <v>6</v>
    <v>339</v>
    <v>7</v>
    <v>0</v>
    <v>Image of Toulouse</v>
  </rv>
  <rv s="1">
    <fb>43.604444444443999</fb>
    <v>9</v>
  </rv>
  <rv s="0">
    <v>805306368</v>
    <v>Jean-Luc Moudenc (Mayor)</v>
    <v>a9140916-0f7c-fe51-aebc-132ef414dd94</v>
    <v>en-US</v>
    <v>Generic</v>
  </rv>
  <rv s="3">
    <v>125</v>
  </rv>
  <rv s="4">
    <v>https://www.bing.com/search?q=toulouse&amp;form=skydnc</v>
    <v>Learn more on Bing</v>
  </rv>
  <rv s="1">
    <fb>1.4438888888889001</fb>
    <v>9</v>
  </rv>
  <rv s="1">
    <fb>511684</fb>
    <v>8</v>
  </rv>
  <rv s="8">
    <v>#VALUE!</v>
    <v>en-US</v>
    <v>66f18335-714d-a89b-accf-daa50ae2a3b0</v>
    <v>536870912</v>
    <v>1</v>
    <v>340</v>
    <v>46</v>
    <v>Toulouse</v>
    <v>4</v>
    <v>5</v>
    <v>Map</v>
    <v>6</v>
    <v>252</v>
    <v>2147</v>
    <v>2147</v>
    <v>2148</v>
    <v>1263</v>
    <v>Toulouse is the prefecture of the French department of Haute-Garonne and of the larger region of Occitania. The city is on the banks of the River Garonne, 150 kilometres from the Mediterranean Sea, 230 km from the Atlantic Ocean and 680 km from ...</v>
    <v>2149</v>
    <v>2150</v>
    <v>2152</v>
    <v>2153</v>
    <v>2154</v>
    <v>Toulouse</v>
    <v>2155</v>
    <v>1082</v>
    <v>Toulouse</v>
    <v>mdp/vdpid/7206182192253239297</v>
  </rv>
  <rv s="0">
    <v>536870912</v>
    <v>Singapore</v>
    <v>f5ffb882-7230-f3fe-7141-cde5f4b5ed1a</v>
    <v>en-US</v>
    <v>Map</v>
  </rv>
  <rv s="1">
    <fb>9.3088859241440211E-3</fb>
    <v>19</v>
  </rv>
  <rv s="1">
    <fb>719.1</fb>
    <v>8</v>
  </rv>
  <rv s="1">
    <fb>81000</fb>
    <v>8</v>
  </rv>
  <rv s="1">
    <fb>8.8000000000000007</fb>
    <v>18</v>
  </rv>
  <rv s="1">
    <fb>65</fb>
    <v>39</v>
  </rv>
  <rv s="0">
    <v>536870912</v>
    <v>Singapore</v>
    <v>bc4c8e45-2078-1a1c-ec5f-c53a31c59378</v>
    <v>en-US</v>
    <v>Map</v>
  </rv>
  <rv s="1">
    <fb>37535.411999999997</fb>
    <v>8</v>
  </rv>
  <rv s="1">
    <fb>114.40578588194499</fb>
    <v>40</v>
  </rv>
  <rv s="1">
    <fb>5.6526056878035804E-3</fb>
    <v>19</v>
  </rv>
  <rv s="1">
    <fb>8844.6875930120095</fb>
    <v>8</v>
  </rv>
  <rv s="1">
    <fb>1.1399999999999999</fb>
    <v>18</v>
  </rv>
  <rv s="1">
    <fb>0.23060648842866199</fb>
    <v>19</v>
  </rv>
  <rv s="1">
    <fb>90.578873580503199</fb>
    <v>41</v>
  </rv>
  <rv s="1">
    <fb>1.25</fb>
    <v>42</v>
  </rv>
  <rv s="1">
    <fb>372062527488.638</fb>
    <v>17</v>
  </rv>
  <rv s="1">
    <fb>1.0062694999999999</fb>
    <v>19</v>
  </rv>
  <rv s="1">
    <fb>0.8479291000000001</fb>
    <v>19</v>
  </rv>
  <rv s="2">
    <v>77</v>
    <v>6</v>
    <v>342</v>
    <v>7</v>
    <v>0</v>
    <v>Image of Singapore</v>
  </rv>
  <rv s="1">
    <fb>2.2999999999999998</fb>
    <v>41</v>
  </rv>
  <rv s="0">
    <v>805306368</v>
    <v>Tharman Shanmugaratnam (President)</v>
    <v>98678290-c25c-ece2-19bf-1b9d4e19eff5</v>
    <v>en-US</v>
    <v>Generic</v>
  </rv>
  <rv s="0">
    <v>805306368</v>
    <v>Lawrence Wong (Prime minister)</v>
    <v>23974a85-a24e-4314-ae44-6d1017f1cf9c</v>
    <v>en-US</v>
    <v>Generic</v>
  </rv>
  <rv s="3">
    <v>126</v>
  </rv>
  <rv s="4">
    <v>https://www.bing.com/search?q=singapore&amp;form=skydnc</v>
    <v>Learn more on Bing</v>
  </rv>
  <rv s="1">
    <fb>83.146341463414601</fb>
    <v>41</v>
  </rv>
  <rv s="1">
    <fb>697271330000</fb>
    <v>17</v>
  </rv>
  <rv s="3">
    <v>127</v>
  </rv>
  <rv s="1">
    <fb>0.367371636</fb>
    <v>19</v>
  </rv>
  <rv s="1">
    <fb>2.2936000000000001</fb>
    <v>18</v>
  </rv>
  <rv s="1">
    <fb>5637022</fb>
    <v>8</v>
  </rv>
  <rv s="1">
    <fb>0.70538002014160195</fb>
    <v>19</v>
  </rv>
  <rv s="1">
    <fb>0.131417170586072</fb>
    <v>19</v>
  </rv>
  <rv s="3">
    <v>128</v>
  </rv>
  <rv s="1">
    <fb>4.1090002059936494E-2</fb>
    <v>43</v>
  </rv>
  <rv s="1">
    <fb>5703569</fb>
    <v>8</v>
  </rv>
  <rv s="22">
    <v>#VALUE!</v>
    <v>en-US</v>
    <v>f5ffb882-7230-f3fe-7141-cde5f4b5ed1a</v>
    <v>536870912</v>
    <v>1</v>
    <v>345</v>
    <v>346</v>
    <v>Singapore</v>
    <v>4</v>
    <v>5</v>
    <v>Map</v>
    <v>6</v>
    <v>347</v>
    <v>SG</v>
    <v>2158</v>
    <v>2159</v>
    <v>2160</v>
    <v>2161</v>
    <v>2162</v>
    <v>2163</v>
    <v>2164</v>
    <v>2165</v>
    <v>2166</v>
    <v>SGD</v>
    <v>Singapore, officially the Republic of Singapore, is an island country and city-state in Southeast Asia. The country's territory comprises one main island, 63 satellite islands and islets, and one outlying islet. It is about one degree of ...</v>
    <v>2167</v>
    <v>2168</v>
    <v>2169</v>
    <v>2170</v>
    <v>2171</v>
    <v>2172</v>
    <v>2173</v>
    <v>2174</v>
    <v>2175</v>
    <v>2176</v>
    <v>2179</v>
    <v>2180</v>
    <v>2181</v>
    <v>2182</v>
    <v>1296</v>
    <v>Singapore</v>
    <v>Majulah Singapura</v>
    <v>2183</v>
    <v>Republic of Singapore</v>
    <v>2184</v>
    <v>2185</v>
    <v>2186</v>
    <v>2187</v>
    <v>2188</v>
    <v>2189</v>
    <v>760</v>
    <v>2190</v>
    <v>Singapore</v>
    <v>2191</v>
    <v>mdp/vdpid/215</v>
  </rv>
  <rv s="0">
    <v>536870912</v>
    <v>Dublin</v>
    <v>7e7d2832-97c8-afa4-d282-865c20a549c9</v>
    <v>en-US</v>
    <v>Map</v>
  </rv>
  <rv s="1">
    <fb>114.99</fb>
    <v>8</v>
  </rv>
  <rv s="0">
    <v>536870912</v>
    <v>Republic of Ireland</v>
    <v>77f28672-5669-4775-a58a-b62b17779010</v>
    <v>en-US</v>
    <v>Map</v>
  </rv>
  <rv s="2">
    <v>78</v>
    <v>6</v>
    <v>349</v>
    <v>7</v>
    <v>0</v>
    <v>Image of Dublin</v>
  </rv>
  <rv s="1">
    <fb>53.349722222222198</fb>
    <v>9</v>
  </rv>
  <rv s="0">
    <v>805306368</v>
    <v>Emma Blain (Mayor)</v>
    <v>b5d63317-690f-39b5-8ae9-56eaac5c2452</v>
    <v>en-US</v>
    <v>Generic</v>
  </rv>
  <rv s="3">
    <v>129</v>
  </rv>
  <rv s="4">
    <v>https://www.bing.com/search?q=dublin+ireland&amp;form=skydnc</v>
    <v>Learn more on Bing</v>
  </rv>
  <rv s="1">
    <fb>-6.2602777777777803</fb>
    <v>9</v>
  </rv>
  <rv s="1">
    <fb>592713</fb>
    <v>8</v>
  </rv>
  <rv s="3">
    <v>130</v>
  </rv>
  <rv s="23">
    <v>#VALUE!</v>
    <v>en-US</v>
    <v>7e7d2832-97c8-afa4-d282-865c20a549c9</v>
    <v>536870912</v>
    <v>1</v>
    <v>350</v>
    <v>351</v>
    <v>Dublin</v>
    <v>4</v>
    <v>5</v>
    <v>Map</v>
    <v>6</v>
    <v>252</v>
    <v>2194</v>
    <v>2195</v>
    <v>Dublin is the capital city of Ireland. On a bay at the mouth of the River Liffey, it is in the province of Leinster, bordered on the south by the Dublin Mountains, a part of the Wicklow Mountains range. At the 2022 census, the city council area ...</v>
    <v>2196</v>
    <v>2197</v>
    <v>2199</v>
    <v>2200</v>
    <v>2201</v>
    <v>Dublin</v>
    <v>2202</v>
    <v>2203</v>
    <v>Dublin</v>
    <v>mdp/vdpid/5469235680884293633</v>
  </rv>
  <rv s="0">
    <v>536870912</v>
    <v>Denmark</v>
    <v>95710a2f-c32d-4c03-bec0-7ff079db158d</v>
    <v>en-US</v>
    <v>Map</v>
  </rv>
  <rv s="1">
    <fb>0.62014765420338203</fb>
    <v>19</v>
  </rv>
  <rv s="1">
    <fb>42925.46</fb>
    <v>8</v>
  </rv>
  <rv s="1">
    <fb>15000</fb>
    <v>8</v>
  </rv>
  <rv s="1">
    <fb>10.6</fb>
    <v>18</v>
  </rv>
  <rv s="1">
    <fb>45</fb>
    <v>39</v>
  </rv>
  <rv s="0">
    <v>536870912</v>
    <v>Copenhagen</v>
    <v>8052664d-a70c-e1fa-c761-489d8c924b80</v>
    <v>en-US</v>
    <v>Map</v>
  </rv>
  <rv s="1">
    <fb>31785.556</fb>
    <v>8</v>
  </rv>
  <rv s="1">
    <fb>110.347290420498</fb>
    <v>40</v>
  </rv>
  <rv s="1">
    <fb>7.5813157251161901E-3</fb>
    <v>19</v>
  </rv>
  <rv s="1">
    <fb>5858.8015362874803</fb>
    <v>8</v>
  </rv>
  <rv s="1">
    <fb>0.14699213400884101</fb>
    <v>19</v>
  </rv>
  <rv s="1">
    <fb>64.927089467566603</fb>
    <v>41</v>
  </rv>
  <rv s="1">
    <fb>1.55</fb>
    <v>42</v>
  </rv>
  <rv s="1">
    <fb>348078018463.90503</fb>
    <v>17</v>
  </rv>
  <rv s="1">
    <fb>1.0126809000000001</fb>
    <v>19</v>
  </rv>
  <rv s="1">
    <fb>0.8061602000000001</fb>
    <v>19</v>
  </rv>
  <rv s="2">
    <v>79</v>
    <v>6</v>
    <v>353</v>
    <v>7</v>
    <v>0</v>
    <v>Image of Denmark</v>
  </rv>
  <rv s="1">
    <fb>3.6</fb>
    <v>41</v>
  </rv>
  <rv s="0">
    <v>805306368</v>
    <v>Frederik X (Monarch)</v>
    <v>665fc785-58e1-6330-943b-e070a89f8231</v>
    <v>en-US</v>
    <v>Generic</v>
  </rv>
  <rv s="0">
    <v>805306368</v>
    <v>Mette Frederiksen (Prime minister)</v>
    <v>080235cf-4453-82c5-a952-a9e6000ac49b</v>
    <v>en-US</v>
    <v>Generic</v>
  </rv>
  <rv s="3">
    <v>131</v>
  </rv>
  <rv s="4">
    <v>https://www.bing.com/search?q=denmark&amp;form=skydnc</v>
    <v>Learn more on Bing</v>
  </rv>
  <rv s="1">
    <fb>80.953658536585394</fb>
    <v>41</v>
  </rv>
  <rv s="1">
    <fb>151349870000</fb>
    <v>17</v>
  </rv>
  <rv s="3">
    <v>132</v>
  </rv>
  <rv s="1">
    <fb>0.13722792379999998</fb>
    <v>19</v>
  </rv>
  <rv s="1">
    <fb>4.0099</fb>
    <v>18</v>
  </rv>
  <rv s="1">
    <fb>5903037</fb>
    <v>8</v>
  </rv>
  <rv s="1">
    <fb>0.24</fb>
    <v>19</v>
  </rv>
  <rv s="1">
    <fb>3.7000000000000005E-2</fb>
    <v>19</v>
  </rv>
  <rv s="1">
    <fb>0.62217998504638705</fb>
    <v>19</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133</v>
  </rv>
  <rv s="1">
    <fb>0.32382317837334801</fb>
    <v>19</v>
  </rv>
  <rv s="1">
    <fb>4.9130001068115201E-2</fb>
    <v>43</v>
  </rv>
  <rv s="1">
    <fb>5119978</fb>
    <v>8</v>
  </rv>
  <rv s="20">
    <v>#VALUE!</v>
    <v>en-US</v>
    <v>95710a2f-c32d-4c03-bec0-7ff079db158d</v>
    <v>536870912</v>
    <v>1</v>
    <v>356</v>
    <v>293</v>
    <v>Denmark</v>
    <v>4</v>
    <v>5</v>
    <v>Map</v>
    <v>6</v>
    <v>357</v>
    <v>DK</v>
    <v>2206</v>
    <v>2207</v>
    <v>2208</v>
    <v>2209</v>
    <v>2210</v>
    <v>2211</v>
    <v>2212</v>
    <v>2213</v>
    <v>2214</v>
    <v>DKK</v>
    <v>Denmark is a Nordic country in Northern Europe. It is the metropole and most populous constituent of the Kingdom of Denmark, also known as the Danish Realm, a constitutionally unitary state that includes the autonomous territories of the Faroe ...</v>
    <v>2215</v>
    <v>1976</v>
    <v>2216</v>
    <v>2217</v>
    <v>2218</v>
    <v>2219</v>
    <v>2220</v>
    <v>2221</v>
    <v>2222</v>
    <v>2223</v>
    <v>2211</v>
    <v>2226</v>
    <v>2227</v>
    <v>2228</v>
    <v>2229</v>
    <v>1109</v>
    <v>Denmark</v>
    <v>Der er et yndigt land</v>
    <v>2230</v>
    <v>Kongeriget Danmark</v>
    <v>2231</v>
    <v>2232</v>
    <v>2233</v>
    <v>1302</v>
    <v>2234</v>
    <v>312</v>
    <v>2235</v>
    <v>679</v>
    <v>859</v>
    <v>1118</v>
    <v>2236</v>
    <v>2242</v>
    <v>2243</v>
    <v>1331</v>
    <v>219</v>
    <v>2244</v>
    <v>Denmark</v>
    <v>2245</v>
    <v>mdp/vdpid/61</v>
  </rv>
  <rv s="0">
    <v>536870912</v>
    <v>United Kingdom</v>
    <v>b1a5155a-6bb2-4646-8f7c-3e6b3a53c831</v>
    <v>en-US</v>
    <v>Map</v>
  </rv>
  <rv s="1">
    <fb>0.71714878141404492</fb>
    <v>19</v>
  </rv>
  <rv s="1">
    <fb>242495</fb>
    <v>8</v>
  </rv>
  <rv s="1">
    <fb>148000</fb>
    <v>8</v>
  </rv>
  <rv s="1">
    <fb>11</fb>
    <v>18</v>
  </rv>
  <rv s="1">
    <fb>44</fb>
    <v>39</v>
  </rv>
  <rv s="0">
    <v>536870912</v>
    <v>London</v>
    <v>8e0ba7b6-4225-fa8a-6369-1b5294e602a5</v>
    <v>en-US</v>
    <v>Map</v>
  </rv>
  <rv s="1">
    <fb>379024.78700000001</fb>
    <v>8</v>
  </rv>
  <rv s="1">
    <fb>119.622711300166</fb>
    <v>40</v>
  </rv>
  <rv s="1">
    <fb>1.7381046008651101E-2</fb>
    <v>19</v>
  </rv>
  <rv s="1">
    <fb>5129.5277927901998</fb>
    <v>8</v>
  </rv>
  <rv s="1">
    <fb>1.68</fb>
    <v>18</v>
  </rv>
  <rv s="1">
    <fb>0.130657628239573</fb>
    <v>19</v>
  </rv>
  <rv s="1">
    <fb>80.351771267255202</fb>
    <v>41</v>
  </rv>
  <rv s="1">
    <fb>1.46</fb>
    <v>42</v>
  </rv>
  <rv s="1">
    <fb>2827113184695.5801</fb>
    <v>17</v>
  </rv>
  <rv s="1">
    <fb>1.0115456</fb>
    <v>19</v>
  </rv>
  <rv s="1">
    <fb>0.59995569999999998</fb>
    <v>19</v>
  </rv>
  <rv s="2">
    <v>80</v>
    <v>6</v>
    <v>359</v>
    <v>7</v>
    <v>0</v>
    <v>Image of United Kingdom</v>
  </rv>
  <rv s="0">
    <v>805306368</v>
    <v>Keir Starmer (Prime minister)</v>
    <v>63a6ef59-71fd-db08-08c6-d47d973d47fb</v>
    <v>en-US</v>
    <v>Generic</v>
  </rv>
  <rv s="3">
    <v>134</v>
  </rv>
  <rv s="4">
    <v>https://www.bing.com/search?q=united+kingdom&amp;form=skydnc</v>
    <v>Learn more on Bing</v>
  </rv>
  <rv s="1">
    <fb>81.256097560975604</fb>
    <v>41</v>
  </rv>
  <rv s="1">
    <fb>1868152970000</fb>
    <v>17</v>
  </rv>
  <rv s="1">
    <fb>10.130000000000001</fb>
    <v>42</v>
  </rv>
  <rv s="1">
    <fb>0.14794489889999998</fb>
    <v>19</v>
  </rv>
  <rv s="1">
    <fb>2.8117000000000001</fb>
    <v>18</v>
  </rv>
  <rv s="1">
    <fb>66971411</fb>
    <v>8</v>
  </rv>
  <rv s="1">
    <fb>0.26800000000000002</fb>
    <v>19</v>
  </rv>
  <rv s="1">
    <fb>0.11900000000000001</fb>
    <v>19</v>
  </rv>
  <rv s="1">
    <fb>0.62773998260497998</fb>
    <v>19</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135</v>
  </rv>
  <rv s="1">
    <fb>0.255052921600669</fb>
    <v>19</v>
  </rv>
  <rv s="3">
    <v>136</v>
  </rv>
  <rv s="1">
    <fb>0.30599999999999999</fb>
    <v>19</v>
  </rv>
  <rv s="1">
    <fb>3.8510000705719E-2</fb>
    <v>43</v>
  </rv>
  <rv s="1">
    <fb>55908316</fb>
    <v>8</v>
  </rv>
  <rv s="7">
    <v>#VALUE!</v>
    <v>en-US</v>
    <v>b1a5155a-6bb2-4646-8f7c-3e6b3a53c831</v>
    <v>536870912</v>
    <v>1</v>
    <v>362</v>
    <v>37</v>
    <v>United Kingdom</v>
    <v>4</v>
    <v>5</v>
    <v>Map</v>
    <v>6</v>
    <v>363</v>
    <v>GB</v>
    <v>2248</v>
    <v>2249</v>
    <v>2250</v>
    <v>2251</v>
    <v>2252</v>
    <v>2253</v>
    <v>2254</v>
    <v>2255</v>
    <v>2256</v>
    <v>GBP</v>
    <v>The United Kingdom of Great Britain and Northern Ireland, commonly known as the United Kingdom or Britain, is a country in Northwestern Europe, off the coast of the continental mainland. It comprises England, Scotland, Wales, and Northern ...</v>
    <v>2257</v>
    <v>2258</v>
    <v>2259</v>
    <v>2260</v>
    <v>2261</v>
    <v>2262</v>
    <v>2263</v>
    <v>2264</v>
    <v>2265</v>
    <v>2223</v>
    <v>2253</v>
    <v>2267</v>
    <v>2268</v>
    <v>2269</v>
    <v>2270</v>
    <v>1515</v>
    <v>2271</v>
    <v>United Kingdom</v>
    <v>God Save the King</v>
    <v>76</v>
    <v>United Kingdom of Great Britain and Northern Ireland</v>
    <v>2272</v>
    <v>2273</v>
    <v>2274</v>
    <v>36</v>
    <v>2275</v>
    <v>1595</v>
    <v>372</v>
    <v>350</v>
    <v>2276</v>
    <v>208</v>
    <v>2277</v>
    <v>2282</v>
    <v>2283</v>
    <v>2284</v>
    <v>2285</v>
    <v>2286</v>
    <v>United Kingdom</v>
    <v>2287</v>
    <v>mdp/vdpid/242</v>
  </rv>
  <rv s="0">
    <v>536870912</v>
    <v>Greater London</v>
    <v>2ba8a441-178c-f2c0-26cb-a4b260b8c806</v>
    <v>en-US</v>
    <v>Map</v>
  </rv>
  <rv s="1">
    <fb>1572</fb>
    <v>8</v>
  </rv>
  <rv s="2">
    <v>81</v>
    <v>6</v>
    <v>364</v>
    <v>7</v>
    <v>0</v>
    <v>Image of London</v>
  </rv>
  <rv s="1">
    <fb>51.507222222221998</fb>
    <v>9</v>
  </rv>
  <rv s="0">
    <v>805306368</v>
    <v>Sadiq Khan (Mayor)</v>
    <v>d7862dc2-4c03-1dc8-3412-7fe03041fdcb</v>
    <v>en-US</v>
    <v>Generic</v>
  </rv>
  <rv s="3">
    <v>137</v>
  </rv>
  <rv s="4">
    <v>https://www.bing.com/search?q=london+england&amp;form=skydnc</v>
    <v>Learn more on Bing</v>
  </rv>
  <rv s="1">
    <fb>-0.1275</fb>
    <v>9</v>
  </rv>
  <rv s="1">
    <fb>8866180</fb>
    <v>8</v>
  </rv>
  <rv s="3">
    <v>138</v>
  </rv>
  <rv s="8">
    <v>#VALUE!</v>
    <v>en-US</v>
    <v>8e0ba7b6-4225-fa8a-6369-1b5294e602a5</v>
    <v>536870912</v>
    <v>1</v>
    <v>365</v>
    <v>46</v>
    <v>London</v>
    <v>4</v>
    <v>5</v>
    <v>Map</v>
    <v>6</v>
    <v>252</v>
    <v>2278</v>
    <v>2289</v>
    <v>2290</v>
    <v>2278</v>
    <v>London is the capital and largest city of both England and the United Kingdom, with a population of 8,866,180 in 2022. Its wider metropolitan area is the largest in Western Europe, with a population of 14.9 million. London stands on the River ...</v>
    <v>2291</v>
    <v>2292</v>
    <v>2294</v>
    <v>2295</v>
    <v>2296</v>
    <v>London</v>
    <v>2297</v>
    <v>2298</v>
    <v>London</v>
    <v>mdp/vdpid/5471798185326280713</v>
  </rv>
  <rv s="0">
    <v>536870912</v>
    <v>University Park</v>
    <v>2068cf2a-ee80-e172-29f5-b908baa2545b</v>
    <v>en-US</v>
    <v>Map</v>
  </rv>
  <rv s="0">
    <v>536870912</v>
    <v>Centre County</v>
    <v>6d5de131-b890-dead-dde7-766f1c968a47</v>
    <v>en-US</v>
    <v>Map</v>
  </rv>
  <rv s="1">
    <fb>3.9</fb>
    <v>8</v>
  </rv>
  <rv s="1">
    <fb>40.796111111111003</fb>
    <v>9</v>
  </rv>
  <rv s="4">
    <v>https://www.bing.com/search?q=university+park+pennsylvania&amp;form=skydnc</v>
    <v>Learn more on Bing</v>
  </rv>
  <rv s="1">
    <fb>-77.862777777778007</fb>
    <v>9</v>
  </rv>
  <rv s="24">
    <v>#VALUE!</v>
    <v>en-US</v>
    <v>2068cf2a-ee80-e172-29f5-b908baa2545b</v>
    <v>536870912</v>
    <v>1</v>
    <v>369</v>
    <v>370</v>
    <v>University Park</v>
    <v>372</v>
    <v>373</v>
    <v>Map</v>
    <v>6</v>
    <v>374</v>
    <v>124</v>
    <v>2301</v>
    <v>2302</v>
    <v>3</v>
    <v>University Park is the name given to the Pennsylvania State University's main campus located in both State College and College Township, Pennsylvania. The campus post office was designated "University Park, Pennsylvania" in 1953 by Penn State president Milton Eisenhower, after what was then Pennsylvania State College was upgraded to university status.</v>
    <v>2303</v>
    <v>2304</v>
    <v>2305</v>
    <v>University Park</v>
    <v>University Park</v>
    <v>mdp/vdpid/5486641458586845186</v>
  </rv>
  <rv s="0">
    <v>536870912</v>
    <v>Cascais</v>
    <v>801f3743-b86f-872d-3eee-0f62196d454b</v>
    <v>en-US</v>
    <v>Map</v>
  </rv>
  <rv s="0">
    <v>536870912</v>
    <v>Lisbon District</v>
    <v>9aabe4c9-f2ff-745a-22b7-741589d147d3</v>
    <v>en-US</v>
    <v>Map</v>
  </rv>
  <rv s="1">
    <fb>97.4</fb>
    <v>8</v>
  </rv>
  <rv s="0">
    <v>536870912</v>
    <v>Portugal</v>
    <v>9e917e65-c588-a0b7-f336-52fc6b5b2052</v>
    <v>en-US</v>
    <v>Map</v>
  </rv>
  <rv s="2">
    <v>82</v>
    <v>6</v>
    <v>375</v>
    <v>7</v>
    <v>0</v>
    <v>Image of Cascais</v>
  </rv>
  <rv s="4">
    <v>https://www.bing.com/search?q=cascais&amp;form=skydnc</v>
    <v>Learn more on Bing</v>
  </rv>
  <rv s="1">
    <fb>206479</fb>
    <v>8</v>
  </rv>
  <rv s="25">
    <v>#VALUE!</v>
    <v>en-US</v>
    <v>801f3743-b86f-872d-3eee-0f62196d454b</v>
    <v>536870912</v>
    <v>1</v>
    <v>376</v>
    <v>377</v>
    <v>Cascais</v>
    <v>4</v>
    <v>5</v>
    <v>Map</v>
    <v>6</v>
    <v>378</v>
    <v>2308</v>
    <v>2309</v>
    <v>2310</v>
    <v>Cascais is a town and municipality in the Lisbon District of Portugal, located on the Portuguese Riviera. The municipality has a total of 214,158 inhabitants in an area of 97.40 km². Cascais is an important tourist destination. Its marina hosts ...</v>
    <v>2311</v>
    <v>2312</v>
    <v>Cascais</v>
    <v>2313</v>
    <v>Cascais</v>
    <v>mdp/vdpid/161498676</v>
  </rv>
  <rv s="1">
    <fb>0.39452940398253294</fb>
    <v>19</v>
  </rv>
  <rv s="1">
    <fb>92225</fb>
    <v>8</v>
  </rv>
  <rv s="1">
    <fb>52000</fb>
    <v>8</v>
  </rv>
  <rv s="1">
    <fb>8.5</fb>
    <v>18</v>
  </rv>
  <rv s="1">
    <fb>351</fb>
    <v>39</v>
  </rv>
  <rv s="0">
    <v>536870912</v>
    <v>Lisbon</v>
    <v>9d006cb5-bff4-48b4-9c83-443eaf418b11</v>
    <v>en-US</v>
    <v>Map</v>
  </rv>
  <rv s="1">
    <fb>48741.764000000003</fb>
    <v>8</v>
  </rv>
  <rv s="1">
    <fb>110.624358614714</fb>
    <v>40</v>
  </rv>
  <rv s="1">
    <fb>3.3817841004612497E-3</fb>
    <v>19</v>
  </rv>
  <rv s="1">
    <fb>4662.6007998029399</fb>
    <v>8</v>
  </rv>
  <rv s="1">
    <fb>1.38</fb>
    <v>18</v>
  </rv>
  <rv s="1">
    <fb>0.34611423825368903</fb>
    <v>19</v>
  </rv>
  <rv s="1">
    <fb>77.024122555839</fb>
    <v>41</v>
  </rv>
  <rv s="1">
    <fb>1.54</fb>
    <v>42</v>
  </rv>
  <rv s="1">
    <fb>237686075634.698</fb>
    <v>17</v>
  </rv>
  <rv s="1">
    <fb>1.0618313000000001</fb>
    <v>19</v>
  </rv>
  <rv s="1">
    <fb>0.63935809999999993</fb>
    <v>19</v>
  </rv>
  <rv s="2">
    <v>83</v>
    <v>6</v>
    <v>380</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139</v>
  </rv>
  <rv s="4">
    <v>https://www.bing.com/search?q=portugal&amp;form=skydnc</v>
    <v>Learn more on Bing</v>
  </rv>
  <rv s="1">
    <fb>81.3243902439024</fb>
    <v>41</v>
  </rv>
  <rv s="1">
    <fb>61933604857.411003</fb>
    <v>17</v>
  </rv>
  <rv s="1">
    <fb>3.78</fb>
    <v>42</v>
  </rv>
  <rv s="1">
    <fb>0.27650697260000001</fb>
    <v>19</v>
  </rv>
  <rv s="1">
    <fb>5.1239999999999997</fb>
    <v>18</v>
  </rv>
  <rv s="1">
    <fb>10379007</fb>
    <v>8</v>
  </rv>
  <rv s="1">
    <fb>0.41600000000000004</fb>
    <v>19</v>
  </rv>
  <rv s="1">
    <fb>0.16500000000000001</fb>
    <v>19</v>
  </rv>
  <rv s="1">
    <fb>0.58811000823974602</fb>
    <v>19</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140</v>
  </rv>
  <rv s="1">
    <fb>0.227551770073532</fb>
    <v>19</v>
  </rv>
  <rv s="3">
    <v>141</v>
  </rv>
  <rv s="1">
    <fb>0.39799999999999996</fb>
    <v>19</v>
  </rv>
  <rv s="1">
    <fb>6.33400011062622E-2</fb>
    <v>43</v>
  </rv>
  <rv s="1">
    <fb>6753579</fb>
    <v>8</v>
  </rv>
  <rv s="7">
    <v>#VALUE!</v>
    <v>en-US</v>
    <v>9e917e65-c588-a0b7-f336-52fc6b5b2052</v>
    <v>536870912</v>
    <v>1</v>
    <v>383</v>
    <v>37</v>
    <v>Portugal</v>
    <v>4</v>
    <v>5</v>
    <v>Map</v>
    <v>6</v>
    <v>384</v>
    <v>PT</v>
    <v>2315</v>
    <v>2316</v>
    <v>2317</v>
    <v>2318</v>
    <v>2319</v>
    <v>2320</v>
    <v>2321</v>
    <v>2322</v>
    <v>2323</v>
    <v>EUR</v>
    <v>Portugal, officially the Portuguese Republic, is a country in the Iberian Peninsula in Southwestern Europe. Featuring the westernmost point in continental Europe, Portugal borders Spain to its north and east, with which it shares the longest ...</v>
    <v>2324</v>
    <v>2325</v>
    <v>2326</v>
    <v>2327</v>
    <v>2328</v>
    <v>2329</v>
    <v>2330</v>
    <v>2331</v>
    <v>2332</v>
    <v>1508</v>
    <v>2320</v>
    <v>2336</v>
    <v>2337</v>
    <v>2338</v>
    <v>2339</v>
    <v>1296</v>
    <v>2340</v>
    <v>Portugal</v>
    <v>A Portuguesa</v>
    <v>1994</v>
    <v>Portugalská republika</v>
    <v>2341</v>
    <v>2342</v>
    <v>2343</v>
    <v>677</v>
    <v>456</v>
    <v>2344</v>
    <v>184</v>
    <v>41</v>
    <v>1026</v>
    <v>2345</v>
    <v>2346</v>
    <v>2366</v>
    <v>2367</v>
    <v>2368</v>
    <v>2369</v>
    <v>2370</v>
    <v>Portugal</v>
    <v>2371</v>
    <v>mdp/vdpid/193</v>
  </rv>
  <rv s="0">
    <v>536870912</v>
    <v>Finland</v>
    <v>ceea53a9-734c-46c7-a9f7-185e7cf6826e</v>
    <v>en-US</v>
    <v>Map</v>
  </rv>
  <rv s="1">
    <fb>7.4857688131354697E-2</fb>
    <v>19</v>
  </rv>
  <rv s="1">
    <fb>338478.34</fb>
    <v>8</v>
  </rv>
  <rv s="1">
    <fb>25000</fb>
    <v>8</v>
  </rv>
  <rv s="1">
    <fb>8.6</fb>
    <v>18</v>
  </rv>
  <rv s="1">
    <fb>358</fb>
    <v>39</v>
  </rv>
  <rv s="0">
    <v>536870912</v>
    <v>Helsinki</v>
    <v>0aeca411-32eb-87fa-e67f-5c3dacc3532c</v>
    <v>en-US</v>
    <v>Map</v>
  </rv>
  <rv s="1">
    <fb>45870.502999999997</fb>
    <v>8</v>
  </rv>
  <rv s="1">
    <fb>112.331712088838</fb>
    <v>40</v>
  </rv>
  <rv s="1">
    <fb>1.0240939296342899E-2</fb>
    <v>19</v>
  </rv>
  <rv s="1">
    <fb>15249.989380230199</fb>
    <v>8</v>
  </rv>
  <rv s="1">
    <fb>1.41</fb>
    <v>18</v>
  </rv>
  <rv s="1">
    <fb>0.7310716988582151</fb>
    <v>19</v>
  </rv>
  <rv s="1">
    <fb>40.207982989952903</fb>
    <v>41</v>
  </rv>
  <rv s="1">
    <fb>268761201364.70499</fb>
    <v>17</v>
  </rv>
  <rv s="1">
    <fb>1.0015464000000001</fb>
    <v>19</v>
  </rv>
  <rv s="1">
    <fb>0.88197829999999999</fb>
    <v>19</v>
  </rv>
  <rv s="2">
    <v>84</v>
    <v>6</v>
    <v>386</v>
    <v>7</v>
    <v>0</v>
    <v>Image of Finland</v>
  </rv>
  <rv s="1">
    <fb>1.4</fb>
    <v>41</v>
  </rv>
  <rv s="0">
    <v>805306368</v>
    <v>Alexander Stubb (President)</v>
    <v>8b3d7a61-5ae2-62d2-5b7d-6052bac2305a</v>
    <v>en-US</v>
    <v>Generic</v>
  </rv>
  <rv s="0">
    <v>805306368</v>
    <v>Petteri Orpo (Prime minister)</v>
    <v>f89fd370-e67c-1205-35bf-ef0bc79a5a2e</v>
    <v>en-US</v>
    <v>Generic</v>
  </rv>
  <rv s="3">
    <v>142</v>
  </rv>
  <rv s="4">
    <v>https://www.bing.com/search?q=finland&amp;form=skydnc</v>
    <v>Learn more on Bing</v>
  </rv>
  <rv s="1">
    <fb>81.734146341463401</fb>
    <v>41</v>
  </rv>
  <rv s="1">
    <fb>183765380000</fb>
    <v>17</v>
  </rv>
  <rv s="1">
    <fb>3</fb>
    <v>41</v>
  </rv>
  <rv s="3">
    <v>143</v>
  </rv>
  <rv s="1">
    <fb>0.19890897120000001</fb>
    <v>19</v>
  </rv>
  <rv s="1">
    <fb>3.8079999999999998</fb>
    <v>18</v>
  </rv>
  <rv s="1">
    <fb>5556880</fb>
    <v>8</v>
  </rv>
  <rv s="1">
    <fb>0.36899999999999999</fb>
    <v>19</v>
  </rv>
  <rv s="1">
    <fb>0.17399999999999999</fb>
    <v>19</v>
  </rv>
  <rv s="1">
    <fb>0.59081001281738299</fb>
    <v>19</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144</v>
  </rv>
  <rv s="1">
    <fb>0.20839038093492801</fb>
    <v>19</v>
  </rv>
  <rv s="3">
    <v>145</v>
  </rv>
  <rv s="1">
    <fb>6.594999790191651E-2</fb>
    <v>43</v>
  </rv>
  <rv s="1">
    <fb>4716888</fb>
    <v>8</v>
  </rv>
  <rv s="20">
    <v>#VALUE!</v>
    <v>en-US</v>
    <v>ceea53a9-734c-46c7-a9f7-185e7cf6826e</v>
    <v>536870912</v>
    <v>1</v>
    <v>389</v>
    <v>293</v>
    <v>Finland</v>
    <v>4</v>
    <v>5</v>
    <v>Map</v>
    <v>6</v>
    <v>357</v>
    <v>FI</v>
    <v>2374</v>
    <v>2375</v>
    <v>2376</v>
    <v>2377</v>
    <v>2378</v>
    <v>2379</v>
    <v>2380</v>
    <v>2381</v>
    <v>2382</v>
    <v>EUR</v>
    <v>Finland, officially the Republic of Finland, is a Nordic country in Northern Europe. It borders Sweden to the northwest, Norway to the north, and Russia to the east, with the Gulf of Bothnia to the west and the Gulf of Finland to the south, ...</v>
    <v>2383</v>
    <v>2384</v>
    <v>2385</v>
    <v>2386</v>
    <v>1877</v>
    <v>2387</v>
    <v>2388</v>
    <v>2389</v>
    <v>2390</v>
    <v>2391</v>
    <v>2379</v>
    <v>2394</v>
    <v>2395</v>
    <v>2396</v>
    <v>2397</v>
    <v>2398</v>
    <v>Finland</v>
    <v>Maamme</v>
    <v>2399</v>
    <v>Suomen tasavalta</v>
    <v>2400</v>
    <v>2401</v>
    <v>2402</v>
    <v>786</v>
    <v>80</v>
    <v>2403</v>
    <v>286</v>
    <v>406</v>
    <v>431</v>
    <v>2404</v>
    <v>2405</v>
    <v>2425</v>
    <v>2426</v>
    <v>2427</v>
    <v>145</v>
    <v>2428</v>
    <v>Finland</v>
    <v>2429</v>
    <v>mdp/vdpid/77</v>
  </rv>
  <rv s="0">
    <v>536870912</v>
    <v>Norway</v>
    <v>51b69cb2-1924-e989-590b-712a7070a30f</v>
    <v>en-US</v>
    <v>Map</v>
  </rv>
  <rv s="1">
    <fb>2.6940783293922001E-2</fb>
    <v>19</v>
  </rv>
  <rv s="1">
    <fb>385207</fb>
    <v>8</v>
  </rv>
  <rv s="1">
    <fb>23000</fb>
    <v>8</v>
  </rv>
  <rv s="1">
    <fb>10.4</fb>
    <v>18</v>
  </rv>
  <rv s="1">
    <fb>47</fb>
    <v>39</v>
  </rv>
  <rv s="0">
    <v>536870912</v>
    <v>Oslo</v>
    <v>962ca6d0-04b2-b258-d6d5-ec31f6cc1d83</v>
    <v>en-US</v>
    <v>Map</v>
  </rv>
  <rv s="1">
    <fb>41022.728999999999</fb>
    <v>8</v>
  </rv>
  <rv s="1">
    <fb>120.269658854402</fb>
    <v>40</v>
  </rv>
  <rv s="1">
    <fb>2.1677300330540498E-2</fb>
    <v>19</v>
  </rv>
  <rv s="1">
    <fb>22999.934595128299</fb>
    <v>8</v>
  </rv>
  <rv s="1">
    <fb>0.331778599014523</fb>
    <v>19</v>
  </rv>
  <rv s="1">
    <fb>56.951628649981103</fb>
    <v>41</v>
  </rv>
  <rv s="1">
    <fb>1.78</fb>
    <v>42</v>
  </rv>
  <rv s="1">
    <fb>403336363636.36401</fb>
    <v>17</v>
  </rv>
  <rv s="1">
    <fb>1.0026021000000001</fb>
    <v>19</v>
  </rv>
  <rv s="1">
    <fb>0.81992350000000003</fb>
    <v>19</v>
  </rv>
  <rv s="2">
    <v>85</v>
    <v>6</v>
    <v>391</v>
    <v>7</v>
    <v>0</v>
    <v>Image of Norway</v>
  </rv>
  <rv s="1">
    <fb>2.1</fb>
    <v>41</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146</v>
  </rv>
  <rv s="4">
    <v>https://www.bing.com/search?q=norway&amp;form=skydnc</v>
    <v>Learn more on Bing</v>
  </rv>
  <rv s="1">
    <fb>82.758536585365903</fb>
    <v>41</v>
  </rv>
  <rv s="1">
    <fb>295548630000</fb>
    <v>17</v>
  </rv>
  <rv s="3">
    <v>147</v>
  </rv>
  <rv s="1">
    <fb>0.14272576140000001</fb>
    <v>19</v>
  </rv>
  <rv s="1">
    <fb>2.9163999999999999</fb>
    <v>18</v>
  </rv>
  <rv s="1">
    <fb>5457127</fb>
    <v>8</v>
  </rv>
  <rv s="1">
    <fb>0.21600000000000003</fb>
    <v>19</v>
  </rv>
  <rv s="1">
    <fb>8.900000000000001E-2</fb>
    <v>19</v>
  </rv>
  <rv s="1">
    <fb>0.14300000000000002</fb>
    <v>19</v>
  </rv>
  <rv s="1">
    <fb>0.18</fb>
    <v>19</v>
  </rv>
  <rv s="1">
    <fb>0.63804000854492204</fb>
    <v>19</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148</v>
  </rv>
  <rv s="1">
    <fb>0.238617503950879</fb>
    <v>19</v>
  </rv>
  <rv s="1">
    <fb>0.36200000000000004</fb>
    <v>19</v>
  </rv>
  <rv s="1">
    <fb>3.3459999561309801E-2</fb>
    <v>43</v>
  </rv>
  <rv s="1">
    <fb>4418218</fb>
    <v>8</v>
  </rv>
  <rv s="20">
    <v>#VALUE!</v>
    <v>en-US</v>
    <v>51b69cb2-1924-e989-590b-712a7070a30f</v>
    <v>536870912</v>
    <v>1</v>
    <v>394</v>
    <v>293</v>
    <v>Norway</v>
    <v>4</v>
    <v>5</v>
    <v>Map</v>
    <v>6</v>
    <v>239</v>
    <v>NO</v>
    <v>2432</v>
    <v>2433</v>
    <v>2434</v>
    <v>2435</v>
    <v>2436</v>
    <v>2437</v>
    <v>2438</v>
    <v>2439</v>
    <v>2440</v>
    <v>NOK</v>
    <v>Norway, officially the Kingdom of Norway, is a Nordic country located on the Scandinavian Peninsula in Northern Europe. The remote Arctic island of Jan Mayen and the archipelago of Svalbard also form part of the Kingdom of Norway. Bouvet Island, ...</v>
    <v>2441</v>
    <v>1501</v>
    <v>2442</v>
    <v>2443</v>
    <v>2444</v>
    <v>2445</v>
    <v>2446</v>
    <v>2447</v>
    <v>2448</v>
    <v>2449</v>
    <v>2437</v>
    <v>2453</v>
    <v>2454</v>
    <v>2455</v>
    <v>2456</v>
    <v>1761</v>
    <v>Norway</v>
    <v>Ja, vi elsker dette landet</v>
    <v>2457</v>
    <v>Kongeriket Norge</v>
    <v>2458</v>
    <v>2459</v>
    <v>2460</v>
    <v>681</v>
    <v>2461</v>
    <v>881</v>
    <v>483</v>
    <v>2462</v>
    <v>2463</v>
    <v>2464</v>
    <v>2465</v>
    <v>2479</v>
    <v>2480</v>
    <v>1331</v>
    <v>2481</v>
    <v>2482</v>
    <v>Norway</v>
    <v>2483</v>
    <v>mdp/vdpid/177</v>
  </rv>
  <rv s="0">
    <v>536870912</v>
    <v>Mexico</v>
    <v>8e475659-4bdc-d912-6494-affce0096bc1</v>
    <v>en-US</v>
    <v>Map</v>
  </rv>
  <rv s="1">
    <fb>0.54649553743666202</fb>
    <v>19</v>
  </rv>
  <rv s="1">
    <fb>1972550</fb>
    <v>8</v>
  </rv>
  <rv s="1">
    <fb>336000</fb>
    <v>8</v>
  </rv>
  <rv s="1">
    <fb>17.602</fb>
    <v>18</v>
  </rv>
  <rv s="1">
    <fb>52</fb>
    <v>39</v>
  </rv>
  <rv s="0">
    <v>536870912</v>
    <v>Mexico City</v>
    <v>f1281260-8340-e258-c8ec-3522504400e5</v>
    <v>en-US</v>
    <v>Map</v>
  </rv>
  <rv s="1">
    <fb>486405.54800000001</fb>
    <v>8</v>
  </rv>
  <rv s="1">
    <fb>141.54252296997399</fb>
    <v>40</v>
  </rv>
  <rv s="1">
    <fb>3.6359614212704998E-2</fb>
    <v>19</v>
  </rv>
  <rv s="1">
    <fb>2157.32394883914</fb>
    <v>8</v>
  </rv>
  <rv s="1">
    <fb>2.129</fb>
    <v>18</v>
  </rv>
  <rv s="1">
    <fb>0.339249458255099</fb>
    <v>19</v>
  </rv>
  <rv s="1">
    <fb>90.426207910940704</fb>
    <v>41</v>
  </rv>
  <rv s="1">
    <fb>0.73</fb>
    <v>42</v>
  </rv>
  <rv s="1">
    <fb>1258286717124.53</fb>
    <v>17</v>
  </rv>
  <rv s="1">
    <fb>1.0577000999999999</fb>
    <v>19</v>
  </rv>
  <rv s="1">
    <fb>0.40228960000000002</fb>
    <v>19</v>
  </rv>
  <rv s="2">
    <v>86</v>
    <v>6</v>
    <v>396</v>
    <v>7</v>
    <v>0</v>
    <v>Image of Mexico</v>
  </rv>
  <rv s="1">
    <fb>11</fb>
    <v>41</v>
  </rv>
  <rv s="0">
    <v>805306368</v>
    <v>Claudia Sheinbaum (President)</v>
    <v>d0490c30-2b7a-cbfd-f6ed-dffdff40aeb0</v>
    <v>en-US</v>
    <v>Generic</v>
  </rv>
  <rv s="0">
    <v>805306368</v>
    <v>Norma Lucía Piña Hernández (Chief justice)</v>
    <v>c6ded009-db4d-d436-ada5-514c16278dd4</v>
    <v>en-US</v>
    <v>Generic</v>
  </rv>
  <rv s="3">
    <v>149</v>
  </rv>
  <rv s="4">
    <v>https://www.bing.com/search?q=mexico&amp;form=skydnc</v>
    <v>Learn more on Bing</v>
  </rv>
  <rv s="1">
    <fb>74.992000000000004</fb>
    <v>41</v>
  </rv>
  <rv s="1">
    <fb>413618820000</fb>
    <v>17</v>
  </rv>
  <rv s="1">
    <fb>33</fb>
    <v>41</v>
  </rv>
  <rv s="1">
    <fb>0.49</fb>
    <v>42</v>
  </rv>
  <rv s="3">
    <v>150</v>
  </rv>
  <rv s="1">
    <fb>0.41370018680000004</fb>
    <v>19</v>
  </rv>
  <rv s="1">
    <fb>2.3826999999999998</fb>
    <v>18</v>
  </rv>
  <rv s="1">
    <fb>127504125</fb>
    <v>8</v>
  </rv>
  <rv s="1">
    <fb>0.2</fb>
    <v>19</v>
  </rv>
  <rv s="1">
    <fb>0.36399999999999999</fb>
    <v>19</v>
  </rv>
  <rv s="1">
    <fb>0.51700000000000002</fb>
    <v>19</v>
  </rv>
  <rv s="1">
    <fb>0.60680000305175807</fb>
    <v>19</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151</v>
  </rv>
  <rv s="1">
    <fb>0.130829255322402</fb>
    <v>19</v>
  </rv>
  <rv s="3">
    <v>152</v>
  </rv>
  <rv s="1">
    <fb>0.55100000000000005</fb>
    <v>19</v>
  </rv>
  <rv s="1">
    <fb>3.4249999523162801E-2</fb>
    <v>43</v>
  </rv>
  <rv s="1">
    <fb>102626859</fb>
    <v>8</v>
  </rv>
  <rv s="7">
    <v>#VALUE!</v>
    <v>en-US</v>
    <v>8e475659-4bdc-d912-6494-affce0096bc1</v>
    <v>536870912</v>
    <v>1</v>
    <v>399</v>
    <v>37</v>
    <v>Mexico</v>
    <v>4</v>
    <v>5</v>
    <v>Map</v>
    <v>6</v>
    <v>400</v>
    <v>MX</v>
    <v>2486</v>
    <v>2487</v>
    <v>2488</v>
    <v>2489</v>
    <v>2490</v>
    <v>2491</v>
    <v>2492</v>
    <v>2493</v>
    <v>2494</v>
    <v>MXN</v>
    <v>Mexico, officially the United Mexican States, is a country in North America. It borders the United States to the north, and Guatemala and Belize to the southeast; while having maritime boundaries with the Pacific Ocean to the west, the Caribbean ...</v>
    <v>2495</v>
    <v>2496</v>
    <v>2497</v>
    <v>2498</v>
    <v>2499</v>
    <v>2500</v>
    <v>2501</v>
    <v>2502</v>
    <v>2503</v>
    <v>2504</v>
    <v>2491</v>
    <v>2507</v>
    <v>2508</v>
    <v>2509</v>
    <v>2510</v>
    <v>2511</v>
    <v>2512</v>
    <v>Mexico</v>
    <v>Himno Nacional Mexicano</v>
    <v>2513</v>
    <v>Estaos Xuníos Mexicanos</v>
    <v>2514</v>
    <v>2515</v>
    <v>2516</v>
    <v>2517</v>
    <v>2518</v>
    <v>2519</v>
    <v>251</v>
    <v>274</v>
    <v>759</v>
    <v>213</v>
    <v>2520</v>
    <v>2552</v>
    <v>2553</v>
    <v>2554</v>
    <v>2555</v>
    <v>2556</v>
    <v>Mexico</v>
    <v>2557</v>
    <v>mdp/vdpid/166</v>
  </rv>
  <rv s="0">
    <v>536870912</v>
    <v>Austria</v>
    <v>c3f78b59-5e8d-133a-d0e2-ff2e71c4a5d5</v>
    <v>en-US</v>
    <v>Map</v>
  </rv>
  <rv s="1">
    <fb>0.32356676139641499</fb>
    <v>19</v>
  </rv>
  <rv s="1">
    <fb>83878.990000000005</fb>
    <v>8</v>
  </rv>
  <rv s="1">
    <fb>43</fb>
    <v>39</v>
  </rv>
  <rv s="0">
    <v>536870912</v>
    <v>Vienna</v>
    <v>a844b6d2-ff6e-902b-d359-8f7db08f7bb9</v>
    <v>en-US</v>
    <v>Map</v>
  </rv>
  <rv s="1">
    <fb>61447.919000000002</fb>
    <v>8</v>
  </rv>
  <rv s="1">
    <fb>118.057979804947</fb>
    <v>40</v>
  </rv>
  <rv s="1">
    <fb>1.5308955342270201E-2</fb>
    <v>19</v>
  </rv>
  <rv s="1">
    <fb>8355.8419518213395</fb>
    <v>8</v>
  </rv>
  <rv s="1">
    <fb>1.47</fb>
    <v>18</v>
  </rv>
  <rv s="1">
    <fb>0.46905712836916402</fb>
    <v>19</v>
  </rv>
  <rv s="1">
    <fb>65.661821989472699</fb>
    <v>41</v>
  </rv>
  <rv s="1">
    <fb>1.2</fb>
    <v>42</v>
  </rv>
  <rv s="1">
    <fb>446314739528.46997</fb>
    <v>17</v>
  </rv>
  <rv s="1">
    <fb>1.0311315000000001</fb>
    <v>19</v>
  </rv>
  <rv s="1">
    <fb>0.85057140000000009</fb>
    <v>19</v>
  </rv>
  <rv s="2">
    <v>87</v>
    <v>6</v>
    <v>402</v>
    <v>7</v>
    <v>0</v>
    <v>Image of Austria</v>
  </rv>
  <rv s="1">
    <fb>2.9</fb>
    <v>41</v>
  </rv>
  <rv s="0">
    <v>805306368</v>
    <v>Alexander Van der Bellen (President)</v>
    <v>09a88c4e-ba78-3b88-7539-fedb6d48b4a2</v>
    <v>en-US</v>
    <v>Generic</v>
  </rv>
  <rv s="0">
    <v>805306368</v>
    <v>Alexander Schallenberg (Chancellor)</v>
    <v>6a2cc2d0-2c8f-3759-887b-96e073689083</v>
    <v>en-US</v>
    <v>Generic</v>
  </rv>
  <rv s="3">
    <v>153</v>
  </rv>
  <rv s="4">
    <v>https://www.bing.com/search?q=austria&amp;form=skydnc</v>
    <v>Learn more on Bing</v>
  </rv>
  <rv s="1">
    <fb>81.643902439024401</fb>
    <v>41</v>
  </rv>
  <rv s="1">
    <fb>133098220000</fb>
    <v>17</v>
  </rv>
  <rv s="3">
    <v>154</v>
  </rv>
  <rv s="1">
    <fb>0.179240277</fb>
    <v>19</v>
  </rv>
  <rv s="1">
    <fb>5.1696999999999997</fb>
    <v>18</v>
  </rv>
  <rv s="1">
    <fb>9042528</fb>
    <v>8</v>
  </rv>
  <rv s="1">
    <fb>0.37799999999999995</fb>
    <v>19</v>
  </rv>
  <rv s="1">
    <fb>0.08</fb>
    <v>19</v>
  </rv>
  <rv s="1">
    <fb>0.17800000000000002</fb>
    <v>19</v>
  </rv>
  <rv s="1">
    <fb>0.60683998107910198</fb>
    <v>19</v>
  </rv>
  <rv s="0">
    <v>536870912</v>
    <v>Burgenland</v>
    <v>20b1c17e-6204-a0df-6047-2725dec16761</v>
    <v>en-US</v>
    <v>Map</v>
  </rv>
  <rv s="0">
    <v>536870912</v>
    <v>Carinthia</v>
    <v>5e37573b-7455-bff5-b6e2-1efd0b0d6059</v>
    <v>en-US</v>
    <v>Map</v>
  </rv>
  <rv s="0">
    <v>536870912</v>
    <v>Lower Austria</v>
    <v>4dcd6132-5fe3-19ce-a37c-ff75732178e2</v>
    <v>en-US</v>
    <v>Map</v>
  </rv>
  <rv s="0">
    <v>536870912</v>
    <v>Upper Austria</v>
    <v>5eda3d8d-2623-8c5c-71b9-98e76b245f37</v>
    <v>en-US</v>
    <v>Map</v>
  </rv>
  <rv s="0">
    <v>536870912</v>
    <v>Salzburg</v>
    <v>f1e6feb1-ca38-e293-2657-06a535e7d8ed</v>
    <v>en-US</v>
    <v>Map</v>
  </rv>
  <rv s="0">
    <v>536870912</v>
    <v>Styria</v>
    <v>27e5c768-8121-a58a-3641-f4576289d790</v>
    <v>en-US</v>
    <v>Map</v>
  </rv>
  <rv s="0">
    <v>536870912</v>
    <v>Tyrol</v>
    <v>bbfb1e8f-7c58-8f12-9249-9ff4d210f1d6</v>
    <v>en-US</v>
    <v>Map</v>
  </rv>
  <rv s="0">
    <v>536870912</v>
    <v>Vorarlberg</v>
    <v>515e6b8f-2ef0-2ac9-184c-2834f6770193</v>
    <v>en-US</v>
    <v>Map</v>
  </rv>
  <rv s="3">
    <v>155</v>
  </rv>
  <rv s="1">
    <fb>0.25405547466329398</fb>
    <v>19</v>
  </rv>
  <rv s="1">
    <fb>0.51400000000000001</fb>
    <v>19</v>
  </rv>
  <rv s="1">
    <fb>4.6739997863769499E-2</fb>
    <v>43</v>
  </rv>
  <rv s="1">
    <fb>5194416</fb>
    <v>8</v>
  </rv>
  <rv s="20">
    <v>#VALUE!</v>
    <v>en-US</v>
    <v>c3f78b59-5e8d-133a-d0e2-ff2e71c4a5d5</v>
    <v>536870912</v>
    <v>1</v>
    <v>405</v>
    <v>293</v>
    <v>Austria</v>
    <v>4</v>
    <v>5</v>
    <v>Map</v>
    <v>6</v>
    <v>203</v>
    <v>AT</v>
    <v>2560</v>
    <v>2561</v>
    <v>1866</v>
    <v>1405</v>
    <v>2562</v>
    <v>2563</v>
    <v>2564</v>
    <v>2565</v>
    <v>2566</v>
    <v>EUR</v>
    <v>Austria, formally the Republic of Austria, is a landlocked country in Central Europe, lying in the Eastern Alps. It is a federation of nine states, of which the capital Vienna is the most populous city and state. Austria is bordered by Germany ...</v>
    <v>2567</v>
    <v>2568</v>
    <v>2569</v>
    <v>2570</v>
    <v>2571</v>
    <v>2572</v>
    <v>2573</v>
    <v>2574</v>
    <v>2575</v>
    <v>2576</v>
    <v>2563</v>
    <v>2579</v>
    <v>2580</v>
    <v>2581</v>
    <v>2582</v>
    <v>1179</v>
    <v>Austria</v>
    <v>National anthem of Austria</v>
    <v>2583</v>
    <v>Österreich</v>
    <v>2584</v>
    <v>2585</v>
    <v>2586</v>
    <v>1823</v>
    <v>318</v>
    <v>2587</v>
    <v>540</v>
    <v>2588</v>
    <v>275</v>
    <v>2589</v>
    <v>2590</v>
    <v>2599</v>
    <v>2600</v>
    <v>1331</v>
    <v>2601</v>
    <v>2602</v>
    <v>Austria</v>
    <v>2603</v>
    <v>mdp/vdpid/14</v>
  </rv>
  <rv s="1">
    <fb>414.78</fb>
    <v>8</v>
  </rv>
  <rv s="0">
    <v>536870912</v>
    <v>First Austrian Republic</v>
    <v>08504730-c6e8-86a4-9307-8051d655f0d8</v>
    <v>en-US</v>
    <v>Map</v>
  </rv>
  <rv s="2">
    <v>88</v>
    <v>6</v>
    <v>406</v>
    <v>7</v>
    <v>0</v>
    <v>Image of Vienna</v>
  </rv>
  <rv s="0">
    <v>805306368</v>
    <v>Michael Ludwig (Mayor)</v>
    <v>1da03a85-b0cf-2d13-6856-a770e6be02d2</v>
    <v>en-US</v>
    <v>Generic</v>
  </rv>
  <rv s="3">
    <v>156</v>
  </rv>
  <rv s="4">
    <v>https://www.bing.com/search?q=vienna+austria&amp;form=skydnc</v>
    <v>Learn more on Bing</v>
  </rv>
  <rv s="1">
    <fb>1973403</fb>
    <v>8</v>
  </rv>
  <rv s="26">
    <v>#VALUE!</v>
    <v>en-US</v>
    <v>a844b6d2-ff6e-902b-d359-8f7db08f7bb9</v>
    <v>536870912</v>
    <v>1</v>
    <v>408</v>
    <v>409</v>
    <v>Vienna</v>
    <v>4</v>
    <v>5</v>
    <v>Map</v>
    <v>6</v>
    <v>252</v>
    <v>AT-9</v>
    <v>2605</v>
    <v>2606</v>
    <v>Vienna vee-EN-ə is the capital, most populous city, and one of nine federal states of Austria. It is Austria's primate city, with just over two million inhabitants. Its larger metropolitan area has a population of nearly 2.9 million, ...</v>
    <v>2607</v>
    <v>2609</v>
    <v>2610</v>
    <v>Vienna</v>
    <v>2611</v>
    <v>1331</v>
    <v>Vienna</v>
    <v>mdp/vdpid/7022209355197972481</v>
  </rv>
  <rv s="0">
    <v>536870912</v>
    <v>Russia</v>
    <v>ed4fce79-8ad4-352b-205b-e4db36c49bbe</v>
    <v>en-US</v>
    <v>Map</v>
  </rv>
  <rv s="1">
    <fb>0.13294470341402198</fb>
    <v>19</v>
  </rv>
  <rv s="1">
    <fb>17075400</fb>
    <v>8</v>
  </rv>
  <rv s="1">
    <fb>1454000</fb>
    <v>8</v>
  </rv>
  <rv s="1">
    <fb>11.5</fb>
    <v>18</v>
  </rv>
  <rv s="1">
    <fb>7</fb>
    <v>39</v>
  </rv>
  <rv s="0">
    <v>536870912</v>
    <v>Moscow</v>
    <v>6bb559e5-6af9-adf8-d8bc-7f999aba8a3a</v>
    <v>en-US</v>
    <v>Map</v>
  </rv>
  <rv s="1">
    <fb>1732026.7760000001</fb>
    <v>8</v>
  </rv>
  <rv s="1">
    <fb>180.74643865422601</fb>
    <v>40</v>
  </rv>
  <rv s="1">
    <fb>4.4703597689969995E-2</fb>
    <v>19</v>
  </rv>
  <rv s="1">
    <fb>6602.6575252928196</fb>
    <v>8</v>
  </rv>
  <rv s="1">
    <fb>1.57</fb>
    <v>18</v>
  </rv>
  <rv s="1">
    <fb>0.49758561923004796</fb>
    <v>19</v>
  </rv>
  <rv s="1">
    <fb>92.142875817828696</fb>
    <v>41</v>
  </rv>
  <rv s="1">
    <fb>0.59</fb>
    <v>42</v>
  </rv>
  <rv s="1">
    <fb>1699876578871.3501</fb>
    <v>17</v>
  </rv>
  <rv s="1">
    <fb>1.0258246</fb>
    <v>19</v>
  </rv>
  <rv s="1">
    <fb>0.81909310000000002</fb>
    <v>19</v>
  </rv>
  <rv s="2">
    <v>89</v>
    <v>6</v>
    <v>411</v>
    <v>7</v>
    <v>0</v>
    <v>Image of Russia</v>
  </rv>
  <rv s="1">
    <fb>6.1</fb>
    <v>41</v>
  </rv>
  <rv s="0">
    <v>805306368</v>
    <v>Vladimir Putin (President)</v>
    <v>60d41b9e-06ae-967b-bcc5-97ad4a13d29c</v>
    <v>en-US</v>
    <v>Generic</v>
  </rv>
  <rv s="0">
    <v>805306368</v>
    <v>Mikhail Mishustin (Prime minister)</v>
    <v>8176b935-a6dc-cfbe-2565-cfb891845a4a</v>
    <v>en-US</v>
    <v>Generic</v>
  </rv>
  <rv s="3">
    <v>157</v>
  </rv>
  <rv s="4">
    <v>https://www.bing.com/search?q=russia&amp;form=skydnc</v>
    <v>Learn more on Bing</v>
  </rv>
  <rv s="1">
    <fb>72.657317073170702</fb>
    <v>41</v>
  </rv>
  <rv s="1">
    <fb>576116340000</fb>
    <v>17</v>
  </rv>
  <rv s="1">
    <fb>0.53</fb>
    <v>42</v>
  </rv>
  <rv s="3">
    <v>158</v>
  </rv>
  <rv s="1">
    <fb>0.36436404289999996</fb>
    <v>19</v>
  </rv>
  <rv s="1">
    <fb>4.0138999999999996</fb>
    <v>18</v>
  </rv>
  <rv s="1">
    <fb>143555736</fb>
    <v>8</v>
  </rv>
  <rv s="1">
    <fb>0.214</fb>
    <v>19</v>
  </rv>
  <rv s="1">
    <fb>0.29899999999999999</fb>
    <v>19</v>
  </rv>
  <rv s="1">
    <fb>0.45100000000000001</fb>
    <v>19</v>
  </rv>
  <rv s="1">
    <fb>0.152</fb>
    <v>19</v>
  </rv>
  <rv s="1">
    <fb>0.61800998687744102</fb>
    <v>19</v>
  </rv>
  <rv s="0">
    <v>536870912</v>
    <v>Adygea</v>
    <v>22b5ba45-672e-34b8-e6f1-db4a112d6473</v>
    <v>en-US</v>
    <v>Map</v>
  </rv>
  <rv s="0">
    <v>536870912</v>
    <v>Altai Republic</v>
    <v>bc671e26-2d75-8823-293a-5af58859f724</v>
    <v>en-US</v>
    <v>Map</v>
  </rv>
  <rv s="0">
    <v>536870912</v>
    <v>Bashkortostan</v>
    <v>fc6eab09-3383-820f-1442-4f6dde32cbf9</v>
    <v>en-US</v>
    <v>Map</v>
  </rv>
  <rv s="0">
    <v>536870912</v>
    <v>Buryatia</v>
    <v>559aae54-84df-2df7-b208-d0e2975a541f</v>
    <v>en-US</v>
    <v>Map</v>
  </rv>
  <rv s="0">
    <v>536870912</v>
    <v>Dagestan</v>
    <v>7be0631e-08a6-71a2-bd8f-1be3fab541d4</v>
    <v>en-US</v>
    <v>Map</v>
  </rv>
  <rv s="0">
    <v>536870912</v>
    <v>Ingushetia</v>
    <v>d71ef53a-a58c-2149-fc5b-7f305c67d703</v>
    <v>en-US</v>
    <v>Map</v>
  </rv>
  <rv s="0">
    <v>536870912</v>
    <v>Kabardino-Balkaria</v>
    <v>3c3eefab-1013-5556-2903-4a792d0de818</v>
    <v>en-US</v>
    <v>Map</v>
  </rv>
  <rv s="0">
    <v>536870912</v>
    <v>Kalmykia</v>
    <v>aa5d46bb-1a45-ccab-629e-32a57e11433b</v>
    <v>en-US</v>
    <v>Map</v>
  </rv>
  <rv s="0">
    <v>536870912</v>
    <v>Karachay-Cherkessia</v>
    <v>427be6f6-6a91-8144-0b4b-023b249fb86c</v>
    <v>en-US</v>
    <v>Map</v>
  </rv>
  <rv s="0">
    <v>536870912</v>
    <v>Komi Republic</v>
    <v>7ef61531-763c-4148-8cc5-3804e7ea0b0f</v>
    <v>en-US</v>
    <v>Map</v>
  </rv>
  <rv s="0">
    <v>536870912</v>
    <v>Stavropol Krai</v>
    <v>cea31d3e-370c-d7b9-8aa9-739d9a55a85a</v>
    <v>en-US</v>
    <v>Map</v>
  </rv>
  <rv s="0">
    <v>536870912</v>
    <v>Mari El</v>
    <v>b89c03bf-1661-bc0b-45ea-52497ba4afaf</v>
    <v>en-US</v>
    <v>Map</v>
  </rv>
  <rv s="0">
    <v>536870912</v>
    <v>Mordovia</v>
    <v>f239c732-02c7-4a65-ceef-e3e0f395c4ad</v>
    <v>en-US</v>
    <v>Map</v>
  </rv>
  <rv s="0">
    <v>536870912</v>
    <v>Sakha Republic</v>
    <v>ea625ee4-93bc-476d-b81d-2daeb4e75cc9</v>
    <v>en-US</v>
    <v>Map</v>
  </rv>
  <rv s="0">
    <v>536870912</v>
    <v>North Ossetia–Alania</v>
    <v>d769211e-6a13-19e2-34f9-58681d88ee0e</v>
    <v>en-US</v>
    <v>Map</v>
  </rv>
  <rv s="0">
    <v>536870912</v>
    <v>Tatarstan</v>
    <v>7e36bead-7c24-03eb-3164-2a047e5b7eb1</v>
    <v>en-US</v>
    <v>Map</v>
  </rv>
  <rv s="0">
    <v>536870912</v>
    <v>Tuva</v>
    <v>ab07bfe8-07ff-28f8-5b60-d4cd5e7f48f8</v>
    <v>en-US</v>
    <v>Map</v>
  </rv>
  <rv s="0">
    <v>536870912</v>
    <v>Udmurtia</v>
    <v>9650b146-7f52-f62d-cc53-c0f71081c647</v>
    <v>en-US</v>
    <v>Map</v>
  </rv>
  <rv s="0">
    <v>536870912</v>
    <v>Khakassia</v>
    <v>f1e1928b-1461-ec9b-f1f0-d161dfb0ded0</v>
    <v>en-US</v>
    <v>Map</v>
  </rv>
  <rv s="0">
    <v>536870912</v>
    <v>Chechnya</v>
    <v>380a5b31-8fbf-1061-698e-34d4218fc514</v>
    <v>en-US</v>
    <v>Map</v>
  </rv>
  <rv s="0">
    <v>536870912</v>
    <v>Chuvashia</v>
    <v>52dde999-303c-705c-0053-8cd4a44ea3bc</v>
    <v>en-US</v>
    <v>Map</v>
  </rv>
  <rv s="0">
    <v>536870912</v>
    <v>Altai Krai</v>
    <v>5e9c8636-bfc7-6ace-eac3-4751db61d1cd</v>
    <v>en-US</v>
    <v>Map</v>
  </rv>
  <rv s="0">
    <v>536870912</v>
    <v>Krasnodar Krai</v>
    <v>9a429c3b-d4ba-835f-1b73-b43e11683d61</v>
    <v>en-US</v>
    <v>Map</v>
  </rv>
  <rv s="0">
    <v>536870912</v>
    <v>Krasnoyarsk Krai</v>
    <v>1266f13e-65bc-fc05-ccd0-3c7a17af0597</v>
    <v>en-US</v>
    <v>Map</v>
  </rv>
  <rv s="0">
    <v>536870912</v>
    <v>Primorsky Krai</v>
    <v>c162694d-0600-3d2a-14ab-bd32888d7c8d</v>
    <v>en-US</v>
    <v>Map</v>
  </rv>
  <rv s="0">
    <v>536870912</v>
    <v>Khabarovsk Krai</v>
    <v>02068939-5788-e619-fddd-7743d37b74b3</v>
    <v>en-US</v>
    <v>Map</v>
  </rv>
  <rv s="0">
    <v>536870912</v>
    <v>Amur Oblast</v>
    <v>706fd605-8507-bdd1-46b4-ee14136bf6f2</v>
    <v>en-US</v>
    <v>Map</v>
  </rv>
  <rv s="0">
    <v>536870912</v>
    <v>Astrakhan Oblast</v>
    <v>06c7a94b-2d3b-41f7-ad05-8d46bb820ade</v>
    <v>en-US</v>
    <v>Map</v>
  </rv>
  <rv s="0">
    <v>536870912</v>
    <v>Arkhangelsk Oblast</v>
    <v>a26f0229-f4b7-1b73-1448-9522bf6b8a00</v>
    <v>en-US</v>
    <v>Map</v>
  </rv>
  <rv s="0">
    <v>536870912</v>
    <v>Belgorod Oblast</v>
    <v>c8940f0f-9335-1cda-1a75-5dd0ab1960ff</v>
    <v>en-US</v>
    <v>Map</v>
  </rv>
  <rv s="0">
    <v>536870912</v>
    <v>Bryansk Oblast</v>
    <v>0ea1957d-9d7f-b8a7-f59b-31b5d6b1bd4a</v>
    <v>en-US</v>
    <v>Map</v>
  </rv>
  <rv s="0">
    <v>536870912</v>
    <v>Vladimir Oblast</v>
    <v>2d317c56-15fe-4a06-56e0-02319a666d05</v>
    <v>en-US</v>
    <v>Map</v>
  </rv>
  <rv s="0">
    <v>536870912</v>
    <v>Volgograd Oblast</v>
    <v>8b9d97f0-f2de-ac3e-5891-976a9a8b1e60</v>
    <v>en-US</v>
    <v>Map</v>
  </rv>
  <rv s="0">
    <v>536870912</v>
    <v>Vologda Oblast</v>
    <v>e52cd8ce-a2fe-316d-8b57-f4e3b77333a5</v>
    <v>en-US</v>
    <v>Map</v>
  </rv>
  <rv s="0">
    <v>536870912</v>
    <v>Voronezh Oblast</v>
    <v>9b7449fa-9d99-9753-8580-fc09a3e938a1</v>
    <v>en-US</v>
    <v>Map</v>
  </rv>
  <rv s="0">
    <v>536870912</v>
    <v>Ivanovo Oblast</v>
    <v>fdcd3a68-b12f-1397-beb5-b43095d4606b</v>
    <v>en-US</v>
    <v>Map</v>
  </rv>
  <rv s="0">
    <v>536870912</v>
    <v>Irkutsk Oblast</v>
    <v>d1d27863-f692-cd79-ec4a-a224cb9b6b50</v>
    <v>en-US</v>
    <v>Map</v>
  </rv>
  <rv s="0">
    <v>536870912</v>
    <v>Kaliningrad Oblast</v>
    <v>7898a7d2-2c53-4ac9-fd66-da04a64ed92e</v>
    <v>en-US</v>
    <v>Map</v>
  </rv>
  <rv s="0">
    <v>536870912</v>
    <v>Kaluga Oblast</v>
    <v>97df7123-82c1-1ae8-dc29-631fa213b57f</v>
    <v>en-US</v>
    <v>Map</v>
  </rv>
  <rv s="0">
    <v>536870912</v>
    <v>Kamchatka Krai</v>
    <v>aa601ace-14aa-0457-d7e0-cc6046c92351</v>
    <v>en-US</v>
    <v>Map</v>
  </rv>
  <rv s="0">
    <v>536870912</v>
    <v>Kemerovo Oblast</v>
    <v>1e6a003a-be48-9fa5-55bd-e117a8409e45</v>
    <v>en-US</v>
    <v>Map</v>
  </rv>
  <rv s="0">
    <v>536870912</v>
    <v>Kirov Oblast</v>
    <v>d59795b1-20b4-27f8-b756-5227d25439ae</v>
    <v>en-US</v>
    <v>Map</v>
  </rv>
  <rv s="0">
    <v>536870912</v>
    <v>Kostroma Oblast</v>
    <v>48255075-9db6-a984-2d1d-fcf0441e427b</v>
    <v>en-US</v>
    <v>Map</v>
  </rv>
  <rv s="0">
    <v>536870912</v>
    <v>Kurgan Oblast</v>
    <v>903834e8-fe8c-1307-487f-0fb6d8993461</v>
    <v>en-US</v>
    <v>Map</v>
  </rv>
  <rv s="0">
    <v>536870912</v>
    <v>Kursk Oblast</v>
    <v>567e1124-acb2-49af-175b-c71b4a0ba198</v>
    <v>en-US</v>
    <v>Map</v>
  </rv>
  <rv s="0">
    <v>536870912</v>
    <v>Leningrad Oblast</v>
    <v>5c4a620f-878c-b7a4-a401-7f5115731d25</v>
    <v>en-US</v>
    <v>Map</v>
  </rv>
  <rv s="0">
    <v>536870912</v>
    <v>Lipetsk Oblast</v>
    <v>f35c04f7-4cb7-0802-ca04-755f7af52074</v>
    <v>en-US</v>
    <v>Map</v>
  </rv>
  <rv s="0">
    <v>536870912</v>
    <v>Magadan Oblast</v>
    <v>41a617f0-e934-53ad-bb6c-2cac390b18ba</v>
    <v>en-US</v>
    <v>Map</v>
  </rv>
  <rv s="0">
    <v>536870912</v>
    <v>Moscow Oblast</v>
    <v>dd63de90-3429-69f1-11c7-7129ec818a44</v>
    <v>en-US</v>
    <v>Map</v>
  </rv>
  <rv s="0">
    <v>536870912</v>
    <v>Murmansk Oblast</v>
    <v>07a783e3-274d-ec11-cee4-83081096a87f</v>
    <v>en-US</v>
    <v>Map</v>
  </rv>
  <rv s="0">
    <v>536870912</v>
    <v>Nizhny Novgorod Oblast</v>
    <v>691cbf3e-b13a-27a2-730d-d3a89a54588c</v>
    <v>en-US</v>
    <v>Map</v>
  </rv>
  <rv s="0">
    <v>536870912</v>
    <v>Novgorod Oblast</v>
    <v>5c6f11f1-917e-4dd9-5f0f-bca854810e3e</v>
    <v>en-US</v>
    <v>Map</v>
  </rv>
  <rv s="0">
    <v>536870912</v>
    <v>Novosibirsk Oblast</v>
    <v>e05e3666-c6d4-b98c-cf0b-3f8fbdcca509</v>
    <v>en-US</v>
    <v>Map</v>
  </rv>
  <rv s="0">
    <v>536870912</v>
    <v>Omsk Oblast</v>
    <v>ca626861-e115-9a15-2bb4-9047d7b785cd</v>
    <v>en-US</v>
    <v>Map</v>
  </rv>
  <rv s="0">
    <v>536870912</v>
    <v>Orenburg Oblast</v>
    <v>e416ef3d-74dd-73c7-82c5-e10e02791bfb</v>
    <v>en-US</v>
    <v>Map</v>
  </rv>
  <rv s="0">
    <v>536870912</v>
    <v>Oryol Oblast</v>
    <v>30918ef9-6129-11eb-d922-92a0eda65b46</v>
    <v>en-US</v>
    <v>Map</v>
  </rv>
  <rv s="0">
    <v>536870912</v>
    <v>Penza Oblast</v>
    <v>6037735b-86a2-89e3-37b1-b7b82ed427b8</v>
    <v>en-US</v>
    <v>Map</v>
  </rv>
  <rv s="0">
    <v>536870912</v>
    <v>Perm Krai</v>
    <v>e3254562-12b4-8af6-5efc-c33e6b4cc2fd</v>
    <v>en-US</v>
    <v>Map</v>
  </rv>
  <rv s="0">
    <v>536870912</v>
    <v>Pskov Oblast</v>
    <v>c4c338de-2857-ea26-c274-85903024dee2</v>
    <v>en-US</v>
    <v>Map</v>
  </rv>
  <rv s="0">
    <v>536870912</v>
    <v>Rostov Oblast</v>
    <v>05c23ef3-37da-92dc-0d82-db4e339caaa8</v>
    <v>en-US</v>
    <v>Map</v>
  </rv>
  <rv s="0">
    <v>536870912</v>
    <v>Ryazan Oblast</v>
    <v>6c69b62c-3503-7ba4-5d89-faeb0fc23ab3</v>
    <v>en-US</v>
    <v>Map</v>
  </rv>
  <rv s="0">
    <v>536870912</v>
    <v>Samara Oblast</v>
    <v>13d9bea7-a7c1-1b2c-7fb1-e678ddcd7a71</v>
    <v>en-US</v>
    <v>Map</v>
  </rv>
  <rv s="0">
    <v>536870912</v>
    <v>Saratov Oblast</v>
    <v>a391453d-4362-449f-bbe1-00b8176ec2f8</v>
    <v>en-US</v>
    <v>Map</v>
  </rv>
  <rv s="0">
    <v>536870912</v>
    <v>Sakhalin Oblast</v>
    <v>a0ca8508-79a7-09d7-1e4f-84e80916d921</v>
    <v>en-US</v>
    <v>Map</v>
  </rv>
  <rv s="0">
    <v>536870912</v>
    <v>Sverdlovsk Oblast</v>
    <v>32643100-03ea-0c14-f58e-a7d70c8c1468</v>
    <v>en-US</v>
    <v>Map</v>
  </rv>
  <rv s="0">
    <v>536870912</v>
    <v>Smolensk Oblast</v>
    <v>d2bbaf83-1065-8b46-d8df-55a0e9dd6b3a</v>
    <v>en-US</v>
    <v>Map</v>
  </rv>
  <rv s="0">
    <v>536870912</v>
    <v>Tambov Oblast</v>
    <v>c8c484f3-ed59-31b5-c134-bc324e7837a7</v>
    <v>en-US</v>
    <v>Map</v>
  </rv>
  <rv s="0">
    <v>536870912</v>
    <v>Tver Oblast</v>
    <v>43dbfe25-b444-4ee4-6a06-4a0c84faf831</v>
    <v>en-US</v>
    <v>Map</v>
  </rv>
  <rv s="0">
    <v>536870912</v>
    <v>Tomsk Oblast</v>
    <v>4833e982-a51c-b27a-99ba-c7aa39fdbfc5</v>
    <v>en-US</v>
    <v>Map</v>
  </rv>
  <rv s="0">
    <v>536870912</v>
    <v>Tula Oblast</v>
    <v>06958213-9024-c72f-be1d-870a43124549</v>
    <v>en-US</v>
    <v>Map</v>
  </rv>
  <rv s="0">
    <v>536870912</v>
    <v>Tyumen Oblast</v>
    <v>f7074e1e-5809-6c44-a836-391d78cc63b0</v>
    <v>en-US</v>
    <v>Map</v>
  </rv>
  <rv s="0">
    <v>536870912</v>
    <v>Ulyanovsk Oblast</v>
    <v>285ad0e8-dfc5-6c4f-f919-783c565347c2</v>
    <v>en-US</v>
    <v>Map</v>
  </rv>
  <rv s="0">
    <v>536870912</v>
    <v>Chelyabinsk Oblast</v>
    <v>e8506c94-c78a-be96-22a5-f42d90ce4d85</v>
    <v>en-US</v>
    <v>Map</v>
  </rv>
  <rv s="0">
    <v>536870912</v>
    <v>Zabaykalsky Krai</v>
    <v>4eec5a15-6252-a5ba-a675-32f7c3941986</v>
    <v>en-US</v>
    <v>Map</v>
  </rv>
  <rv s="0">
    <v>536870912</v>
    <v>Yaroslavl Oblast</v>
    <v>78a787d0-5bd7-369e-abec-20334f55f284</v>
    <v>en-US</v>
    <v>Map</v>
  </rv>
  <rv s="0">
    <v>536870912</v>
    <v>Saint Petersburg</v>
    <v>e3ed1086-8cd2-4813-dfa1-22d6666852c7</v>
    <v>en-US</v>
    <v>Map</v>
  </rv>
  <rv s="0">
    <v>536870912</v>
    <v>Sevastopol</v>
    <v>1d4e43aa-65a2-a88a-3324-a9ac6e098708</v>
    <v>en-US</v>
    <v>Map</v>
  </rv>
  <rv s="0">
    <v>536870912</v>
    <v>Jewish Autonomous Oblast</v>
    <v>f238d267-34ac-88dc-5e18-ecd8a1d9f1bd</v>
    <v>en-US</v>
    <v>Map</v>
  </rv>
  <rv s="0">
    <v>536870912</v>
    <v>Nenets Autonomous Okrug</v>
    <v>0bfd44fb-94fd-9862-0994-343325ef0e56</v>
    <v>en-US</v>
    <v>Map</v>
  </rv>
  <rv s="0">
    <v>536870912</v>
    <v>Khanty-Mansi Autonomous Okrug</v>
    <v>c54c2f51-aac8-6ea4-fc82-3027ba8cc45b</v>
    <v>en-US</v>
    <v>Map</v>
  </rv>
  <rv s="0">
    <v>536870912</v>
    <v>Chukotka Autonomous Okrug</v>
    <v>32d0b1a4-54c8-f9af-b97c-f05f93680504</v>
    <v>en-US</v>
    <v>Map</v>
  </rv>
  <rv s="0">
    <v>536870912</v>
    <v>Yamalo-Nenets Autonomous Okrug</v>
    <v>9ad3fb88-2ff4-83f3-32a9-b85ad7f10c6c</v>
    <v>en-US</v>
    <v>Map</v>
  </rv>
  <rv s="3">
    <v>159</v>
  </rv>
  <rv s="1">
    <fb>0.11384595754929799</fb>
    <v>19</v>
  </rv>
  <rv s="3">
    <v>160</v>
  </rv>
  <rv s="1">
    <fb>0.46200000000000002</fb>
    <v>19</v>
  </rv>
  <rv s="1">
    <fb>4.5850000381469698E-2</fb>
    <v>43</v>
  </rv>
  <rv s="1">
    <fb>107683889</fb>
    <v>8</v>
  </rv>
  <rv s="7">
    <v>#VALUE!</v>
    <v>en-US</v>
    <v>ed4fce79-8ad4-352b-205b-e4db36c49bbe</v>
    <v>536870912</v>
    <v>1</v>
    <v>414</v>
    <v>37</v>
    <v>Russia</v>
    <v>4</v>
    <v>5</v>
    <v>Map</v>
    <v>6</v>
    <v>415</v>
    <v>RU</v>
    <v>2614</v>
    <v>2615</v>
    <v>2616</v>
    <v>2617</v>
    <v>2618</v>
    <v>2619</v>
    <v>2620</v>
    <v>2621</v>
    <v>2622</v>
    <v>RUB</v>
    <v>Russia, or the Russian Federation, is a country spanning Eastern Europe and North Asia. It is the largest country in the world by land area, and extends across eleven time zones; sharing land borders with fourteen countries. Russia is the most ...</v>
    <v>2623</v>
    <v>2624</v>
    <v>2625</v>
    <v>2626</v>
    <v>2627</v>
    <v>2628</v>
    <v>2629</v>
    <v>2630</v>
    <v>2631</v>
    <v>2632</v>
    <v>2619</v>
    <v>2635</v>
    <v>2636</v>
    <v>2637</v>
    <v>2638</v>
    <v>2072</v>
    <v>2639</v>
    <v>Russia</v>
    <v>National anthem of Russia</v>
    <v>2640</v>
    <v>Российская Федерация</v>
    <v>2641</v>
    <v>2642</v>
    <v>2643</v>
    <v>2644</v>
    <v>2645</v>
    <v>2646</v>
    <v>317</v>
    <v>350</v>
    <v>514</v>
    <v>2647</v>
    <v>2648</v>
    <v>2731</v>
    <v>2732</v>
    <v>2733</v>
    <v>2734</v>
    <v>2735</v>
    <v>Russia</v>
    <v>2736</v>
    <v>mdp/vdpid/203</v>
  </rv>
  <rv s="0">
    <v>536870912</v>
    <v>Providence, Rhode Island</v>
    <v>956379de-1782-455c-b2d8-1ba81c8965f1</v>
    <v>en-US</v>
    <v>Map</v>
  </rv>
  <rv s="0">
    <v>536870912</v>
    <v>Providence County</v>
    <v>55625e32-23f5-f927-164b-a5bce33c7bb1</v>
    <v>en-US</v>
    <v>Map</v>
  </rv>
  <rv s="1">
    <fb>53.273966999999999</fb>
    <v>8</v>
  </rv>
  <rv s="2">
    <v>90</v>
    <v>6</v>
    <v>416</v>
    <v>7</v>
    <v>0</v>
    <v>Image of Providence, Rhode Island</v>
  </rv>
  <rv s="1">
    <fb>41.823990000000002</fb>
    <v>9</v>
  </rv>
  <rv s="0">
    <v>805306368</v>
    <v>Brett Smiley (Mayor)</v>
    <v>4f12ec20-fb06-ef7c-2225-f4b342e7a212</v>
    <v>en-US</v>
    <v>Generic</v>
  </rv>
  <rv s="3">
    <v>161</v>
  </rv>
  <rv s="4">
    <v>https://www.bing.com/search?q=providence+rhode+island&amp;form=skydnc</v>
    <v>Learn more on Bing</v>
  </rv>
  <rv s="1">
    <fb>-71.41283</fb>
    <v>9</v>
  </rv>
  <rv s="1">
    <fb>190934</fb>
    <v>8</v>
  </rv>
  <rv s="17">
    <v>#VALUE!</v>
    <v>en-US</v>
    <v>956379de-1782-455c-b2d8-1ba81c8965f1</v>
    <v>536870912</v>
    <v>1</v>
    <v>417</v>
    <v>232</v>
    <v>Providence, Rhode Island</v>
    <v>4</v>
    <v>5</v>
    <v>Map</v>
    <v>6</v>
    <v>7</v>
    <v>125</v>
    <v>2739</v>
    <v>2740</v>
    <v>3</v>
    <v>Providence is the capital and most populous city of the U.S. state of Rhode Island. The county seat of Providence County, it is one of the oldest cities in New England, founded in 1636 by Roger Williams, a Reformed Baptist theologian and ...</v>
    <v>2741</v>
    <v>2742</v>
    <v>2744</v>
    <v>2745</v>
    <v>2746</v>
    <v>Providence, Rhode Island</v>
    <v>2747</v>
    <v>Providence, Rhode Island</v>
    <v>mdp/vdpid/5488923181957775365</v>
  </rv>
  <rv s="0">
    <v>536870912</v>
    <v>South Africa</v>
    <v>38a9fd4a-4f7c-6d91-d6dd-4eed3131672d</v>
    <v>en-US</v>
    <v>Map</v>
  </rv>
  <rv s="1">
    <fb>0.79830020855830996</fb>
    <v>19</v>
  </rv>
  <rv s="1">
    <fb>1221037</fb>
    <v>8</v>
  </rv>
  <rv s="1">
    <fb>80000</fb>
    <v>8</v>
  </rv>
  <rv s="1">
    <fb>20.51</fb>
    <v>18</v>
  </rv>
  <rv s="1">
    <fb>27</fb>
    <v>39</v>
  </rv>
  <rv s="0">
    <v>536870912</v>
    <v>Pretoria</v>
    <v>3fa43cca-3409-4d81-f4f9-2df74e37e177</v>
    <v>en-US</v>
    <v>Map</v>
  </rv>
  <rv s="1">
    <fb>476643.99400000001</fb>
    <v>8</v>
  </rv>
  <rv s="1">
    <fb>158.92793752218699</fb>
    <v>40</v>
  </rv>
  <rv s="1">
    <fb>4.1243507248623905E-2</fb>
    <v>19</v>
  </rv>
  <rv s="1">
    <fb>4197.9070469175304</fb>
    <v>8</v>
  </rv>
  <rv s="1">
    <fb>2.4049999999999998</fb>
    <v>18</v>
  </rv>
  <rv s="1">
    <fb>7.6177365240831296E-2</fb>
    <v>19</v>
  </rv>
  <rv s="1">
    <fb>86.791431691401598</fb>
    <v>41</v>
  </rv>
  <rv s="1">
    <fb>0.92</fb>
    <v>42</v>
  </rv>
  <rv s="1">
    <fb>351431649241.43903</fb>
    <v>17</v>
  </rv>
  <rv s="1">
    <fb>1.0086473</fb>
    <v>19</v>
  </rv>
  <rv s="1">
    <fb>0.22366029999999998</fb>
    <v>19</v>
  </rv>
  <rv s="2">
    <v>91</v>
    <v>6</v>
    <v>419</v>
    <v>7</v>
    <v>0</v>
    <v>Image of South Africa</v>
  </rv>
  <rv s="1">
    <fb>28.5</fb>
    <v>41</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162</v>
  </rv>
  <rv s="4">
    <v>https://www.bing.com/search?q=south+africa&amp;form=skydnc</v>
    <v>Learn more on Bing</v>
  </rv>
  <rv s="1">
    <fb>63.856999999999999</fb>
    <v>41</v>
  </rv>
  <rv s="1">
    <fb>1056341440000</fb>
    <v>17</v>
  </rv>
  <rv s="1">
    <fb>119</fb>
    <v>41</v>
  </rv>
  <rv s="3">
    <v>163</v>
  </rv>
  <rv s="1">
    <fb>7.6985469299999998E-2</fb>
    <v>19</v>
  </rv>
  <rv s="1">
    <fb>0.90539999999999998</fb>
    <v>18</v>
  </rv>
  <rv s="1">
    <fb>59893885</fb>
    <v>8</v>
  </rv>
  <rv s="1">
    <fb>0.505</fb>
    <v>19</v>
  </rv>
  <rv s="1">
    <fb>0.68200000000000005</fb>
    <v>19</v>
  </rv>
  <rv s="1">
    <fb>9.0000000000000011E-3</fb>
    <v>19</v>
  </rv>
  <rv s="1">
    <fb>0.56016998291015596</fb>
    <v>19</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164</v>
  </rv>
  <rv s="1">
    <fb>0.27465217966612804</fb>
    <v>19</v>
  </rv>
  <rv s="3">
    <v>165</v>
  </rv>
  <rv s="1">
    <fb>0.29199999999999998</fb>
    <v>19</v>
  </rv>
  <rv s="1">
    <fb>0.28180999755859398</fb>
    <v>43</v>
  </rv>
  <rv s="1">
    <fb>39149717</fb>
    <v>8</v>
  </rv>
  <rv s="20">
    <v>#VALUE!</v>
    <v>en-US</v>
    <v>38a9fd4a-4f7c-6d91-d6dd-4eed3131672d</v>
    <v>536870912</v>
    <v>1</v>
    <v>422</v>
    <v>293</v>
    <v>South Africa</v>
    <v>4</v>
    <v>5</v>
    <v>Map</v>
    <v>6</v>
    <v>423</v>
    <v>ZA</v>
    <v>2750</v>
    <v>2751</v>
    <v>2752</v>
    <v>2753</v>
    <v>2754</v>
    <v>2755</v>
    <v>2756</v>
    <v>2757</v>
    <v>2758</v>
    <v>ZAR</v>
    <v>South Africa, officially the Republic of South Africa, is the southernmost country in Africa. Its nine provinces are bounded to the south by 2,798 kilometres of coastline that stretches along the South Atlantic and Indian Ocean; to the north by ...</v>
    <v>2759</v>
    <v>2760</v>
    <v>2761</v>
    <v>2762</v>
    <v>2763</v>
    <v>2764</v>
    <v>2765</v>
    <v>2766</v>
    <v>2767</v>
    <v>2768</v>
    <v>2769</v>
    <v>2772</v>
    <v>2773</v>
    <v>2774</v>
    <v>2775</v>
    <v>2776</v>
    <v>South Africa</v>
    <v>National anthem of South Africa</v>
    <v>2777</v>
    <v>Republic of South Africa</v>
    <v>2778</v>
    <v>2779</v>
    <v>2780</v>
    <v>2345</v>
    <v>2781</v>
    <v>2782</v>
    <v>2783</v>
    <v>42</v>
    <v>212</v>
    <v>218</v>
    <v>2784</v>
    <v>2794</v>
    <v>2795</v>
    <v>2796</v>
    <v>2797</v>
    <v>2798</v>
    <v>South Africa</v>
    <v>2799</v>
    <v>mdp/vdpid/209</v>
  </rv>
  <rv s="0">
    <v>536870912</v>
    <v>Brussels</v>
    <v>f77206fd-fe4f-6c8e-5588-1d0651b151ea</v>
    <v>en-US</v>
    <v>Map</v>
  </rv>
  <rv s="1">
    <fb>161.38</fb>
    <v>8</v>
  </rv>
  <rv s="0">
    <v>536870912</v>
    <v>Belgium</v>
    <v>ac5bcc34-e1cd-2e76-9d31-fb1be1159a5e</v>
    <v>en-US</v>
    <v>Map</v>
  </rv>
  <rv s="2">
    <v>92</v>
    <v>6</v>
    <v>424</v>
    <v>7</v>
    <v>0</v>
    <v>Image of Brussels</v>
  </rv>
  <rv s="1">
    <fb>50.8466666666667</fb>
    <v>9</v>
  </rv>
  <rv s="0">
    <v>805306368</v>
    <v>Rachid Madrane (Speaker)</v>
    <v>53415c53-94d6-4d5b-a2e2-e0a1340ed8ca</v>
    <v>en-US</v>
    <v>Generic</v>
  </rv>
  <rv s="3">
    <v>166</v>
  </rv>
  <rv s="4">
    <v>https://www.bing.com/search?q=brussels&amp;form=skydnc</v>
    <v>Learn more on Bing</v>
  </rv>
  <rv s="1">
    <fb>4.3525</fb>
    <v>9</v>
  </rv>
  <rv s="1">
    <fb>1218255</fb>
    <v>8</v>
  </rv>
  <rv s="23">
    <v>#VALUE!</v>
    <v>en-US</v>
    <v>f77206fd-fe4f-6c8e-5588-1d0651b151ea</v>
    <v>536870912</v>
    <v>1</v>
    <v>425</v>
    <v>351</v>
    <v>Brussels</v>
    <v>4</v>
    <v>5</v>
    <v>Map</v>
    <v>6</v>
    <v>7</v>
    <v>2802</v>
    <v>2803</v>
    <v>Brussels, officially the Brussels-Capital Region, is a region of Belgium comprising 19 municipalities, including the City of Brussels, which is the capital of Belgium. The Brussels-Capital Region is located in the central portion of the country ...</v>
    <v>2804</v>
    <v>2805</v>
    <v>2807</v>
    <v>2808</v>
    <v>2809</v>
    <v>Brussels</v>
    <v>2810</v>
    <v>2144</v>
    <v>Brussels</v>
    <v>mdp/vdpid/10103253</v>
  </rv>
  <rv s="1">
    <fb>0.44610305443465298</fb>
    <v>19</v>
  </rv>
  <rv s="1">
    <fb>30688</fb>
    <v>8</v>
  </rv>
  <rv s="1">
    <fb>32000</fb>
    <v>8</v>
  </rv>
  <rv s="1">
    <fb>10.3</fb>
    <v>18</v>
  </rv>
  <rv s="1">
    <fb>32</fb>
    <v>39</v>
  </rv>
  <rv s="0">
    <v>536870912</v>
    <v>City of Brussels</v>
    <v>95e13b04-adba-5f35-d2c5-f828990ca1fd</v>
    <v>en-US</v>
    <v>Map</v>
  </rv>
  <rv s="1">
    <fb>96889.474000000002</fb>
    <v>8</v>
  </rv>
  <rv s="1">
    <fb>117.11045718797099</fb>
    <v>40</v>
  </rv>
  <rv s="1">
    <fb>1.43681956996435E-2</fb>
    <v>19</v>
  </rv>
  <rv s="1">
    <fb>7709.1230778824702</fb>
    <v>8</v>
  </rv>
  <rv s="1">
    <fb>1.62</fb>
    <v>18</v>
  </rv>
  <rv s="1">
    <fb>0.22583884638555801</fb>
    <v>19</v>
  </rv>
  <rv s="1">
    <fb>75.870784353682396</fb>
    <v>41</v>
  </rv>
  <rv s="1">
    <fb>1.43</fb>
    <v>42</v>
  </rv>
  <rv s="1">
    <fb>529606710418.03802</fb>
    <v>17</v>
  </rv>
  <rv s="1">
    <fb>1.0390557</fb>
    <v>19</v>
  </rv>
  <rv s="1">
    <fb>0.79661730000000008</fb>
    <v>19</v>
  </rv>
  <rv s="2">
    <v>93</v>
    <v>6</v>
    <v>427</v>
    <v>7</v>
    <v>0</v>
    <v>Image of Belgium</v>
  </rv>
  <rv s="0">
    <v>805306368</v>
    <v>Philippe of Belgium (Monarch)</v>
    <v>a665fab7-fb7f-7057-7ae8-bfd895ec6e4d</v>
    <v>en-US</v>
    <v>Generic</v>
  </rv>
  <rv s="0">
    <v>805306368</v>
    <v>Bart De Wever (Prime minister)</v>
    <v>b612ad4e-f70e-98c6-7b14-c49f120304f0</v>
    <v>en-US</v>
    <v>Generic</v>
  </rv>
  <rv s="3">
    <v>167</v>
  </rv>
  <rv s="4">
    <v>https://www.bing.com/search?q=belgium&amp;form=skydnc</v>
    <v>Learn more on Bing</v>
  </rv>
  <rv s="1">
    <fb>81.595121951219497</fb>
    <v>41</v>
  </rv>
  <rv s="1">
    <fb>321093542983.70203</fb>
    <v>17</v>
  </rv>
  <rv s="1">
    <fb>10.31</fb>
    <v>42</v>
  </rv>
  <rv s="3">
    <v>168</v>
  </rv>
  <rv s="1">
    <fb>0.17567192210000002</fb>
    <v>19</v>
  </rv>
  <rv s="1">
    <fb>3.0709</fb>
    <v>18</v>
  </rv>
  <rv s="1">
    <fb>11669446</fb>
    <v>8</v>
  </rv>
  <rv s="1">
    <fb>8.6999999999999994E-2</fb>
    <v>19</v>
  </rv>
  <rv s="1">
    <fb>0.18100000000000002</fb>
    <v>19</v>
  </rv>
  <rv s="1">
    <fb>0.53562000274658206</fb>
    <v>19</v>
  </rv>
  <rv s="0">
    <v>536870912</v>
    <v>Flemish Region</v>
    <v>f250b992-acb5-d7d5-db4f-47fb684176fd</v>
    <v>en-US</v>
    <v>Map</v>
  </rv>
  <rv s="0">
    <v>536870912</v>
    <v>Wallonia</v>
    <v>077dc74d-75df-1a0d-c05f-5dc9a9747925</v>
    <v>en-US</v>
    <v>Map</v>
  </rv>
  <rv s="3">
    <v>169</v>
  </rv>
  <rv s="1">
    <fb>0.23994106172459101</fb>
    <v>19</v>
  </rv>
  <rv s="3">
    <v>170</v>
  </rv>
  <rv s="1">
    <fb>5.5890002250671394E-2</fb>
    <v>43</v>
  </rv>
  <rv s="1">
    <fb>11259082</fb>
    <v>8</v>
  </rv>
  <rv s="7">
    <v>#VALUE!</v>
    <v>en-US</v>
    <v>ac5bcc34-e1cd-2e76-9d31-fb1be1159a5e</v>
    <v>536870912</v>
    <v>1</v>
    <v>430</v>
    <v>37</v>
    <v>Belgium</v>
    <v>4</v>
    <v>5</v>
    <v>Map</v>
    <v>6</v>
    <v>384</v>
    <v>BE</v>
    <v>2812</v>
    <v>2813</v>
    <v>2814</v>
    <v>2815</v>
    <v>2816</v>
    <v>2817</v>
    <v>2818</v>
    <v>2819</v>
    <v>2820</v>
    <v>EUR</v>
    <v>Belgium, officially the Kingdom of Belgium, is a country in Northwestern Europe. Situated in a coastal lowland region known as the Low Countries, it is bordered by the Netherlands to the north, Germany to the east, Luxembourg to the southeast, ...</v>
    <v>2821</v>
    <v>2822</v>
    <v>2823</v>
    <v>2824</v>
    <v>2825</v>
    <v>2826</v>
    <v>2827</v>
    <v>2828</v>
    <v>2829</v>
    <v>2576</v>
    <v>2801</v>
    <v>2832</v>
    <v>2833</v>
    <v>2834</v>
    <v>2835</v>
    <v>1179</v>
    <v>2836</v>
    <v>Belgium</v>
    <v>La Brabançonne</v>
    <v>2837</v>
    <v>Königreich Belgien</v>
    <v>2838</v>
    <v>2839</v>
    <v>2840</v>
    <v>810</v>
    <v>1302</v>
    <v>906</v>
    <v>483</v>
    <v>2841</v>
    <v>428</v>
    <v>2842</v>
    <v>2843</v>
    <v>2846</v>
    <v>2847</v>
    <v>2848</v>
    <v>1682</v>
    <v>2849</v>
    <v>Belgium</v>
    <v>2850</v>
    <v>mdp/vdpid/21</v>
  </rv>
  <rv s="0">
    <v>536870912</v>
    <v>Miami</v>
    <v>0f9ee715-4425-4f86-a2e6-2fe7befe1ac6</v>
    <v>en-US</v>
    <v>Map</v>
  </rv>
  <rv s="0">
    <v>536870912</v>
    <v>Miami-Dade County, Florida</v>
    <v>011ca011-9462-caa9-fe46-e0bfd960472e</v>
    <v>en-US</v>
    <v>Map</v>
  </rv>
  <rv s="1">
    <fb>145.204218</fb>
    <v>8</v>
  </rv>
  <rv s="2">
    <v>94</v>
    <v>6</v>
    <v>431</v>
    <v>7</v>
    <v>0</v>
    <v>Image of Miami</v>
  </rv>
  <rv s="1">
    <fb>25.783333333333001</fb>
    <v>9</v>
  </rv>
  <rv s="0">
    <v>805306368</v>
    <v>Francis Suarez (Mayor)</v>
    <v>e0123078-942d-04f1-659c-2e1b624aa4bc</v>
    <v>en-US</v>
    <v>Generic</v>
  </rv>
  <rv s="3">
    <v>171</v>
  </rv>
  <rv s="4">
    <v>https://www.bing.com/search?q=miami+florida&amp;form=skydnc</v>
    <v>Learn more on Bing</v>
  </rv>
  <rv s="1">
    <fb>-80.216666666666995</fb>
    <v>9</v>
  </rv>
  <rv s="1">
    <fb>455924</fb>
    <v>8</v>
  </rv>
  <rv s="8">
    <v>#VALUE!</v>
    <v>en-US</v>
    <v>0f9ee715-4425-4f86-a2e6-2fe7befe1ac6</v>
    <v>536870912</v>
    <v>1</v>
    <v>432</v>
    <v>46</v>
    <v>Miami</v>
    <v>4</v>
    <v>5</v>
    <v>Map</v>
    <v>6</v>
    <v>167</v>
    <v>96</v>
    <v>2853</v>
    <v>2854</v>
    <v>191</v>
    <v>Miami is a coastal city in the U.S. state of Florida and the county seat of Miami-Dade County in South Florida. It is the core of the Miami metropolitan area, which, with a population of 6.14 million, is the second-largest metropolitan area in ...</v>
    <v>2855</v>
    <v>2856</v>
    <v>2858</v>
    <v>2859</v>
    <v>2860</v>
    <v>Miami</v>
    <v>2861</v>
    <v>11</v>
    <v>Miami</v>
    <v>mdp/vdpid/5502110112036159489</v>
  </rv>
  <rv s="0">
    <v>536870912</v>
    <v>South Korea</v>
    <v>c0e15be0-5113-402c-c03f-516a6265e9cb</v>
    <v>en-US</v>
    <v>Map</v>
  </rv>
  <rv s="1">
    <fb>0.17446070640579101</fb>
    <v>19</v>
  </rv>
  <rv s="1">
    <fb>100295</fb>
    <v>8</v>
  </rv>
  <rv s="1">
    <fb>634000</fb>
    <v>8</v>
  </rv>
  <rv s="1">
    <fb>6.4</fb>
    <v>18</v>
  </rv>
  <rv s="1">
    <fb>82</fb>
    <v>39</v>
  </rv>
  <rv s="0">
    <v>536870912</v>
    <v>Seoul</v>
    <v>669b47ba-40b4-0147-3657-a7dd0861132c</v>
    <v>en-US</v>
    <v>Map</v>
  </rv>
  <rv s="1">
    <fb>620302.38600000006</fb>
    <v>8</v>
  </rv>
  <rv s="1">
    <fb>115.15858742558</fb>
    <v>40</v>
  </rv>
  <rv s="1">
    <fb>3.8294613224406E-3</fb>
    <v>19</v>
  </rv>
  <rv s="1">
    <fb>10496.5136719641</fb>
    <v>8</v>
  </rv>
  <rv s="1">
    <fb>0.97699999999999998</fb>
    <v>18</v>
  </rv>
  <rv s="1">
    <fb>0.63354836492977906</fb>
    <v>19</v>
  </rv>
  <rv s="1">
    <fb>81.028475807144503</fb>
    <v>41</v>
  </rv>
  <rv s="1">
    <fb>1.22</fb>
    <v>42</v>
  </rv>
  <rv s="1">
    <fb>2029000000000</fb>
    <v>17</v>
  </rv>
  <rv s="1">
    <fb>0.98088600000000004</fb>
    <v>19</v>
  </rv>
  <rv s="1">
    <fb>0.94349689999999997</fb>
    <v>19</v>
  </rv>
  <rv s="2">
    <v>95</v>
    <v>6</v>
    <v>434</v>
    <v>7</v>
    <v>0</v>
    <v>Image of South Korea</v>
  </rv>
  <rv s="1">
    <fb>2.7</fb>
    <v>41</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172</v>
  </rv>
  <rv s="4">
    <v>https://www.bing.com/search?q=south+korea&amp;form=skydnc</v>
    <v>Learn more on Bing</v>
  </rv>
  <rv s="1">
    <fb>82.626829268292695</fb>
    <v>41</v>
  </rv>
  <rv s="1">
    <fb>1413716510000</fb>
    <v>17</v>
  </rv>
  <rv s="1">
    <fb>6.49</fb>
    <v>42</v>
  </rv>
  <rv s="3">
    <v>173</v>
  </rv>
  <rv s="1">
    <fb>0.36792971710000005</fb>
    <v>19</v>
  </rv>
  <rv s="1">
    <fb>2.3607999999999998</fb>
    <v>18</v>
  </rv>
  <rv s="1">
    <fb>51628117</fb>
    <v>8</v>
  </rv>
  <rv s="1">
    <fb>0.23199999999999998</fb>
    <v>19</v>
  </rv>
  <rv s="1">
    <fb>0.39</fb>
    <v>19</v>
  </rv>
  <rv s="1">
    <fb>0.62970001220703098</fb>
    <v>19</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174</v>
  </rv>
  <rv s="1">
    <fb>0.15574911728035101</fb>
    <v>19</v>
  </rv>
  <rv s="3">
    <v>175</v>
  </rv>
  <rv s="1">
    <fb>0.33200000000000002</fb>
    <v>19</v>
  </rv>
  <rv s="1">
    <fb>4.1479997634887703E-2</fb>
    <v>43</v>
  </rv>
  <rv s="1">
    <fb>42106719</fb>
    <v>8</v>
  </rv>
  <rv s="7">
    <v>#VALUE!</v>
    <v>en-US</v>
    <v>c0e15be0-5113-402c-c03f-516a6265e9cb</v>
    <v>536870912</v>
    <v>1</v>
    <v>438</v>
    <v>37</v>
    <v>South Korea</v>
    <v>4</v>
    <v>5</v>
    <v>Map</v>
    <v>6</v>
    <v>439</v>
    <v>KR</v>
    <v>2864</v>
    <v>2865</v>
    <v>2866</v>
    <v>2867</v>
    <v>2868</v>
    <v>2869</v>
    <v>2870</v>
    <v>2871</v>
    <v>2872</v>
    <v>KRW</v>
    <v>South Korea, officially the Republic of Korea, is a country in East Asia. It constitutes the southern half of the Korean Peninsula and borders North Korea along the Korean Demilitarized Zone, with the Yellow Sea to the west and the Sea of Japan ...</v>
    <v>2873</v>
    <v>2874</v>
    <v>2875</v>
    <v>2876</v>
    <v>2877</v>
    <v>2878</v>
    <v>2879</v>
    <v>2880</v>
    <v>2881</v>
    <v>2882</v>
    <v>2869</v>
    <v>2887</v>
    <v>2888</v>
    <v>2889</v>
    <v>2890</v>
    <v>2504</v>
    <v>2891</v>
    <v>South Korea</v>
    <v>Aegukga</v>
    <v>2892</v>
    <v>대한민국</v>
    <v>2893</v>
    <v>2894</v>
    <v>2895</v>
    <v>2896</v>
    <v>219</v>
    <v>2897</v>
    <v>650</v>
    <v>623</v>
    <v>309</v>
    <v>1433</v>
    <v>2898</v>
    <v>2915</v>
    <v>2916</v>
    <v>2917</v>
    <v>2918</v>
    <v>2919</v>
    <v>South Korea</v>
    <v>2920</v>
    <v>mdp/vdpid/134</v>
  </rv>
  <rv s="0">
    <v>536870912</v>
    <v>Argentina</v>
    <v>87153d87-9bb0-166a-3d56-613bdc274e1b</v>
    <v>en-US</v>
    <v>Map</v>
  </rv>
  <rv s="1">
    <fb>0.54335712119385104</fb>
    <v>19</v>
  </rv>
  <rv s="1">
    <fb>2780400</fb>
    <v>8</v>
  </rv>
  <rv s="1">
    <fb>105000</fb>
    <v>8</v>
  </rv>
  <rv s="1">
    <fb>17.021000000000001</fb>
    <v>18</v>
  </rv>
  <rv s="1">
    <fb>54</fb>
    <v>39</v>
  </rv>
  <rv s="0">
    <v>536870912</v>
    <v>Buenos Aires</v>
    <v>857a6814-3fe8-c414-84da-24018be87fce</v>
    <v>en-US</v>
    <v>Map</v>
  </rv>
  <rv s="1">
    <fb>201347.636</fb>
    <v>8</v>
  </rv>
  <rv s="1">
    <fb>232.75109166666701</fb>
    <v>40</v>
  </rv>
  <rv s="1">
    <fb>0.53548304349234199</fb>
    <v>19</v>
  </rv>
  <rv s="1">
    <fb>3074.70207056563</fb>
    <v>8</v>
  </rv>
  <rv s="1">
    <fb>2.2610000000000001</fb>
    <v>18</v>
  </rv>
  <rv s="1">
    <fb>9.7984058182512504E-2</fb>
    <v>19</v>
  </rv>
  <rv s="1">
    <fb>87.722407479689195</fb>
    <v>41</v>
  </rv>
  <rv s="1">
    <fb>1.1000000000000001</fb>
    <v>42</v>
  </rv>
  <rv s="1">
    <fb>449663446954.073</fb>
    <v>17</v>
  </rv>
  <rv s="1">
    <fb>1.0974146</fb>
    <v>19</v>
  </rv>
  <rv s="1">
    <fb>0.89958519999999997</fb>
    <v>19</v>
  </rv>
  <rv s="2">
    <v>96</v>
    <v>6</v>
    <v>441</v>
    <v>7</v>
    <v>0</v>
    <v>Image of Argentina</v>
  </rv>
  <rv s="1">
    <fb>8.8000000000000007</fb>
    <v>41</v>
  </rv>
  <rv s="0">
    <v>805306368</v>
    <v>Javier Milei (President)</v>
    <v>9e292152-d659-8459-891a-e2e34df73a4f</v>
    <v>en-US</v>
    <v>Generic</v>
  </rv>
  <rv s="0">
    <v>805306368</v>
    <v>Victoria Villarruel (Vice president)</v>
    <v>c9d496be-e912-ca9e-b72e-cd37e371c69a</v>
    <v>en-US</v>
    <v>Generic</v>
  </rv>
  <rv s="3">
    <v>176</v>
  </rv>
  <rv s="4">
    <v>https://www.bing.com/search?q=argentina&amp;form=skydnc</v>
    <v>Learn more on Bing</v>
  </rv>
  <rv s="1">
    <fb>76.52</fb>
    <v>41</v>
  </rv>
  <rv s="1">
    <fb>39393540000</fb>
    <v>17</v>
  </rv>
  <rv s="1">
    <fb>39</fb>
    <v>41</v>
  </rv>
  <rv s="1">
    <fb>3.35</fb>
    <v>42</v>
  </rv>
  <rv s="3">
    <v>177</v>
  </rv>
  <rv s="1">
    <fb>0.17628076140000001</fb>
    <v>19</v>
  </rv>
  <rv s="1">
    <fb>3.96</fb>
    <v>18</v>
  </rv>
  <rv s="1">
    <fb>46234830</fb>
    <v>8</v>
  </rv>
  <rv s="1">
    <fb>0.46500000000000002</fb>
    <v>19</v>
  </rv>
  <rv s="1">
    <fb>0.61301998138427694</fb>
    <v>19</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178</v>
  </rv>
  <rv s="1">
    <fb>0.10087499305375699</fb>
    <v>19</v>
  </rv>
  <rv s="3">
    <v>179</v>
  </rv>
  <rv s="1">
    <fb>1.0629999999999999</fb>
    <v>19</v>
  </rv>
  <rv s="1">
    <fb>9.7889995574951205E-2</fb>
    <v>43</v>
  </rv>
  <rv s="1">
    <fb>41339571</fb>
    <v>8</v>
  </rv>
  <rv s="7">
    <v>#VALUE!</v>
    <v>en-US</v>
    <v>87153d87-9bb0-166a-3d56-613bdc274e1b</v>
    <v>536870912</v>
    <v>1</v>
    <v>444</v>
    <v>37</v>
    <v>Argentina</v>
    <v>4</v>
    <v>5</v>
    <v>Map</v>
    <v>6</v>
    <v>445</v>
    <v>AR</v>
    <v>2923</v>
    <v>2924</v>
    <v>2925</v>
    <v>2926</v>
    <v>2927</v>
    <v>2928</v>
    <v>2929</v>
    <v>2930</v>
    <v>2931</v>
    <v>ARS</v>
    <v>Argentina, officially the Argentine Republic, is a country in the southern half of South America. It covers an area of 2,780,085 km², making it the second-largest country in South America after Brazil, the fourth-largest country in the Americas, ...</v>
    <v>2932</v>
    <v>2933</v>
    <v>2934</v>
    <v>2935</v>
    <v>2936</v>
    <v>2937</v>
    <v>2938</v>
    <v>2939</v>
    <v>2940</v>
    <v>2941</v>
    <v>2928</v>
    <v>2944</v>
    <v>2945</v>
    <v>2946</v>
    <v>2947</v>
    <v>2948</v>
    <v>2949</v>
    <v>Argentina</v>
    <v>Argentine National Anthem</v>
    <v>2950</v>
    <v>República Argentina</v>
    <v>2951</v>
    <v>2952</v>
    <v>2953</v>
    <v>2896</v>
    <v>2645</v>
    <v>2954</v>
    <v>461</v>
    <v>487</v>
    <v>708</v>
    <v>348</v>
    <v>2955</v>
    <v>2979</v>
    <v>2980</v>
    <v>2981</v>
    <v>2982</v>
    <v>2983</v>
    <v>Argentina</v>
    <v>2984</v>
    <v>mdp/vdpid/11</v>
  </rv>
  <rv s="0">
    <v>536870912</v>
    <v>Prague</v>
    <v>a3446df9-1e81-03b1-d08c-0593eead811a</v>
    <v>en-US</v>
    <v>Map</v>
  </rv>
  <rv s="1">
    <fb>496.21</fb>
    <v>8</v>
  </rv>
  <rv s="0">
    <v>536870912</v>
    <v>Austria-Hungary</v>
    <v>09b8630d-3ac1-93e8-a27e-b8a55de26a17</v>
    <v>en-US</v>
    <v>Map</v>
  </rv>
  <rv s="2">
    <v>97</v>
    <v>6</v>
    <v>446</v>
    <v>7</v>
    <v>0</v>
    <v>Image of Prague</v>
  </rv>
  <rv s="0">
    <v>805306368</v>
    <v>Bohuslav Svoboda (Mayor)</v>
    <v>d22dc65d-617c-120b-8290-4e1215938b85</v>
    <v>en-US</v>
    <v>Generic</v>
  </rv>
  <rv s="3">
    <v>180</v>
  </rv>
  <rv s="4">
    <v>https://www.bing.com/search?q=prague+czech+republic&amp;form=skydnc</v>
    <v>Learn more on Bing</v>
  </rv>
  <rv s="1">
    <fb>1357326</fb>
    <v>8</v>
  </rv>
  <rv s="26">
    <v>#VALUE!</v>
    <v>en-US</v>
    <v>a3446df9-1e81-03b1-d08c-0593eead811a</v>
    <v>536870912</v>
    <v>1</v>
    <v>448</v>
    <v>409</v>
    <v>Prague</v>
    <v>4</v>
    <v>5</v>
    <v>Map</v>
    <v>6</v>
    <v>167</v>
    <v>CZ-10</v>
    <v>2987</v>
    <v>2988</v>
    <v>Prague is the capital and largest city of the Czech Republic and the historical capital of Bohemia. Situated on the Vltava river, Prague is home to about 1.4 million people. Prague is a political, cultural, and economic hub of Central Europe, ...</v>
    <v>2989</v>
    <v>2991</v>
    <v>2992</v>
    <v>Prague</v>
    <v>2993</v>
    <v>1082</v>
    <v>Prague</v>
    <v>mdp/vdpid/9446826</v>
  </rv>
  <rv s="0">
    <v>536870912</v>
    <v>Slovakia</v>
    <v>edb4720a-f85f-2ef3-4669-e9de895513b0</v>
    <v>en-US</v>
    <v>Map</v>
  </rv>
  <rv s="1">
    <fb>0.39226289517470903</fb>
    <v>19</v>
  </rv>
  <rv s="1">
    <fb>49035</fb>
    <v>8</v>
  </rv>
  <rv s="1">
    <fb>16000</fb>
    <v>8</v>
  </rv>
  <rv s="1">
    <fb>421</fb>
    <v>39</v>
  </rv>
  <rv s="0">
    <v>536870912</v>
    <v>Bratislava</v>
    <v>58b70fde-dfcf-1beb-05ed-c5baeec68486</v>
    <v>en-US</v>
    <v>Map</v>
  </rv>
  <rv s="1">
    <fb>32423.614000000001</fb>
    <v>8</v>
  </rv>
  <rv s="1">
    <fb>115.338987748767</fb>
    <v>40</v>
  </rv>
  <rv s="1">
    <fb>2.6645613342544297E-2</fb>
    <v>19</v>
  </rv>
  <rv s="1">
    <fb>5137.0738351939799</fb>
    <v>8</v>
  </rv>
  <rv s="1">
    <fb>0.40353576355488302</fb>
    <v>19</v>
  </rv>
  <rv s="1">
    <fb>64.091495098880202</fb>
    <v>41</v>
  </rv>
  <rv s="1">
    <fb>1.32</fb>
    <v>42</v>
  </rv>
  <rv s="1">
    <fb>105422304975.576</fb>
    <v>17</v>
  </rv>
  <rv s="1">
    <fb>0.98732050000000005</fb>
    <v>19</v>
  </rv>
  <rv s="1">
    <fb>0.46634390000000003</fb>
    <v>19</v>
  </rv>
  <rv s="2">
    <v>98</v>
    <v>6</v>
    <v>450</v>
    <v>7</v>
    <v>0</v>
    <v>Image of Slovakia</v>
  </rv>
  <rv s="1">
    <fb>4.5999999999999996</fb>
    <v>41</v>
  </rv>
  <rv s="0">
    <v>805306368</v>
    <v>Peter Pellegrini (President)</v>
    <v>f629decd-819c-5335-3056-a303e967b3ef</v>
    <v>en-US</v>
    <v>Generic</v>
  </rv>
  <rv s="0">
    <v>805306368</v>
    <v>Robert Fico (Prime minister)</v>
    <v>8e083165-c1e0-fe2d-8b3f-c60ab5f7ccbc</v>
    <v>en-US</v>
    <v>Generic</v>
  </rv>
  <rv s="3">
    <v>181</v>
  </rv>
  <rv s="4">
    <v>https://www.bing.com/search?q=slovakia&amp;form=skydnc</v>
    <v>Learn more on Bing</v>
  </rv>
  <rv s="1">
    <fb>77.165853658536605</fb>
    <v>41</v>
  </rv>
  <rv s="1">
    <fb>4801320000</fb>
    <v>17</v>
  </rv>
  <rv s="1">
    <fb>3.11</fb>
    <v>42</v>
  </rv>
  <rv s="3">
    <v>182</v>
  </rv>
  <rv s="1">
    <fb>0.18443573520000001</fb>
    <v>19</v>
  </rv>
  <rv s="1">
    <fb>3.4156</fb>
    <v>18</v>
  </rv>
  <rv s="1">
    <fb>5431752</fb>
    <v>8</v>
  </rv>
  <rv s="1">
    <fb>0.19</fb>
    <v>19</v>
  </rv>
  <rv s="1">
    <fb>0.59541000366210906</fb>
    <v>19</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183</v>
  </rv>
  <rv s="1">
    <fb>0.18701973520562698</fb>
    <v>19</v>
  </rv>
  <rv s="1">
    <fb>0.49700000000000005</fb>
    <v>19</v>
  </rv>
  <rv s="1">
    <fb>5.56099987030029E-2</fb>
    <v>43</v>
  </rv>
  <rv s="1">
    <fb>2930419</fb>
    <v>8</v>
  </rv>
  <rv s="7">
    <v>#VALUE!</v>
    <v>en-US</v>
    <v>edb4720a-f85f-2ef3-4669-e9de895513b0</v>
    <v>536870912</v>
    <v>1</v>
    <v>453</v>
    <v>37</v>
    <v>Slovakia</v>
    <v>4</v>
    <v>5</v>
    <v>Map</v>
    <v>6</v>
    <v>454</v>
    <v>SK</v>
    <v>2996</v>
    <v>2997</v>
    <v>2998</v>
    <v>2209</v>
    <v>2999</v>
    <v>3000</v>
    <v>3001</v>
    <v>3002</v>
    <v>3003</v>
    <v>EUR</v>
    <v>Slovakia, officially the Slovak Republic, is a landlocked country in Central Europe. It is bordered by Poland to the north, Ukraine to the east, Hungary to the south, Austria to the west, and the Czech Republic to the northwest. Slovakia's ...</v>
    <v>3004</v>
    <v>1874</v>
    <v>3005</v>
    <v>3006</v>
    <v>3007</v>
    <v>3008</v>
    <v>3009</v>
    <v>3010</v>
    <v>3011</v>
    <v>3012</v>
    <v>3000</v>
    <v>3015</v>
    <v>3016</v>
    <v>3017</v>
    <v>3018</v>
    <v>1179</v>
    <v>3019</v>
    <v>Slovakia</v>
    <v>Nad Tatrou sa blýska</v>
    <v>3020</v>
    <v>Slovenská republika</v>
    <v>3021</v>
    <v>3022</v>
    <v>3023</v>
    <v>2896</v>
    <v>1680</v>
    <v>1397</v>
    <v>317</v>
    <v>2841</v>
    <v>675</v>
    <v>3024</v>
    <v>3025</v>
    <v>3034</v>
    <v>3035</v>
    <v>1331</v>
    <v>3036</v>
    <v>3037</v>
    <v>Slovakia</v>
    <v>3038</v>
    <v>mdp/vdpid/143</v>
  </rv>
  <rv s="0">
    <v>536870912</v>
    <v>Turkey</v>
    <v>fbfb6418-e8cf-0d18-8b81-28d0fcccda7c</v>
    <v>en-US</v>
    <v>Map</v>
  </rv>
  <rv s="1">
    <fb>0.49799254187076897</fb>
    <v>19</v>
  </rv>
  <rv s="1">
    <fb>783562</fb>
    <v>8</v>
  </rv>
  <rv s="1">
    <fb>512000</fb>
    <v>8</v>
  </rv>
  <rv s="1">
    <fb>16.027000000000001</fb>
    <v>18</v>
  </rv>
  <rv s="1">
    <fb>90</fb>
    <v>39</v>
  </rv>
  <rv s="0">
    <v>536870912</v>
    <v>Ankara</v>
    <v>85c37289-d0cf-bf9c-89e0-a375b7d3c4e7</v>
    <v>en-US</v>
    <v>Map</v>
  </rv>
  <rv s="1">
    <fb>372724.88099999999</fb>
    <v>8</v>
  </rv>
  <rv s="1">
    <fb>234.437126307922</fb>
    <v>40</v>
  </rv>
  <rv s="1">
    <fb>0.151768215720023</fb>
    <v>19</v>
  </rv>
  <rv s="1">
    <fb>2847.1263826231798</fb>
    <v>8</v>
  </rv>
  <rv s="1">
    <fb>2.069</fb>
    <v>18</v>
  </rv>
  <rv s="1">
    <fb>0.15354651443713199</fb>
    <v>19</v>
  </rv>
  <rv s="1">
    <fb>86.843187660707997</fb>
    <v>41</v>
  </rv>
  <rv s="1">
    <fb>754411708202.61597</fb>
    <v>17</v>
  </rv>
  <rv s="1">
    <fb>0.93154979999999998</fb>
    <v>19</v>
  </rv>
  <rv s="1">
    <fb>0.2386259</fb>
    <v>19</v>
  </rv>
  <rv s="2">
    <v>99</v>
    <v>6</v>
    <v>456</v>
    <v>7</v>
    <v>0</v>
    <v>Image of Turkey</v>
  </rv>
  <rv s="1">
    <fb>9.1</fb>
    <v>41</v>
  </rv>
  <rv s="0">
    <v>536870912</v>
    <v>Istanbul</v>
    <v>fda0585c-e197-df02-9869-433da5f8d140</v>
    <v>en-US</v>
    <v>Map</v>
  </rv>
  <rv s="0">
    <v>805306368</v>
    <v>Recep Tayyip Erdoğan (President)</v>
    <v>f21eb85d-34a7-cfce-c58a-9ef2caf64671</v>
    <v>en-US</v>
    <v>Generic</v>
  </rv>
  <rv s="0">
    <v>805306368</v>
    <v>Cevdet Yılmaz (Vice president)</v>
    <v>af91fb6e-6da4-9c52-90f9-0b6528a5ec03</v>
    <v>en-US</v>
    <v>Generic</v>
  </rv>
  <rv s="0">
    <v>805306368</v>
    <v>Kadir Özkaya (Chief justice)</v>
    <v>3a615135-4ad8-579e-206c-5d50e9aa366a</v>
    <v>en-US</v>
    <v>Generic</v>
  </rv>
  <rv s="3">
    <v>184</v>
  </rv>
  <rv s="4">
    <v>https://www.bing.com/search?q=turkey&amp;form=skydnc</v>
    <v>Learn more on Bing</v>
  </rv>
  <rv s="1">
    <fb>77.436999999999998</fb>
    <v>41</v>
  </rv>
  <rv s="1">
    <fb>184966060000</fb>
    <v>17</v>
  </rv>
  <rv s="1">
    <fb>3.45</fb>
    <v>42</v>
  </rv>
  <rv s="3">
    <v>185</v>
  </rv>
  <rv s="1">
    <fb>0.16948329139999999</fb>
    <v>19</v>
  </rv>
  <rv s="1">
    <fb>1.8492</fb>
    <v>18</v>
  </rv>
  <rv s="1">
    <fb>85341241</fb>
    <v>8</v>
  </rv>
  <rv s="1">
    <fb>0.32600000000000001</fb>
    <v>19</v>
  </rv>
  <rv s="1">
    <fb>0.48499999999999999</fb>
    <v>19</v>
  </rv>
  <rv s="1">
    <fb>0.14499999999999999</fb>
    <v>19</v>
  </rv>
  <rv s="1">
    <fb>0.52828998565673801</fb>
    <v>19</v>
  </rv>
  <rv s="0">
    <v>536870912</v>
    <v>Adana Province</v>
    <v>165c9b43-6a79-db5c-7219-325686bd9700</v>
    <v>en-US</v>
    <v>Map</v>
  </rv>
  <rv s="0">
    <v>536870912</v>
    <v>Adıyaman Province</v>
    <v>855cf865-a95f-d57f-d14b-d8a01c0592a7</v>
    <v>en-US</v>
    <v>Map</v>
  </rv>
  <rv s="0">
    <v>536870912</v>
    <v>Afyonkarahisar Province</v>
    <v>084e2a26-12e8-4bc8-e44d-28ccfff05b42</v>
    <v>en-US</v>
    <v>Map</v>
  </rv>
  <rv s="0">
    <v>536870912</v>
    <v>Ağrı Province</v>
    <v>e02279d8-277c-c50b-1605-c56baca6063e</v>
    <v>en-US</v>
    <v>Map</v>
  </rv>
  <rv s="0">
    <v>536870912</v>
    <v>Amasya Province</v>
    <v>cc18e26e-109d-8f56-7a4f-c6274bf9b99c</v>
    <v>en-US</v>
    <v>Map</v>
  </rv>
  <rv s="0">
    <v>536870912</v>
    <v>Ankara Province</v>
    <v>4d2d62dd-3675-5693-ab16-c5f56814d654</v>
    <v>en-US</v>
    <v>Map</v>
  </rv>
  <rv s="0">
    <v>536870912</v>
    <v>Antalya Province</v>
    <v>587c167a-e948-0ae5-d37e-df27f8a66abc</v>
    <v>en-US</v>
    <v>Map</v>
  </rv>
  <rv s="0">
    <v>536870912</v>
    <v>Artvin Province</v>
    <v>98c6f465-c9e5-4892-6b40-65f91af6b631</v>
    <v>en-US</v>
    <v>Map</v>
  </rv>
  <rv s="0">
    <v>536870912</v>
    <v>Aydın Province</v>
    <v>cb3d0981-c59d-2d85-84fb-1ae261b238a7</v>
    <v>en-US</v>
    <v>Map</v>
  </rv>
  <rv s="0">
    <v>536870912</v>
    <v>Balıkesir Province</v>
    <v>b014e5e1-62ae-7b55-9609-fda4fe491964</v>
    <v>en-US</v>
    <v>Map</v>
  </rv>
  <rv s="0">
    <v>536870912</v>
    <v>Bilecik Province</v>
    <v>8ca0b002-5a15-15dd-5188-80ec8f8ed2d9</v>
    <v>en-US</v>
    <v>Map</v>
  </rv>
  <rv s="0">
    <v>536870912</v>
    <v>Bingöl Province</v>
    <v>10ff836a-bdbd-44b4-94e9-c8722cbd9fb8</v>
    <v>en-US</v>
    <v>Map</v>
  </rv>
  <rv s="0">
    <v>536870912</v>
    <v>Bitlis Province</v>
    <v>4f16e498-6063-4b1b-9ac1-bec6026acd6b</v>
    <v>en-US</v>
    <v>Map</v>
  </rv>
  <rv s="0">
    <v>536870912</v>
    <v>Bolu Province</v>
    <v>453d788e-f478-b00f-232c-b3c00555b863</v>
    <v>en-US</v>
    <v>Map</v>
  </rv>
  <rv s="0">
    <v>536870912</v>
    <v>Burdur Province</v>
    <v>70d559c6-b4b3-6141-5bc5-9ad815fa655a</v>
    <v>en-US</v>
    <v>Map</v>
  </rv>
  <rv s="0">
    <v>536870912</v>
    <v>Bursa Province</v>
    <v>c12c1d6b-e8f6-4eaf-ee4e-7958bdacfc7b</v>
    <v>en-US</v>
    <v>Map</v>
  </rv>
  <rv s="0">
    <v>536870912</v>
    <v>Çankırı Province</v>
    <v>1aed89ee-690d-e55a-1cd5-1a2c6683ea86</v>
    <v>en-US</v>
    <v>Map</v>
  </rv>
  <rv s="0">
    <v>536870912</v>
    <v>Çanakkale Province</v>
    <v>4db76560-ab4d-49c4-c8e7-4f73a0fa7ab9</v>
    <v>en-US</v>
    <v>Map</v>
  </rv>
  <rv s="0">
    <v>536870912</v>
    <v>Çorum Province</v>
    <v>1506a536-030f-6d72-9ee3-f59b2131734c</v>
    <v>en-US</v>
    <v>Map</v>
  </rv>
  <rv s="0">
    <v>536870912</v>
    <v>Denizli Province</v>
    <v>88d2965a-eef8-deca-0ec8-76cc543ab50d</v>
    <v>en-US</v>
    <v>Map</v>
  </rv>
  <rv s="0">
    <v>536870912</v>
    <v>Diyarbakır Province</v>
    <v>12b8cb72-be29-1cf6-de4d-60e448df036a</v>
    <v>en-US</v>
    <v>Map</v>
  </rv>
  <rv s="0">
    <v>536870912</v>
    <v>Düzce Province</v>
    <v>5d3dd9f1-8f88-4a6c-b065-c24ce552ef31</v>
    <v>en-US</v>
    <v>Map</v>
  </rv>
  <rv s="0">
    <v>536870912</v>
    <v>Edirne Province</v>
    <v>f0daead3-5c80-efbc-369f-d1ab3a6dc8b4</v>
    <v>en-US</v>
    <v>Map</v>
  </rv>
  <rv s="0">
    <v>536870912</v>
    <v>Elazığ Province</v>
    <v>2122aea0-b392-1445-ddaf-b278ba9f87ee</v>
    <v>en-US</v>
    <v>Map</v>
  </rv>
  <rv s="0">
    <v>536870912</v>
    <v>Erzincan Province</v>
    <v>2f6662bd-7e90-3693-c3c7-8a7c8807fb00</v>
    <v>en-US</v>
    <v>Map</v>
  </rv>
  <rv s="0">
    <v>536870912</v>
    <v>Erzurum Province</v>
    <v>01866a32-d9b1-dd86-228d-e56f4adf0cf1</v>
    <v>en-US</v>
    <v>Map</v>
  </rv>
  <rv s="0">
    <v>536870912</v>
    <v>Eskişehir Province</v>
    <v>47db0cad-86de-b13a-209a-10b6124cd564</v>
    <v>en-US</v>
    <v>Map</v>
  </rv>
  <rv s="0">
    <v>536870912</v>
    <v>Gaziantep Province</v>
    <v>f1482689-3585-0141-6070-b066119a08fb</v>
    <v>en-US</v>
    <v>Map</v>
  </rv>
  <rv s="0">
    <v>536870912</v>
    <v>Giresun Province</v>
    <v>2889cd47-4b36-37bb-04d4-df5b5184e171</v>
    <v>en-US</v>
    <v>Map</v>
  </rv>
  <rv s="0">
    <v>536870912</v>
    <v>Gümüşhane Province</v>
    <v>aed198db-94b5-ed02-7c09-9d96aadb3d6c</v>
    <v>en-US</v>
    <v>Map</v>
  </rv>
  <rv s="0">
    <v>536870912</v>
    <v>Hakkâri Province</v>
    <v>0cb801b8-2c6e-eb40-c17c-a1b963e86cde</v>
    <v>en-US</v>
    <v>Map</v>
  </rv>
  <rv s="0">
    <v>536870912</v>
    <v>Hatay Province</v>
    <v>fddcca0f-224b-914e-87d1-2883651173ce</v>
    <v>en-US</v>
    <v>Map</v>
  </rv>
  <rv s="0">
    <v>536870912</v>
    <v>Isparta Province</v>
    <v>71fa1532-0582-66aa-39bf-e3a06833cb3b</v>
    <v>en-US</v>
    <v>Map</v>
  </rv>
  <rv s="0">
    <v>536870912</v>
    <v>Mersin Province</v>
    <v>c341746a-b3c2-a92f-31b4-b17728f62a02</v>
    <v>en-US</v>
    <v>Map</v>
  </rv>
  <rv s="0">
    <v>536870912</v>
    <v>Istanbul Province</v>
    <v>aa3276af-e94f-620a-5fb3-4ee74dc3cf72</v>
    <v>en-US</v>
    <v>Map</v>
  </rv>
  <rv s="0">
    <v>536870912</v>
    <v>İzmir Province</v>
    <v>e1b979ad-2537-f1c3-fa25-d697064ad3b5</v>
    <v>en-US</v>
    <v>Map</v>
  </rv>
  <rv s="0">
    <v>536870912</v>
    <v>Kars Province</v>
    <v>836bc829-af6c-b635-a753-3f80169778f6</v>
    <v>en-US</v>
    <v>Map</v>
  </rv>
  <rv s="0">
    <v>536870912</v>
    <v>Kastamonu Province</v>
    <v>df94dcd0-c282-be5c-fabb-f025a16a5a42</v>
    <v>en-US</v>
    <v>Map</v>
  </rv>
  <rv s="0">
    <v>536870912</v>
    <v>Kayseri Province</v>
    <v>9fc99e5c-e6c0-9dbd-e980-989451b70f34</v>
    <v>en-US</v>
    <v>Map</v>
  </rv>
  <rv s="0">
    <v>536870912</v>
    <v>Kırklareli Province</v>
    <v>4da2d7c3-fbfe-176e-501d-855e2a122280</v>
    <v>en-US</v>
    <v>Map</v>
  </rv>
  <rv s="0">
    <v>536870912</v>
    <v>Kırşehir Province</v>
    <v>214c2df7-9c5e-adb8-024d-1cad8e4ccd37</v>
    <v>en-US</v>
    <v>Map</v>
  </rv>
  <rv s="0">
    <v>536870912</v>
    <v>Kocaeli Province</v>
    <v>d3bd1534-20dc-a0df-a2c9-36b0eb0912c1</v>
    <v>en-US</v>
    <v>Map</v>
  </rv>
  <rv s="0">
    <v>536870912</v>
    <v>Konya Province</v>
    <v>a01c56c9-d3fb-ac13-8a71-93db8c55474b</v>
    <v>en-US</v>
    <v>Map</v>
  </rv>
  <rv s="0">
    <v>536870912</v>
    <v>Kütahya Province</v>
    <v>8541ec9d-1054-7976-26d5-9eefdb011fee</v>
    <v>en-US</v>
    <v>Map</v>
  </rv>
  <rv s="0">
    <v>536870912</v>
    <v>Malatya Province</v>
    <v>5c83e762-87ba-c1e8-b224-83a3e16fdc65</v>
    <v>en-US</v>
    <v>Map</v>
  </rv>
  <rv s="0">
    <v>536870912</v>
    <v>Manisa Province</v>
    <v>10f37388-45f4-be0c-4ea8-4b86ce0be5a6</v>
    <v>en-US</v>
    <v>Map</v>
  </rv>
  <rv s="0">
    <v>536870912</v>
    <v>Kahramanmaraş Province</v>
    <v>f63d4a34-ee39-abc7-9291-01617eb0f4cc</v>
    <v>en-US</v>
    <v>Map</v>
  </rv>
  <rv s="0">
    <v>536870912</v>
    <v>Mardin Province</v>
    <v>fa6857dd-5d0d-43a8-667d-fb037dec8eca</v>
    <v>en-US</v>
    <v>Map</v>
  </rv>
  <rv s="0">
    <v>536870912</v>
    <v>Muğla Province</v>
    <v>ba66fd86-d4a9-22ac-57c0-778bd41da0ca</v>
    <v>en-US</v>
    <v>Map</v>
  </rv>
  <rv s="0">
    <v>536870912</v>
    <v>Muş Province</v>
    <v>4df7fbea-9f00-38fd-c8ca-6181747e0a17</v>
    <v>en-US</v>
    <v>Map</v>
  </rv>
  <rv s="0">
    <v>536870912</v>
    <v>Nevşehir Province</v>
    <v>65973d79-2f88-10d4-6e47-2a6fdc3f4eea</v>
    <v>en-US</v>
    <v>Map</v>
  </rv>
  <rv s="0">
    <v>536870912</v>
    <v>Niğde Province</v>
    <v>02801ccd-3926-32c4-1773-63f7a5c1044a</v>
    <v>en-US</v>
    <v>Map</v>
  </rv>
  <rv s="0">
    <v>536870912</v>
    <v>Ordu Province</v>
    <v>4d4a68fb-2fa4-4a92-7d4e-3837d34e9342</v>
    <v>en-US</v>
    <v>Map</v>
  </rv>
  <rv s="0">
    <v>536870912</v>
    <v>Rize Province</v>
    <v>72c2af94-7c88-720b-cb84-e74549314d0e</v>
    <v>en-US</v>
    <v>Map</v>
  </rv>
  <rv s="0">
    <v>536870912</v>
    <v>Sakarya Province</v>
    <v>7ebe894a-2b67-c535-acbb-2bdaa1184732</v>
    <v>en-US</v>
    <v>Map</v>
  </rv>
  <rv s="0">
    <v>536870912</v>
    <v>Samsun Province</v>
    <v>8c4e990a-62e7-1da2-28fa-bd0bf3fc397c</v>
    <v>en-US</v>
    <v>Map</v>
  </rv>
  <rv s="0">
    <v>536870912</v>
    <v>Siirt Province</v>
    <v>5490ed79-ab84-df78-c6f2-810d9bb2614b</v>
    <v>en-US</v>
    <v>Map</v>
  </rv>
  <rv s="0">
    <v>536870912</v>
    <v>Sinop Province</v>
    <v>b9e74088-f822-fd19-c8b8-e311ddda29a5</v>
    <v>en-US</v>
    <v>Map</v>
  </rv>
  <rv s="0">
    <v>536870912</v>
    <v>Sivas Province</v>
    <v>0aeac0b1-43d7-c278-de16-15b0fb9fd27a</v>
    <v>en-US</v>
    <v>Map</v>
  </rv>
  <rv s="0">
    <v>536870912</v>
    <v>Tekirdağ Province</v>
    <v>bd5368fb-d1b8-4a96-b634-985d3089515d</v>
    <v>en-US</v>
    <v>Map</v>
  </rv>
  <rv s="0">
    <v>536870912</v>
    <v>Tokat Province</v>
    <v>8d336435-bb4e-154b-2b3d-bc7c79381e19</v>
    <v>en-US</v>
    <v>Map</v>
  </rv>
  <rv s="0">
    <v>536870912</v>
    <v>Trabzon Province</v>
    <v>26d72493-e6e0-8391-d7eb-8b7032399dce</v>
    <v>en-US</v>
    <v>Map</v>
  </rv>
  <rv s="0">
    <v>536870912</v>
    <v>Tunceli Province</v>
    <v>116c4083-d7f5-5473-a24e-38ca9bbe6b02</v>
    <v>en-US</v>
    <v>Map</v>
  </rv>
  <rv s="0">
    <v>536870912</v>
    <v>Şanlıurfa Province</v>
    <v>8357d93c-256b-62a5-5bde-56fa0bc45f01</v>
    <v>en-US</v>
    <v>Map</v>
  </rv>
  <rv s="0">
    <v>536870912</v>
    <v>Uşak Province</v>
    <v>122cbd30-fc4b-cc92-4b05-8b9f07bd9a42</v>
    <v>en-US</v>
    <v>Map</v>
  </rv>
  <rv s="0">
    <v>536870912</v>
    <v>Van Province</v>
    <v>6189c8a3-7d17-4329-919d-ca71576f7001</v>
    <v>en-US</v>
    <v>Map</v>
  </rv>
  <rv s="0">
    <v>536870912</v>
    <v>Yozgat Province</v>
    <v>0c70abd6-4b3a-bafe-cca0-47c3c0b5207c</v>
    <v>en-US</v>
    <v>Map</v>
  </rv>
  <rv s="0">
    <v>536870912</v>
    <v>Zonguldak Province</v>
    <v>f15aed49-7932-e29c-3822-1cdd73b6309e</v>
    <v>en-US</v>
    <v>Map</v>
  </rv>
  <rv s="0">
    <v>536870912</v>
    <v>Aksaray Province</v>
    <v>81d2c9ee-3ec0-b0b7-611e-b5c639377d08</v>
    <v>en-US</v>
    <v>Map</v>
  </rv>
  <rv s="0">
    <v>536870912</v>
    <v>Bayburt Province</v>
    <v>78b7d282-727e-0596-becd-d71f66061a80</v>
    <v>en-US</v>
    <v>Map</v>
  </rv>
  <rv s="0">
    <v>536870912</v>
    <v>Karaman Province</v>
    <v>7d9ce050-bb20-8bbc-a1b4-1437c3553ebc</v>
    <v>en-US</v>
    <v>Map</v>
  </rv>
  <rv s="0">
    <v>536870912</v>
    <v>Kırıkkale Province</v>
    <v>a4c29c36-f0cd-5129-a03c-8859a5b31089</v>
    <v>en-US</v>
    <v>Map</v>
  </rv>
  <rv s="0">
    <v>536870912</v>
    <v>Batman Province</v>
    <v>62e638c6-38ee-e10e-0af1-d6579e7f08f6</v>
    <v>en-US</v>
    <v>Map</v>
  </rv>
  <rv s="0">
    <v>536870912</v>
    <v>Şırnak Province</v>
    <v>466847c5-4091-0032-b3df-5b8881f5e9bc</v>
    <v>en-US</v>
    <v>Map</v>
  </rv>
  <rv s="0">
    <v>536870912</v>
    <v>Bartın Province</v>
    <v>08decd5f-ab51-292a-67f0-6791470aaeca</v>
    <v>en-US</v>
    <v>Map</v>
  </rv>
  <rv s="0">
    <v>536870912</v>
    <v>Ardahan Province</v>
    <v>48344073-852b-85c4-c321-585f945a4ed9</v>
    <v>en-US</v>
    <v>Map</v>
  </rv>
  <rv s="0">
    <v>536870912</v>
    <v>Iğdır Province</v>
    <v>11552ebc-e31a-3666-c967-038d03236735</v>
    <v>en-US</v>
    <v>Map</v>
  </rv>
  <rv s="0">
    <v>536870912</v>
    <v>Yalova Province</v>
    <v>57683b96-e4ee-b046-126a-cfacf116feea</v>
    <v>en-US</v>
    <v>Map</v>
  </rv>
  <rv s="0">
    <v>536870912</v>
    <v>Karabük Province</v>
    <v>37c4dec2-a540-0bac-3662-01c63c2d9be4</v>
    <v>en-US</v>
    <v>Map</v>
  </rv>
  <rv s="0">
    <v>536870912</v>
    <v>Kilis Province</v>
    <v>61d19aee-be4d-6c41-e22d-e3aa79c91850</v>
    <v>en-US</v>
    <v>Map</v>
  </rv>
  <rv s="0">
    <v>536870912</v>
    <v>Osmaniye Province</v>
    <v>51d1cb5f-1f55-7a57-518f-80a94efdb5f7</v>
    <v>en-US</v>
    <v>Map</v>
  </rv>
  <rv s="3">
    <v>186</v>
  </rv>
  <rv s="1">
    <fb>0.178640331232954</fb>
    <v>19</v>
  </rv>
  <rv s="3">
    <v>187</v>
  </rv>
  <rv s="1">
    <fb>0.42299999999999999</fb>
    <v>19</v>
  </rv>
  <rv s="1">
    <fb>0.134899997711182</fb>
    <v>43</v>
  </rv>
  <rv s="1">
    <fb>63097818</fb>
    <v>8</v>
  </rv>
  <rv s="7">
    <v>#VALUE!</v>
    <v>en-US</v>
    <v>fbfb6418-e8cf-0d18-8b81-28d0fcccda7c</v>
    <v>536870912</v>
    <v>1</v>
    <v>459</v>
    <v>37</v>
    <v>Turkey</v>
    <v>4</v>
    <v>5</v>
    <v>Map</v>
    <v>6</v>
    <v>460</v>
    <v>TR</v>
    <v>3041</v>
    <v>3042</v>
    <v>3043</v>
    <v>3044</v>
    <v>3045</v>
    <v>3046</v>
    <v>3047</v>
    <v>3048</v>
    <v>3049</v>
    <v>TRL</v>
    <v>Turkey, officially the Republic of Türkiye, is a country mainly located in Anatolia in West Asia, with a relatively small part called East Thrace in Southeast Europe. It borders the Black Sea to the north; Georgia, Armenia, Azerbaijan, and Iran ...</v>
    <v>3050</v>
    <v>3051</v>
    <v>3052</v>
    <v>3053</v>
    <v>1807</v>
    <v>3054</v>
    <v>3055</v>
    <v>3056</v>
    <v>3057</v>
    <v>3058</v>
    <v>3059</v>
    <v>3063</v>
    <v>3064</v>
    <v>3065</v>
    <v>3066</v>
    <v>2072</v>
    <v>3067</v>
    <v>Turkey</v>
    <v>İstiklal Marşı</v>
    <v>3068</v>
    <v>Türkiye Cumhuriyeti</v>
    <v>3069</v>
    <v>3070</v>
    <v>3071</v>
    <v>244</v>
    <v>3072</v>
    <v>3073</v>
    <v>351</v>
    <v>546</v>
    <v>654</v>
    <v>3074</v>
    <v>3075</v>
    <v>3157</v>
    <v>3158</v>
    <v>3159</v>
    <v>3160</v>
    <v>3161</v>
    <v>Turkey</v>
    <v>3162</v>
    <v>mdp/vdpid/235</v>
  </rv>
  <rv s="0">
    <v>536870912</v>
    <v>Czech Republic</v>
    <v>fad646aa-8363-3101-5672-40c77f3e5f2e</v>
    <v>en-US</v>
    <v>Map</v>
  </rv>
  <rv s="1">
    <fb>0.45182595182595198</fb>
    <v>19</v>
  </rv>
  <rv s="1">
    <fb>78866</fb>
    <v>8</v>
  </rv>
  <rv s="1">
    <fb>10.7</fb>
    <v>18</v>
  </rv>
  <rv s="1">
    <fb>420</fb>
    <v>39</v>
  </rv>
  <rv s="1">
    <fb>102217.625</fb>
    <v>8</v>
  </rv>
  <rv s="1">
    <fb>116.47554201756</fb>
    <v>40</v>
  </rv>
  <rv s="1">
    <fb>2.8478759591804698E-2</fb>
    <v>19</v>
  </rv>
  <rv s="1">
    <fb>6258.8910370365902</fb>
    <v>8</v>
  </rv>
  <rv s="1">
    <fb>1.69</fb>
    <v>18</v>
  </rv>
  <rv s="1">
    <fb>0.34563584563584598</fb>
    <v>19</v>
  </rv>
  <rv s="1">
    <fb>77.734587058078404</fb>
    <v>41</v>
  </rv>
  <rv s="1">
    <fb>1.17</fb>
    <v>42</v>
  </rv>
  <rv s="1">
    <fb>246489245494.88199</fb>
    <v>17</v>
  </rv>
  <rv s="1">
    <fb>1.0067098999999999</fb>
    <v>19</v>
  </rv>
  <rv s="1">
    <fb>0.64078689999999994</fb>
    <v>19</v>
  </rv>
  <rv s="2">
    <v>100</v>
    <v>6</v>
    <v>462</v>
    <v>7</v>
    <v>0</v>
    <v>Image of Czech Republic</v>
  </rv>
  <rv s="0">
    <v>805306368</v>
    <v>Petr Pavel (President)</v>
    <v>d133c401-15a5-39bf-10bf-1972348f28d4</v>
    <v>en-US</v>
    <v>Generic</v>
  </rv>
  <rv s="0">
    <v>805306368</v>
    <v>Petr Fiala (Prime minister)</v>
    <v>94c5e109-309a-4d02-82a1-0a375d38ebb6</v>
    <v>en-US</v>
    <v>Generic</v>
  </rv>
  <rv s="3">
    <v>188</v>
  </rv>
  <rv s="4">
    <v>https://www.bing.com/search?q=czech+republic&amp;form=skydnc</v>
    <v>Learn more on Bing</v>
  </rv>
  <rv s="1">
    <fb>78.978048780487796</fb>
    <v>41</v>
  </rv>
  <rv s="1">
    <fb>40912350000</fb>
    <v>17</v>
  </rv>
  <rv s="1">
    <fb>3</fb>
    <v>42</v>
  </rv>
  <rv s="3">
    <v>189</v>
  </rv>
  <rv s="1">
    <fb>0.14828394619999999</fb>
    <v>19</v>
  </rv>
  <rv s="1">
    <fb>4.1208</fb>
    <v>18</v>
  </rv>
  <rv s="1">
    <fb>10526073</fb>
    <v>8</v>
  </rv>
  <rv s="1">
    <fb>0.22</fb>
    <v>19</v>
  </rv>
  <rv s="1">
    <fb>0.215</fb>
    <v>19</v>
  </rv>
  <rv s="1">
    <fb>0.35399999999999998</fb>
    <v>19</v>
  </rv>
  <rv s="1">
    <fb>0.17699999999999999</fb>
    <v>19</v>
  </rv>
  <rv s="1">
    <fb>0.605589981079102</fb>
    <v>19</v>
  </rv>
  <rv s="0">
    <v>536870912</v>
    <v>Central Bohemian Region</v>
    <v>ba7fad13-77f9-9e97-9d42-e1e8295655c9</v>
    <v>en-US</v>
    <v>Map</v>
  </rv>
  <rv s="0">
    <v>536870912</v>
    <v>South Bohemian Region</v>
    <v>e1b81e0a-e323-e2f6-46dc-bf29cce19523</v>
    <v>en-US</v>
    <v>Map</v>
  </rv>
  <rv s="0">
    <v>536870912</v>
    <v>Karlovy Vary Region</v>
    <v>43142966-7706-2e9b-d11a-5fb45ba79b0e</v>
    <v>en-US</v>
    <v>Map</v>
  </rv>
  <rv s="0">
    <v>536870912</v>
    <v>Ústí nad Labem Region</v>
    <v>84ac999f-4fcf-08c7-ad6a-b627b78df13a</v>
    <v>en-US</v>
    <v>Map</v>
  </rv>
  <rv s="0">
    <v>536870912</v>
    <v>South Moravian Region</v>
    <v>8ce5cb2e-b8b6-fb00-088c-dcd2e5614ed6</v>
    <v>en-US</v>
    <v>Map</v>
  </rv>
  <rv s="0">
    <v>536870912</v>
    <v>Moravian-Silesian Region</v>
    <v>c6f2f307-fba5-fed4-dfa8-03cfa173dfc7</v>
    <v>en-US</v>
    <v>Map</v>
  </rv>
  <rv s="3">
    <v>190</v>
  </rv>
  <rv s="1">
    <fb>0.14886478136042899</fb>
    <v>19</v>
  </rv>
  <rv s="1">
    <fb>0.46100000000000002</fb>
    <v>19</v>
  </rv>
  <rv s="1">
    <fb>1.9329999685287501E-2</fb>
    <v>43</v>
  </rv>
  <rv s="1">
    <fb>7887156</fb>
    <v>8</v>
  </rv>
  <rv s="7">
    <v>#VALUE!</v>
    <v>en-US</v>
    <v>fad646aa-8363-3101-5672-40c77f3e5f2e</v>
    <v>536870912</v>
    <v>1</v>
    <v>465</v>
    <v>37</v>
    <v>Czech Republic</v>
    <v>4</v>
    <v>5</v>
    <v>Map</v>
    <v>6</v>
    <v>466</v>
    <v>CZ</v>
    <v>3165</v>
    <v>3166</v>
    <v>2434</v>
    <v>3167</v>
    <v>3168</v>
    <v>2986</v>
    <v>3169</v>
    <v>3170</v>
    <v>3171</v>
    <v>CZK</v>
    <v>The Czech Republic, also known as Czechia, and historically known as Bohemia, is a landlocked country in Central Europe. The country is bordered by Austria to the south, Germany to the west, Poland to the northeast, and Slovakia to the ...</v>
    <v>3172</v>
    <v>3173</v>
    <v>3174</v>
    <v>3175</v>
    <v>3176</v>
    <v>3177</v>
    <v>3178</v>
    <v>3179</v>
    <v>3180</v>
    <v>2882</v>
    <v>2986</v>
    <v>3183</v>
    <v>3184</v>
    <v>3185</v>
    <v>3186</v>
    <v>2398</v>
    <v>3187</v>
    <v>Czech Republic</v>
    <v>Kde domov můj</v>
    <v>3188</v>
    <v>Česká republika</v>
    <v>3189</v>
    <v>3190</v>
    <v>3191</v>
    <v>3192</v>
    <v>3193</v>
    <v>3194</v>
    <v>175</v>
    <v>308</v>
    <v>277</v>
    <v>3195</v>
    <v>3196</v>
    <v>3203</v>
    <v>3204</v>
    <v>2848</v>
    <v>3205</v>
    <v>3206</v>
    <v>Czech Republic</v>
    <v>3207</v>
    <v>mdp/vdpid/75</v>
  </rv>
  <rv s="0">
    <v>536870912</v>
    <v>Baltimore</v>
    <v>ee720710-86f4-43c1-914a-9e12af6cb368</v>
    <v>en-US</v>
    <v>Map</v>
  </rv>
  <rv s="1">
    <fb>238.411179</fb>
    <v>8</v>
  </rv>
  <rv s="2">
    <v>101</v>
    <v>6</v>
    <v>467</v>
    <v>7</v>
    <v>0</v>
    <v>Image of Baltimore</v>
  </rv>
  <rv s="1">
    <fb>39.286388888889</fb>
    <v>9</v>
  </rv>
  <rv s="0">
    <v>805306368</v>
    <v>Brandon Scott (Mayor)</v>
    <v>ed5d77db-9ed6-1eba-7937-86e869ad16fb</v>
    <v>en-US</v>
    <v>Generic</v>
  </rv>
  <rv s="3">
    <v>191</v>
  </rv>
  <rv s="4">
    <v>https://www.bing.com/search?q=baltimore+maryland&amp;form=skydnc</v>
    <v>Learn more on Bing</v>
  </rv>
  <rv s="1">
    <fb>-76.614999999999995</fb>
    <v>9</v>
  </rv>
  <rv s="1">
    <fb>576498</fb>
    <v>8</v>
  </rv>
  <rv s="5">
    <v>#VALUE!</v>
    <v>en-US</v>
    <v>ee720710-86f4-43c1-914a-9e12af6cb368</v>
    <v>536870912</v>
    <v>1</v>
    <v>468</v>
    <v>2</v>
    <v>Baltimore</v>
    <v>4</v>
    <v>5</v>
    <v>Map</v>
    <v>6</v>
    <v>177</v>
    <v>107</v>
    <v>3210</v>
    <v>191</v>
    <v>Baltimore is the most populous city in the U.S. state of Maryland. With a total population of 585,708 at the 2020 census, it is the 30th-most populous US city. Baltimore was designated as an independent city by the Constitution of Maryland in ...</v>
    <v>3211</v>
    <v>3212</v>
    <v>3214</v>
    <v>3215</v>
    <v>3216</v>
    <v>Baltimore</v>
    <v>3217</v>
    <v>11</v>
    <v>Baltimore</v>
    <v>mdp/vdpid/5490064267963006978</v>
  </rv>
</rvData>
</file>

<file path=xl/richData/rdrichvaluestructure.xml><?xml version="1.0" encoding="utf-8"?>
<rvStructures xmlns="http://schemas.microsoft.com/office/spreadsheetml/2017/richdata" count="27">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22">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8">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2 (County/district/other)</v>
      <v t="s">Admin Division 1 (State/province/other)</v>
      <v t="s">Country/region</v>
      <v t="s">_SubLabel</v>
      <v t="s">Area</v>
      <v t="s">Latitude</v>
      <v t="s">Longitude</v>
      <v t="s">_Flags</v>
      <v t="s">VDPID/VSID</v>
      <v t="s">UniqueName</v>
      <v t="s">_DisplayString</v>
      <v t="s">LearnMoreOnLink</v>
      <v t="s">Description</v>
    </a>
    <a count="22">
      <v t="s">%EntityServiceId</v>
      <v t="s">%IsRefreshable</v>
      <v t="s">%EntityCulture</v>
      <v t="s">%EntityId</v>
      <v t="s">_Icon</v>
      <v t="s">_Provider</v>
      <v t="s">_Attribution</v>
      <v t="s">_Display</v>
      <v t="s">Name</v>
      <v t="s">_Format</v>
      <v t="s">Admin Division 1 (State/province/other)</v>
      <v t="s">Country/region</v>
      <v t="s">_SubLabel</v>
      <v t="s">Population</v>
      <v t="s">Area</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469">
    <spb s="0">
      <v xml:space="preserve">Wikipedia	</v>
      <v xml:space="preserve">CC BY-SA 3.0	</v>
      <v xml:space="preserve">https://en.wikipedia.org/wiki/New_York_City	</v>
      <v xml:space="preserve">https://creativecommons.org/licenses/by-sa/3.0	</v>
    </spb>
    <spb s="1">
      <v>0</v>
      <v>0</v>
      <v>0</v>
      <v>0</v>
      <v>0</v>
      <v>0</v>
      <v>0</v>
      <v>0</v>
      <v>0</v>
    </spb>
    <spb s="2">
      <v>0</v>
      <v>Name</v>
      <v>LearnMoreOnLink</v>
    </spb>
    <spb s="3">
      <v>0</v>
      <v>0</v>
      <v>0</v>
    </spb>
    <spb s="4">
      <v>3</v>
      <v>3</v>
      <v>3</v>
    </spb>
    <spb s="5">
      <v>1</v>
      <v>2</v>
    </spb>
    <spb s="6">
      <v>https://www.bing.com</v>
      <v>https://www.bing.com/th?id=Ga%5Cbing_yt.png&amp;w=100&amp;h=40&amp;c=0&amp;pid=0.1</v>
      <v>Powered by Bing</v>
    </spb>
    <spb s="7">
      <v>square km</v>
      <v>2020</v>
    </spb>
    <spb s="8">
      <v>3</v>
    </spb>
    <spb s="8">
      <v>4</v>
    </spb>
    <spb s="0">
      <v xml:space="preserve">Wikipedia	</v>
      <v xml:space="preserve">CC BY-SA 3.0	</v>
      <v xml:space="preserve">https://en.wikipedia.org/wiki/New_York_(state)	</v>
      <v xml:space="preserve">https://creativecommons.org/licenses/by-sa/3.0	</v>
    </spb>
    <spb s="0">
      <v xml:space="preserve">US Census	</v>
      <v xml:space="preserve">	</v>
      <v xml:space="preserve">https://www.census.gov/popest/data/state/asrh/2014/files/SC-EST2014-AGESEX-CIV.csv	</v>
      <v xml:space="preserve">	</v>
    </spb>
    <spb s="0">
      <v xml:space="preserve">Wikipedia	</v>
      <v xml:space="preserve">CC-BY-SA	</v>
      <v xml:space="preserve">http://en.wikipedia.org/wiki/New_York_(state)	</v>
      <v xml:space="preserve">http://creativecommons.org/licenses/by-sa/3.0/	</v>
    </spb>
    <spb s="0">
      <v xml:space="preserve">Wikipedia	Wikipedia	US Census	US Census	</v>
      <v xml:space="preserve">CC-BY-SA	CC-BY-SA			</v>
      <v xml:space="preserve">http://en.wikipedia.org/wiki/New_York_(state)	http://en.wikipedia.org/wiki/New_York	https://www.census.gov/popest/data/state/asrh/2014/files/SC-EST2014-AGESEX-CIV.csv	http://www.census.gov/quickfacts/table/WTN220212/36	</v>
      <v xml:space="preserve">http://creativecommons.org/licenses/by-sa/3.0/	http://creativecommons.org/licenses/by-sa/3.0/			</v>
    </spb>
    <spb s="9">
      <v>10</v>
      <v>10</v>
      <v>11</v>
      <v>10</v>
      <v>10</v>
      <v>10</v>
      <v>12</v>
      <v>10</v>
      <v>11</v>
      <v>10</v>
      <v>11</v>
      <v>13</v>
      <v>10</v>
      <v>11</v>
      <v>11</v>
      <v>11</v>
      <v>11</v>
      <v>13</v>
      <v>11</v>
      <v>11</v>
      <v>11</v>
      <v>11</v>
      <v>11</v>
      <v>11</v>
      <v>11</v>
      <v>11</v>
      <v>11</v>
      <v>13</v>
      <v>11</v>
      <v>11</v>
      <v>11</v>
      <v>11</v>
    </spb>
    <spb s="2">
      <v>1</v>
      <v>Name</v>
      <v>LearnMoreOnLink</v>
    </spb>
    <spb s="10">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5</v>
    </spb>
    <spb s="8">
      <v>6</v>
    </spb>
    <spb s="8">
      <v>7</v>
    </spb>
    <spb s="8">
      <v>8</v>
    </spb>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11">
      <v>21</v>
      <v>22</v>
      <v>23</v>
      <v>23</v>
      <v>24</v>
      <v>23</v>
      <v>23</v>
      <v>23</v>
      <v>25</v>
      <v>23</v>
      <v>23</v>
      <v>25</v>
      <v>23</v>
      <v>23</v>
      <v>26</v>
      <v>22</v>
      <v>11</v>
      <v>27</v>
      <v>23</v>
      <v>11</v>
      <v>28</v>
      <v>29</v>
      <v>30</v>
      <v>11</v>
      <v>23</v>
      <v>11</v>
      <v>31</v>
      <v>32</v>
      <v>33</v>
      <v>34</v>
      <v>11</v>
      <v>22</v>
      <v>11</v>
      <v>11</v>
      <v>11</v>
      <v>11</v>
      <v>11</v>
      <v>11</v>
      <v>11</v>
      <v>11</v>
      <v>11</v>
      <v>11</v>
      <v>35</v>
    </spb>
    <spb s="2">
      <v>2</v>
      <v>Name</v>
      <v>LearnMoreOnLink</v>
    </spb>
    <spb s="12">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9</v>
    </spb>
    <spb s="8">
      <v>10</v>
    </spb>
    <spb s="8">
      <v>11</v>
    </spb>
    <spb s="8">
      <v>12</v>
    </spb>
    <spb s="8">
      <v>13</v>
    </spb>
    <spb s="0">
      <v xml:space="preserve">Wikipedia	</v>
      <v xml:space="preserve">CC BY-SA 3.0	</v>
      <v xml:space="preserve">https://en.wikipedia.org/wiki/Albany,_New_York	</v>
      <v xml:space="preserve">https://creativecommons.org/licenses/by-sa/3.0	</v>
    </spb>
    <spb s="13">
      <v>44</v>
      <v>44</v>
      <v>44</v>
      <v>44</v>
      <v>44</v>
      <v>44</v>
      <v>44</v>
      <v>44</v>
      <v>44</v>
      <v>44</v>
    </spb>
    <spb s="2">
      <v>3</v>
      <v>Name</v>
      <v>LearnMoreOnLink</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14">
      <v>47</v>
      <v>47</v>
      <v>11</v>
      <v>47</v>
      <v>47</v>
      <v>47</v>
      <v>48</v>
      <v>11</v>
      <v>47</v>
      <v>11</v>
      <v>49</v>
      <v>11</v>
      <v>11</v>
      <v>11</v>
      <v>11</v>
      <v>49</v>
      <v>11</v>
      <v>11</v>
      <v>11</v>
      <v>11</v>
      <v>11</v>
      <v>11</v>
      <v>11</v>
      <v>11</v>
      <v>11</v>
      <v>49</v>
      <v>11</v>
      <v>11</v>
      <v>11</v>
      <v>11</v>
    </spb>
    <spb s="2">
      <v>4</v>
      <v>Name</v>
      <v>LearnMoreOnLink</v>
    </spb>
    <spb s="0">
      <v xml:space="preserve">Wikipedia	</v>
      <v xml:space="preserve">CC BY-SA 3.0	</v>
      <v xml:space="preserve">https://en.wikipedia.org/wiki/Arizona	</v>
      <v xml:space="preserve">https://creativecommons.org/licenses/by-sa/3.0	</v>
    </spb>
    <spb s="0">
      <v xml:space="preserve">Wikipedia	</v>
      <v xml:space="preserve">CC-BY-SA	</v>
      <v xml:space="preserve">http://en.wikipedia.org/wiki/Arizona	</v>
      <v xml:space="preserve">http://creativecommons.org/licenses/by-sa/3.0/	</v>
    </spb>
    <spb s="0">
      <v xml:space="preserve">Wikipedia	US Census	US Census	</v>
      <v xml:space="preserve">CC-BY-SA			</v>
      <v xml:space="preserve">http://en.wikipedia.org/wiki/Arizona	https://www.census.gov/popest/data/state/asrh/2014/files/SC-EST2014-AGESEX-CIV.csv	http://www.census.gov/quickfacts/table/age775215/04	</v>
      <v xml:space="preserve">http://creativecommons.org/licenses/by-sa/3.0/			</v>
    </spb>
    <spb s="9">
      <v>52</v>
      <v>52</v>
      <v>11</v>
      <v>52</v>
      <v>52</v>
      <v>52</v>
      <v>53</v>
      <v>52</v>
      <v>11</v>
      <v>52</v>
      <v>11</v>
      <v>54</v>
      <v>52</v>
      <v>11</v>
      <v>11</v>
      <v>11</v>
      <v>11</v>
      <v>54</v>
      <v>11</v>
      <v>11</v>
      <v>11</v>
      <v>11</v>
      <v>11</v>
      <v>11</v>
      <v>11</v>
      <v>11</v>
      <v>11</v>
      <v>54</v>
      <v>11</v>
      <v>11</v>
      <v>11</v>
      <v>11</v>
    </spb>
    <spb s="2">
      <v>5</v>
      <v>Name</v>
      <v>LearnMoreOnLink</v>
    </spb>
    <spb s="10">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https://en.wikipedia.org/wiki/Arkansas	</v>
      <v xml:space="preserve">https://creativecommons.org/licenses/by-sa/3.0	</v>
    </spb>
    <spb s="0">
      <v xml:space="preserve">Wikipedia	</v>
      <v xml:space="preserve">CC-BY-SA	</v>
      <v xml:space="preserve">http://en.wikipedia.org/wiki/Arkansas	</v>
      <v xml:space="preserve">http://creativecommons.org/licenses/by-sa/3.0/	</v>
    </spb>
    <spb s="0">
      <v xml:space="preserve">Wikipedia	US Census	US Census	</v>
      <v xml:space="preserve">CC-BY-SA			</v>
      <v xml:space="preserve">http://en.wikipedia.org/wiki/Arkansas	https://www.census.gov/popest/data/state/asrh/2014/files/SC-EST2014-AGESEX-CIV.csv	http://www.census.gov/quickfacts/table/VET605214/05	</v>
      <v xml:space="preserve">http://creativecommons.org/licenses/by-sa/3.0/			</v>
    </spb>
    <spb s="9">
      <v>58</v>
      <v>58</v>
      <v>11</v>
      <v>58</v>
      <v>58</v>
      <v>58</v>
      <v>59</v>
      <v>58</v>
      <v>11</v>
      <v>58</v>
      <v>11</v>
      <v>60</v>
      <v>58</v>
      <v>11</v>
      <v>11</v>
      <v>11</v>
      <v>11</v>
      <v>60</v>
      <v>11</v>
      <v>11</v>
      <v>11</v>
      <v>11</v>
      <v>11</v>
      <v>11</v>
      <v>11</v>
      <v>11</v>
      <v>11</v>
      <v>60</v>
      <v>11</v>
      <v>11</v>
      <v>11</v>
      <v>11</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9">
      <v>62</v>
      <v>62</v>
      <v>11</v>
      <v>62</v>
      <v>62</v>
      <v>62</v>
      <v>63</v>
      <v>62</v>
      <v>11</v>
      <v>62</v>
      <v>11</v>
      <v>64</v>
      <v>62</v>
      <v>11</v>
      <v>11</v>
      <v>11</v>
      <v>11</v>
      <v>64</v>
      <v>11</v>
      <v>11</v>
      <v>11</v>
      <v>11</v>
      <v>11</v>
      <v>11</v>
      <v>11</v>
      <v>11</v>
      <v>11</v>
      <v>64</v>
      <v>11</v>
      <v>11</v>
      <v>11</v>
      <v>11</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9">
      <v>66</v>
      <v>66</v>
      <v>11</v>
      <v>66</v>
      <v>66</v>
      <v>66</v>
      <v>67</v>
      <v>66</v>
      <v>11</v>
      <v>66</v>
      <v>11</v>
      <v>68</v>
      <v>66</v>
      <v>11</v>
      <v>11</v>
      <v>11</v>
      <v>11</v>
      <v>68</v>
      <v>11</v>
      <v>11</v>
      <v>11</v>
      <v>11</v>
      <v>11</v>
      <v>11</v>
      <v>11</v>
      <v>11</v>
      <v>11</v>
      <v>68</v>
      <v>11</v>
      <v>11</v>
      <v>11</v>
      <v>11</v>
    </spb>
    <spb s="0">
      <v xml:space="preserve">Wikipedia	</v>
      <v xml:space="preserve">CC BY-SA 3.0	</v>
      <v xml:space="preserve">https://en.wikipedia.org/wiki/Connecticut	</v>
      <v xml:space="preserve">https://creativecommons.org/licenses/by-sa/3.0	</v>
    </spb>
    <spb s="0">
      <v xml:space="preserve">Wikipedia	</v>
      <v xml:space="preserve">CC-BY-SA	</v>
      <v xml:space="preserve">http://en.wikipedia.org/wiki/Connecticut	</v>
      <v xml:space="preserve">http://creativecommons.org/licenses/by-sa/3.0/	</v>
    </spb>
    <spb s="0">
      <v xml:space="preserve">Wikipedia	US Census	Bookdepository	</v>
      <v xml:space="preserve">CC-BY-SA			</v>
      <v xml:space="preserve">http://en.wikipedia.org/wiki/Connecticut	https://www.census.gov/popest/data/state/asrh/2014/files/SC-EST2014-AGESEX-CIV.csv	https://www.bookdepository.com/author/Etc-Connecticut-Laws	</v>
      <v xml:space="preserve">http://creativecommons.org/licenses/by-sa/3.0/			</v>
    </spb>
    <spb s="9">
      <v>70</v>
      <v>70</v>
      <v>11</v>
      <v>70</v>
      <v>70</v>
      <v>70</v>
      <v>71</v>
      <v>70</v>
      <v>11</v>
      <v>70</v>
      <v>11</v>
      <v>72</v>
      <v>70</v>
      <v>11</v>
      <v>11</v>
      <v>11</v>
      <v>11</v>
      <v>72</v>
      <v>11</v>
      <v>11</v>
      <v>11</v>
      <v>11</v>
      <v>11</v>
      <v>11</v>
      <v>11</v>
      <v>11</v>
      <v>11</v>
      <v>72</v>
      <v>11</v>
      <v>11</v>
      <v>11</v>
      <v>11</v>
    </spb>
    <spb s="0">
      <v xml:space="preserve">Wikipedia	</v>
      <v xml:space="preserve">CC BY-SA 3.0	</v>
      <v xml:space="preserve">https://en.wikipedia.org/wiki/Florida	</v>
      <v xml:space="preserve">https://creativecommons.org/licenses/by-sa/3.0	</v>
    </spb>
    <spb s="0">
      <v xml:space="preserve">Wikipedia	</v>
      <v xml:space="preserve">CC-BY-SA	</v>
      <v xml:space="preserve">http://en.wikipedia.org/wiki/Florida	</v>
      <v xml:space="preserve">http://creativecommons.org/licenses/by-sa/3.0/	</v>
    </spb>
    <spb s="0">
      <v xml:space="preserve">Wikipedia	US Census	US Census	</v>
      <v xml:space="preserve">CC-BY-SA			</v>
      <v xml:space="preserve">http://en.wikipedia.org/wiki/Florida	https://www.census.gov/popest/data/state/asrh/2014/files/SC-EST2014-AGESEX-CIV.csv	http://www.census.gov/quickfacts/table/WTN220212/12	</v>
      <v xml:space="preserve">http://creativecommons.org/licenses/by-sa/3.0/			</v>
    </spb>
    <spb s="9">
      <v>74</v>
      <v>74</v>
      <v>11</v>
      <v>74</v>
      <v>74</v>
      <v>74</v>
      <v>75</v>
      <v>74</v>
      <v>11</v>
      <v>74</v>
      <v>11</v>
      <v>76</v>
      <v>74</v>
      <v>11</v>
      <v>11</v>
      <v>11</v>
      <v>11</v>
      <v>76</v>
      <v>11</v>
      <v>11</v>
      <v>11</v>
      <v>11</v>
      <v>11</v>
      <v>11</v>
      <v>11</v>
      <v>11</v>
      <v>11</v>
      <v>76</v>
      <v>11</v>
      <v>11</v>
      <v>11</v>
      <v>11</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9">
      <v>78</v>
      <v>78</v>
      <v>11</v>
      <v>78</v>
      <v>78</v>
      <v>78</v>
      <v>79</v>
      <v>78</v>
      <v>11</v>
      <v>78</v>
      <v>11</v>
      <v>80</v>
      <v>78</v>
      <v>11</v>
      <v>11</v>
      <v>11</v>
      <v>11</v>
      <v>80</v>
      <v>11</v>
      <v>11</v>
      <v>11</v>
      <v>11</v>
      <v>11</v>
      <v>11</v>
      <v>11</v>
      <v>11</v>
      <v>11</v>
      <v>80</v>
      <v>11</v>
      <v>11</v>
      <v>11</v>
      <v>11</v>
    </spb>
    <spb s="0">
      <v xml:space="preserve">Wikipedia	</v>
      <v xml:space="preserve">CC BY-SA 3.0	</v>
      <v xml:space="preserve">https://en.wikipedia.org/wiki/Illinois	</v>
      <v xml:space="preserve">https://creativecommons.org/licenses/by-sa/3.0	</v>
    </spb>
    <spb s="0">
      <v xml:space="preserve">Wikipedia	</v>
      <v xml:space="preserve">CC-BY-SA	</v>
      <v xml:space="preserve">http://en.wikipedia.org/wiki/Illinois	</v>
      <v xml:space="preserve">http://creativecommons.org/licenses/by-sa/3.0/	</v>
    </spb>
    <spb s="0">
      <v xml:space="preserve">Wikipedia	US Census	US Census	</v>
      <v xml:space="preserve">CC-BY-SA			</v>
      <v xml:space="preserve">http://en.wikipedia.org/wiki/Illinois	https://www.census.gov/popest/data/state/asrh/2014/files/SC-EST2014-AGESEX-CIV.csv	http://www.census.gov/quickfacts/table/WTN220212/17	</v>
      <v xml:space="preserve">http://creativecommons.org/licenses/by-sa/3.0/			</v>
    </spb>
    <spb s="9">
      <v>82</v>
      <v>82</v>
      <v>11</v>
      <v>82</v>
      <v>82</v>
      <v>82</v>
      <v>83</v>
      <v>82</v>
      <v>11</v>
      <v>82</v>
      <v>11</v>
      <v>84</v>
      <v>82</v>
      <v>11</v>
      <v>11</v>
      <v>11</v>
      <v>11</v>
      <v>84</v>
      <v>11</v>
      <v>11</v>
      <v>11</v>
      <v>11</v>
      <v>11</v>
      <v>11</v>
      <v>11</v>
      <v>11</v>
      <v>11</v>
      <v>84</v>
      <v>11</v>
      <v>11</v>
      <v>11</v>
      <v>11</v>
    </spb>
    <spb s="0">
      <v xml:space="preserve">Wikipedia	</v>
      <v xml:space="preserve">CC BY-SA 3.0	</v>
      <v xml:space="preserve">https://en.wikipedia.org/wiki/Iowa	</v>
      <v xml:space="preserve">https://creativecommons.org/licenses/by-sa/3.0	</v>
    </spb>
    <spb s="0">
      <v xml:space="preserve">Wikipedia	</v>
      <v xml:space="preserve">CC-BY-SA	</v>
      <v xml:space="preserve">http://en.wikipedia.org/wiki/Iowa	</v>
      <v xml:space="preserve">http://creativecommons.org/licenses/by-sa/3.0/	</v>
    </spb>
    <spb s="0">
      <v xml:space="preserve">Wikipedia	US Census	US Census	</v>
      <v xml:space="preserve">CC-BY-SA			</v>
      <v xml:space="preserve">http://en.wikipedia.org/wiki/Iowa	https://www.census.gov/popest/data/state/asrh/2014/files/SC-EST2014-AGESEX-CIV.csv	http://www.census.gov/quickfacts/table/WTN220212/19	</v>
      <v xml:space="preserve">http://creativecommons.org/licenses/by-sa/3.0/			</v>
    </spb>
    <spb s="9">
      <v>86</v>
      <v>86</v>
      <v>11</v>
      <v>86</v>
      <v>86</v>
      <v>86</v>
      <v>87</v>
      <v>86</v>
      <v>11</v>
      <v>86</v>
      <v>11</v>
      <v>88</v>
      <v>86</v>
      <v>11</v>
      <v>11</v>
      <v>11</v>
      <v>11</v>
      <v>88</v>
      <v>11</v>
      <v>11</v>
      <v>11</v>
      <v>11</v>
      <v>11</v>
      <v>11</v>
      <v>11</v>
      <v>11</v>
      <v>11</v>
      <v>88</v>
      <v>11</v>
      <v>11</v>
      <v>11</v>
      <v>11</v>
    </spb>
    <spb s="0">
      <v xml:space="preserve">Wikipedia	</v>
      <v xml:space="preserve">CC BY-SA 3.0	</v>
      <v xml:space="preserve">https://en.wikipedia.org/wiki/Louisiana	</v>
      <v xml:space="preserve">https://creativecommons.org/licenses/by-sa/3.0	</v>
    </spb>
    <spb s="0">
      <v xml:space="preserve">Wikipedia	</v>
      <v xml:space="preserve">CC-BY-SA	</v>
      <v xml:space="preserve">http://en.wikipedia.org/wiki/Louisiana	</v>
      <v xml:space="preserve">http://creativecommons.org/licenses/by-sa/3.0/	</v>
    </spb>
    <spb s="0">
      <v xml:space="preserve">Wikipedia	US Census	US Census	</v>
      <v xml:space="preserve">CC-BY-SA			</v>
      <v xml:space="preserve">http://en.wikipedia.org/wiki/Louisiana	https://www.census.gov/popest/data/state/asrh/2014/files/SC-EST2014-AGESEX-CIV.csv	http://www.census.gov/quickfacts/table/WTN220212/22	</v>
      <v xml:space="preserve">http://creativecommons.org/licenses/by-sa/3.0/			</v>
    </spb>
    <spb s="9">
      <v>90</v>
      <v>90</v>
      <v>11</v>
      <v>90</v>
      <v>90</v>
      <v>90</v>
      <v>91</v>
      <v>90</v>
      <v>11</v>
      <v>90</v>
      <v>11</v>
      <v>92</v>
      <v>90</v>
      <v>11</v>
      <v>11</v>
      <v>11</v>
      <v>11</v>
      <v>92</v>
      <v>11</v>
      <v>11</v>
      <v>11</v>
      <v>11</v>
      <v>11</v>
      <v>11</v>
      <v>11</v>
      <v>11</v>
      <v>11</v>
      <v>92</v>
      <v>11</v>
      <v>11</v>
      <v>11</v>
      <v>11</v>
    </spb>
    <spb s="0">
      <v xml:space="preserve">Wikipedia	</v>
      <v xml:space="preserve">CC BY-SA 3.0	</v>
      <v xml:space="preserve">https://en.wikipedia.org/wiki/Massachusetts	</v>
      <v xml:space="preserve">https://creativecommons.org/licenses/by-sa/3.0	</v>
    </spb>
    <spb s="0">
      <v xml:space="preserve">Wikipedia	</v>
      <v xml:space="preserve">CC-BY-SA	</v>
      <v xml:space="preserve">http://en.wikipedia.org/wiki/Massachusetts	</v>
      <v xml:space="preserve">http://creativecommons.org/licenses/by-sa/3.0/	</v>
    </spb>
    <spb s="0">
      <v xml:space="preserve">Wikipedia	US Census	US Census	</v>
      <v xml:space="preserve">CC-BY-SA			</v>
      <v xml:space="preserve">http://en.wikipedia.org/wiki/Massachusetts	https://www.census.gov/popest/data/state/asrh/2014/files/SC-EST2014-AGESEX-CIV.csv	http://www.census.gov/quickfacts/table/WTN220212/25	</v>
      <v xml:space="preserve">http://creativecommons.org/licenses/by-sa/3.0/			</v>
    </spb>
    <spb s="9">
      <v>94</v>
      <v>94</v>
      <v>11</v>
      <v>94</v>
      <v>94</v>
      <v>94</v>
      <v>95</v>
      <v>94</v>
      <v>11</v>
      <v>94</v>
      <v>11</v>
      <v>96</v>
      <v>94</v>
      <v>11</v>
      <v>11</v>
      <v>11</v>
      <v>11</v>
      <v>96</v>
      <v>11</v>
      <v>11</v>
      <v>11</v>
      <v>11</v>
      <v>11</v>
      <v>11</v>
      <v>11</v>
      <v>11</v>
      <v>11</v>
      <v>96</v>
      <v>11</v>
      <v>11</v>
      <v>11</v>
      <v>11</v>
    </spb>
    <spb s="0">
      <v xml:space="preserve">Wikipedia	</v>
      <v xml:space="preserve">CC BY-SA 3.0	</v>
      <v xml:space="preserve">https://en.wikipedia.org/wiki/Michigan	</v>
      <v xml:space="preserve">https://creativecommons.org/licenses/by-sa/3.0	</v>
    </spb>
    <spb s="0">
      <v xml:space="preserve">Wikipedia	</v>
      <v xml:space="preserve">CC-BY-SA	</v>
      <v xml:space="preserve">http://en.wikipedia.org/wiki/Michigan	</v>
      <v xml:space="preserve">http://creativecommons.org/licenses/by-sa/3.0/	</v>
    </spb>
    <spb s="0">
      <v xml:space="preserve">Wikipedia	US Census	US Census	</v>
      <v xml:space="preserve">CC-BY-SA			</v>
      <v xml:space="preserve">http://en.wikipedia.org/wiki/Michigan	https://www.census.gov/popest/data/state/asrh/2014/files/SC-EST2014-AGESEX-CIV.csv	http://www.census.gov/quickfacts/table/WTN220212/26	</v>
      <v xml:space="preserve">http://creativecommons.org/licenses/by-sa/3.0/			</v>
    </spb>
    <spb s="15">
      <v>98</v>
      <v>98</v>
      <v>11</v>
      <v>98</v>
      <v>98</v>
      <v>98</v>
      <v>99</v>
      <v>98</v>
      <v>11</v>
      <v>98</v>
      <v>11</v>
      <v>100</v>
      <v>98</v>
      <v>11</v>
      <v>11</v>
      <v>11</v>
      <v>11</v>
      <v>100</v>
      <v>11</v>
      <v>11</v>
      <v>11</v>
      <v>11</v>
      <v>11</v>
      <v>11</v>
      <v>11</v>
      <v>11</v>
      <v>11</v>
      <v>100</v>
      <v>11</v>
      <v>11</v>
      <v>11</v>
    </spb>
    <spb s="2">
      <v>6</v>
      <v>Name</v>
      <v>LearnMoreOnLink</v>
    </spb>
    <spb s="16">
      <v>square km</v>
      <v>2015</v>
      <v>2024</v>
      <v>2016</v>
      <v>2016</v>
      <v>2015</v>
      <v>2015</v>
      <v>2010, 2016</v>
      <v>persons (2015)</v>
      <v>persons (2015)</v>
      <v>2015</v>
      <v>2015</v>
      <v>2015</v>
      <v>2015</v>
      <v>persons (2015)</v>
      <v>persons (2015)</v>
      <v>2015</v>
      <v>persons age 16+, 2015</v>
      <v>persons (2015)</v>
      <v>under age 65, 2015</v>
      <v>2015</v>
      <v>persons age 25+, 2015</v>
      <v>persons (2015)</v>
      <v>persons (2015)</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9">
      <v>104</v>
      <v>104</v>
      <v>11</v>
      <v>104</v>
      <v>104</v>
      <v>104</v>
      <v>105</v>
      <v>104</v>
      <v>11</v>
      <v>104</v>
      <v>11</v>
      <v>106</v>
      <v>104</v>
      <v>11</v>
      <v>11</v>
      <v>11</v>
      <v>11</v>
      <v>106</v>
      <v>11</v>
      <v>11</v>
      <v>11</v>
      <v>11</v>
      <v>11</v>
      <v>11</v>
      <v>11</v>
      <v>11</v>
      <v>11</v>
      <v>106</v>
      <v>11</v>
      <v>11</v>
      <v>11</v>
      <v>11</v>
    </spb>
    <spb s="0">
      <v xml:space="preserve">Wikipedia	</v>
      <v xml:space="preserve">CC BY-SA 3.0	</v>
      <v xml:space="preserve">https://en.wikipedia.org/wiki/Missouri	</v>
      <v xml:space="preserve">https://creativecommons.org/licenses/by-sa/3.0	</v>
    </spb>
    <spb s="0">
      <v xml:space="preserve">Wikipedia	</v>
      <v xml:space="preserve">CC-BY-SA	</v>
      <v xml:space="preserve">http://en.wikipedia.org/wiki/Missouri	</v>
      <v xml:space="preserve">http://creativecommons.org/licenses/by-sa/3.0/	</v>
    </spb>
    <spb s="0">
      <v xml:space="preserve">Wikipedia	US Census	US Census	</v>
      <v xml:space="preserve">CC-BY-SA			</v>
      <v xml:space="preserve">http://en.wikipedia.org/wiki/Missouri	https://www.census.gov/popest/data/state/asrh/2014/files/SC-EST2014-AGESEX-CIV.csv	http://www.census.gov/quickfacts/table/WTN220212/29	</v>
      <v xml:space="preserve">http://creativecommons.org/licenses/by-sa/3.0/			</v>
    </spb>
    <spb s="9">
      <v>108</v>
      <v>108</v>
      <v>11</v>
      <v>108</v>
      <v>108</v>
      <v>108</v>
      <v>109</v>
      <v>108</v>
      <v>11</v>
      <v>108</v>
      <v>11</v>
      <v>110</v>
      <v>108</v>
      <v>11</v>
      <v>11</v>
      <v>11</v>
      <v>11</v>
      <v>110</v>
      <v>11</v>
      <v>11</v>
      <v>11</v>
      <v>11</v>
      <v>11</v>
      <v>11</v>
      <v>11</v>
      <v>11</v>
      <v>11</v>
      <v>110</v>
      <v>11</v>
      <v>11</v>
      <v>11</v>
      <v>11</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9">
      <v>112</v>
      <v>112</v>
      <v>11</v>
      <v>112</v>
      <v>112</v>
      <v>112</v>
      <v>113</v>
      <v>112</v>
      <v>11</v>
      <v>112</v>
      <v>11</v>
      <v>114</v>
      <v>112</v>
      <v>11</v>
      <v>11</v>
      <v>11</v>
      <v>11</v>
      <v>114</v>
      <v>11</v>
      <v>11</v>
      <v>11</v>
      <v>11</v>
      <v>11</v>
      <v>11</v>
      <v>11</v>
      <v>11</v>
      <v>11</v>
      <v>114</v>
      <v>11</v>
      <v>11</v>
      <v>11</v>
      <v>11</v>
    </spb>
    <spb s="0">
      <v xml:space="preserve">Wikipedia	</v>
      <v xml:space="preserve">CC BY-SA 3.0	</v>
      <v xml:space="preserve">https://en.wikipedia.org/wiki/New_Mexico	</v>
      <v xml:space="preserve">https://creativecommons.org/licenses/by-sa/3.0	</v>
    </spb>
    <spb s="0">
      <v xml:space="preserve">Wikipedia	</v>
      <v xml:space="preserve">CC-BY-SA	</v>
      <v xml:space="preserve">http://en.wikipedia.org/wiki/New_Mexico	</v>
      <v xml:space="preserve">http://creativecommons.org/licenses/by-sa/3.0/	</v>
    </spb>
    <spb s="0">
      <v xml:space="preserve">Wikipedia	US Census	US Census	</v>
      <v xml:space="preserve">CC-BY-SA			</v>
      <v xml:space="preserve">http://en.wikipedia.org/wiki/New_Mexico	https://www.census.gov/popest/data/state/asrh/2014/files/SC-EST2014-AGESEX-CIV.csv	http://www.census.gov/quickfacts/table/WTN220212/35	</v>
      <v xml:space="preserve">http://creativecommons.org/licenses/by-sa/3.0/			</v>
    </spb>
    <spb s="9">
      <v>116</v>
      <v>116</v>
      <v>11</v>
      <v>116</v>
      <v>116</v>
      <v>116</v>
      <v>117</v>
      <v>116</v>
      <v>11</v>
      <v>116</v>
      <v>11</v>
      <v>118</v>
      <v>116</v>
      <v>11</v>
      <v>11</v>
      <v>11</v>
      <v>11</v>
      <v>118</v>
      <v>11</v>
      <v>11</v>
      <v>11</v>
      <v>11</v>
      <v>11</v>
      <v>11</v>
      <v>11</v>
      <v>11</v>
      <v>11</v>
      <v>118</v>
      <v>11</v>
      <v>11</v>
      <v>11</v>
      <v>11</v>
    </spb>
    <spb s="0">
      <v xml:space="preserve">Wikipedia	</v>
      <v xml:space="preserve">CC BY-SA 3.0	</v>
      <v xml:space="preserve">https://en.wikipedia.org/wiki/North_Carolina	</v>
      <v xml:space="preserve">https://creativecommons.org/licenses/by-sa/3.0	</v>
    </spb>
    <spb s="0">
      <v xml:space="preserve">Wikipedia	</v>
      <v xml:space="preserve">CC-BY-SA	</v>
      <v xml:space="preserve">http://en.wikipedia.org/wiki/North_Carolina	</v>
      <v xml:space="preserve">http://creativecommons.org/licenses/by-sa/3.0/	</v>
    </spb>
    <spb s="0">
      <v xml:space="preserve">Wikipedia	US Census	US Census	</v>
      <v xml:space="preserve">CC-BY-SA			</v>
      <v xml:space="preserve">http://en.wikipedia.org/wiki/North_Carolina	https://www.census.gov/popest/data/state/asrh/2014/files/SC-EST2014-AGESEX-CIV.csv	http://www.census.gov/quickfacts/table/WTN220212/37	</v>
      <v xml:space="preserve">http://creativecommons.org/licenses/by-sa/3.0/			</v>
    </spb>
    <spb s="9">
      <v>120</v>
      <v>120</v>
      <v>11</v>
      <v>120</v>
      <v>120</v>
      <v>120</v>
      <v>121</v>
      <v>120</v>
      <v>11</v>
      <v>120</v>
      <v>11</v>
      <v>122</v>
      <v>120</v>
      <v>11</v>
      <v>11</v>
      <v>11</v>
      <v>11</v>
      <v>122</v>
      <v>11</v>
      <v>11</v>
      <v>11</v>
      <v>11</v>
      <v>11</v>
      <v>11</v>
      <v>11</v>
      <v>11</v>
      <v>11</v>
      <v>122</v>
      <v>11</v>
      <v>11</v>
      <v>11</v>
      <v>11</v>
    </spb>
    <spb s="0">
      <v xml:space="preserve">Wikipedia	</v>
      <v xml:space="preserve">CC BY-SA 3.0	</v>
      <v xml:space="preserve">https://en.wikipedia.org/wiki/Ohio	</v>
      <v xml:space="preserve">https://creativecommons.org/licenses/by-sa/3.0	</v>
    </spb>
    <spb s="0">
      <v xml:space="preserve">Wikipedia	</v>
      <v xml:space="preserve">CC-BY-SA	</v>
      <v xml:space="preserve">http://en.wikipedia.org/wiki/Ohio	</v>
      <v xml:space="preserve">http://creativecommons.org/licenses/by-sa/3.0/	</v>
    </spb>
    <spb s="0">
      <v xml:space="preserve">Wikipedia	US Census	US Census	</v>
      <v xml:space="preserve">CC-BY-SA			</v>
      <v xml:space="preserve">http://en.wikipedia.org/wiki/Ohio	https://www.census.gov/popest/data/state/asrh/2014/files/SC-EST2014-AGESEX-CIV.csv	http://www.census.gov/quickfacts/table/WTN220212/39	</v>
      <v xml:space="preserve">http://creativecommons.org/licenses/by-sa/3.0/			</v>
    </spb>
    <spb s="9">
      <v>124</v>
      <v>124</v>
      <v>11</v>
      <v>124</v>
      <v>124</v>
      <v>124</v>
      <v>125</v>
      <v>124</v>
      <v>11</v>
      <v>124</v>
      <v>11</v>
      <v>126</v>
      <v>124</v>
      <v>11</v>
      <v>11</v>
      <v>11</v>
      <v>11</v>
      <v>126</v>
      <v>11</v>
      <v>11</v>
      <v>11</v>
      <v>11</v>
      <v>11</v>
      <v>11</v>
      <v>11</v>
      <v>11</v>
      <v>11</v>
      <v>126</v>
      <v>11</v>
      <v>11</v>
      <v>11</v>
      <v>11</v>
    </spb>
    <spb s="0">
      <v xml:space="preserve">Wikipedia	</v>
      <v xml:space="preserve">CC BY-SA 3.0	</v>
      <v xml:space="preserve">https://en.wikipedia.org/wiki/Oklahoma	</v>
      <v xml:space="preserve">https://creativecommons.org/licenses/by-sa/3.0	</v>
    </spb>
    <spb s="0">
      <v xml:space="preserve">Wikipedia	</v>
      <v xml:space="preserve">CC-BY-SA	</v>
      <v xml:space="preserve">http://en.wikipedia.org/wiki/Oklahoma	</v>
      <v xml:space="preserve">http://creativecommons.org/licenses/by-sa/3.0/	</v>
    </spb>
    <spb s="0">
      <v xml:space="preserve">Wikipedia	US Census	US Census	</v>
      <v xml:space="preserve">CC-BY-SA			</v>
      <v xml:space="preserve">http://en.wikipedia.org/wiki/Oklahoma	https://www.census.gov/popest/data/state/asrh/2014/files/SC-EST2014-AGESEX-CIV.csv	http://www.census.gov/quickfacts/table/WTN220212/40	</v>
      <v xml:space="preserve">http://creativecommons.org/licenses/by-sa/3.0/			</v>
    </spb>
    <spb s="9">
      <v>128</v>
      <v>128</v>
      <v>11</v>
      <v>128</v>
      <v>128</v>
      <v>128</v>
      <v>129</v>
      <v>128</v>
      <v>11</v>
      <v>128</v>
      <v>11</v>
      <v>130</v>
      <v>128</v>
      <v>11</v>
      <v>11</v>
      <v>11</v>
      <v>11</v>
      <v>130</v>
      <v>11</v>
      <v>11</v>
      <v>11</v>
      <v>11</v>
      <v>11</v>
      <v>11</v>
      <v>11</v>
      <v>11</v>
      <v>11</v>
      <v>130</v>
      <v>11</v>
      <v>11</v>
      <v>11</v>
      <v>11</v>
    </spb>
    <spb s="2">
      <v>7</v>
      <v>Name</v>
      <v>LearnMoreOnLink</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9">
      <v>133</v>
      <v>133</v>
      <v>11</v>
      <v>133</v>
      <v>133</v>
      <v>133</v>
      <v>134</v>
      <v>133</v>
      <v>11</v>
      <v>133</v>
      <v>11</v>
      <v>135</v>
      <v>133</v>
      <v>11</v>
      <v>11</v>
      <v>11</v>
      <v>11</v>
      <v>135</v>
      <v>11</v>
      <v>11</v>
      <v>11</v>
      <v>11</v>
      <v>11</v>
      <v>11</v>
      <v>11</v>
      <v>11</v>
      <v>11</v>
      <v>135</v>
      <v>11</v>
      <v>11</v>
      <v>11</v>
      <v>11</v>
    </spb>
    <spb s="0">
      <v xml:space="preserve">Wikipedia	</v>
      <v xml:space="preserve">CC BY-SA 3.0	</v>
      <v xml:space="preserve">https://en.wikipedia.org/wiki/South_Carolina	</v>
      <v xml:space="preserve">https://creativecommons.org/licenses/by-sa/3.0	</v>
    </spb>
    <spb s="0">
      <v xml:space="preserve">Wikipedia	</v>
      <v xml:space="preserve">CC-BY-SA	</v>
      <v xml:space="preserve">http://en.wikipedia.org/wiki/South_Carolina	</v>
      <v xml:space="preserve">http://creativecommons.org/licenses/by-sa/3.0/	</v>
    </spb>
    <spb s="0">
      <v xml:space="preserve">Wikipedia	US Census	US Census	</v>
      <v xml:space="preserve">CC-BY-SA			</v>
      <v xml:space="preserve">http://en.wikipedia.org/wiki/South_Carolina	https://www.census.gov/popest/data/state/asrh/2014/files/SC-EST2014-AGESEX-CIV.csv	http://www.census.gov/quickfacts/table/WTN220212/45	</v>
      <v xml:space="preserve">http://creativecommons.org/licenses/by-sa/3.0/			</v>
    </spb>
    <spb s="9">
      <v>137</v>
      <v>137</v>
      <v>11</v>
      <v>137</v>
      <v>137</v>
      <v>137</v>
      <v>138</v>
      <v>137</v>
      <v>11</v>
      <v>137</v>
      <v>11</v>
      <v>139</v>
      <v>137</v>
      <v>11</v>
      <v>11</v>
      <v>11</v>
      <v>11</v>
      <v>139</v>
      <v>11</v>
      <v>11</v>
      <v>11</v>
      <v>11</v>
      <v>11</v>
      <v>11</v>
      <v>11</v>
      <v>11</v>
      <v>11</v>
      <v>139</v>
      <v>11</v>
      <v>11</v>
      <v>11</v>
      <v>11</v>
    </spb>
    <spb s="0">
      <v xml:space="preserve">Wikipedia	</v>
      <v xml:space="preserve">CC BY-SA 3.0	</v>
      <v xml:space="preserve">https://en.wikipedia.org/wiki/Tennessee	</v>
      <v xml:space="preserve">https://creativecommons.org/licenses/by-sa/3.0	</v>
    </spb>
    <spb s="0">
      <v xml:space="preserve">Wikipedia	</v>
      <v xml:space="preserve">CC-BY-SA	</v>
      <v xml:space="preserve">http://en.wikipedia.org/wiki/Tennessee	</v>
      <v xml:space="preserve">http://creativecommons.org/licenses/by-sa/3.0/	</v>
    </spb>
    <spb s="0">
      <v xml:space="preserve">Wikipedia	US Census	US Census	</v>
      <v xml:space="preserve">CC-BY-SA			</v>
      <v xml:space="preserve">http://en.wikipedia.org/wiki/Tennessee	https://www.census.gov/popest/data/state/asrh/2014/files/SC-EST2014-AGESEX-CIV.csv	http://www.census.gov/quickfacts/table/WTN220212/47	</v>
      <v xml:space="preserve">http://creativecommons.org/licenses/by-sa/3.0/			</v>
    </spb>
    <spb s="9">
      <v>141</v>
      <v>141</v>
      <v>11</v>
      <v>141</v>
      <v>141</v>
      <v>141</v>
      <v>142</v>
      <v>141</v>
      <v>11</v>
      <v>141</v>
      <v>11</v>
      <v>143</v>
      <v>141</v>
      <v>11</v>
      <v>11</v>
      <v>11</v>
      <v>11</v>
      <v>143</v>
      <v>11</v>
      <v>11</v>
      <v>11</v>
      <v>11</v>
      <v>11</v>
      <v>11</v>
      <v>11</v>
      <v>11</v>
      <v>11</v>
      <v>143</v>
      <v>11</v>
      <v>11</v>
      <v>11</v>
      <v>11</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9">
      <v>145</v>
      <v>145</v>
      <v>11</v>
      <v>145</v>
      <v>145</v>
      <v>145</v>
      <v>146</v>
      <v>145</v>
      <v>11</v>
      <v>145</v>
      <v>11</v>
      <v>147</v>
      <v>145</v>
      <v>11</v>
      <v>11</v>
      <v>11</v>
      <v>11</v>
      <v>147</v>
      <v>11</v>
      <v>11</v>
      <v>11</v>
      <v>11</v>
      <v>11</v>
      <v>11</v>
      <v>11</v>
      <v>11</v>
      <v>11</v>
      <v>147</v>
      <v>11</v>
      <v>11</v>
      <v>11</v>
      <v>11</v>
    </spb>
    <spb s="0">
      <v xml:space="preserve">Wikipedia	</v>
      <v xml:space="preserve">CC BY-SA 3.0	</v>
      <v xml:space="preserve">https://en.wikipedia.org/wiki/Utah	</v>
      <v xml:space="preserve">https://creativecommons.org/licenses/by-sa/3.0	</v>
    </spb>
    <spb s="0">
      <v xml:space="preserve">Wikipedia	</v>
      <v xml:space="preserve">CC-BY-SA	</v>
      <v xml:space="preserve">http://en.wikipedia.org/wiki/Utah	</v>
      <v xml:space="preserve">http://creativecommons.org/licenses/by-sa/3.0/	</v>
    </spb>
    <spb s="0">
      <v xml:space="preserve">Wikipedia	US Census	US Census	</v>
      <v xml:space="preserve">CC-BY-SA			</v>
      <v xml:space="preserve">http://en.wikipedia.org/wiki/Utah	https://www.census.gov/popest/data/state/asrh/2014/files/SC-EST2014-AGESEX-CIV.csv	http://www.census.gov/quickfacts/table/WTN220212/49	</v>
      <v xml:space="preserve">http://creativecommons.org/licenses/by-sa/3.0/			</v>
    </spb>
    <spb s="9">
      <v>149</v>
      <v>149</v>
      <v>11</v>
      <v>149</v>
      <v>149</v>
      <v>149</v>
      <v>150</v>
      <v>149</v>
      <v>11</v>
      <v>149</v>
      <v>11</v>
      <v>151</v>
      <v>149</v>
      <v>11</v>
      <v>11</v>
      <v>11</v>
      <v>11</v>
      <v>151</v>
      <v>11</v>
      <v>11</v>
      <v>11</v>
      <v>11</v>
      <v>11</v>
      <v>11</v>
      <v>11</v>
      <v>11</v>
      <v>11</v>
      <v>151</v>
      <v>11</v>
      <v>11</v>
      <v>11</v>
      <v>11</v>
    </spb>
    <spb s="0">
      <v xml:space="preserve">Wikipedia	</v>
      <v xml:space="preserve">CC BY-SA 3.0	</v>
      <v xml:space="preserve">https://en.wikipedia.org/wiki/Vermont	</v>
      <v xml:space="preserve">https://creativecommons.org/licenses/by-sa/3.0	</v>
    </spb>
    <spb s="0">
      <v xml:space="preserve">Wikipedia	</v>
      <v xml:space="preserve">CC-BY-SA	</v>
      <v xml:space="preserve">http://en.wikipedia.org/wiki/Vermont	</v>
      <v xml:space="preserve">http://creativecommons.org/licenses/by-sa/3.0/	</v>
    </spb>
    <spb s="0">
      <v xml:space="preserve">Wikipedia	US Census	US Census	</v>
      <v xml:space="preserve">CC-BY-SA			</v>
      <v xml:space="preserve">http://en.wikipedia.org/wiki/Vermont	https://www.census.gov/popest/data/state/asrh/2014/files/SC-EST2014-AGESEX-CIV.csv	http://www.census.gov/quickfacts/table/WTN220212/50	</v>
      <v xml:space="preserve">http://creativecommons.org/licenses/by-sa/3.0/			</v>
    </spb>
    <spb s="15">
      <v>153</v>
      <v>153</v>
      <v>11</v>
      <v>153</v>
      <v>153</v>
      <v>153</v>
      <v>154</v>
      <v>153</v>
      <v>11</v>
      <v>153</v>
      <v>11</v>
      <v>155</v>
      <v>153</v>
      <v>11</v>
      <v>11</v>
      <v>11</v>
      <v>11</v>
      <v>155</v>
      <v>11</v>
      <v>11</v>
      <v>11</v>
      <v>11</v>
      <v>11</v>
      <v>11</v>
      <v>11</v>
      <v>11</v>
      <v>11</v>
      <v>155</v>
      <v>11</v>
      <v>11</v>
      <v>11</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9">
      <v>157</v>
      <v>157</v>
      <v>11</v>
      <v>157</v>
      <v>157</v>
      <v>157</v>
      <v>158</v>
      <v>157</v>
      <v>11</v>
      <v>157</v>
      <v>11</v>
      <v>159</v>
      <v>157</v>
      <v>11</v>
      <v>11</v>
      <v>11</v>
      <v>11</v>
      <v>159</v>
      <v>11</v>
      <v>11</v>
      <v>11</v>
      <v>11</v>
      <v>11</v>
      <v>11</v>
      <v>11</v>
      <v>11</v>
      <v>11</v>
      <v>159</v>
      <v>11</v>
      <v>11</v>
      <v>11</v>
      <v>11</v>
    </spb>
    <spb s="0">
      <v xml:space="preserve">Wikipedia	</v>
      <v xml:space="preserve">CC BY-SA 3.0	</v>
      <v xml:space="preserve">https://en.wikipedia.org/wiki/Wisconsin	</v>
      <v xml:space="preserve">https://creativecommons.org/licenses/by-sa/3.0	</v>
    </spb>
    <spb s="0">
      <v xml:space="preserve">Wikipedia	</v>
      <v xml:space="preserve">CC-BY-SA	</v>
      <v xml:space="preserve">http://en.wikipedia.org/wiki/Wisconsin	</v>
      <v xml:space="preserve">http://creativecommons.org/licenses/by-sa/3.0/	</v>
    </spb>
    <spb s="0">
      <v xml:space="preserve">Wikipedia	US Census	US Census	</v>
      <v xml:space="preserve">CC-BY-SA			</v>
      <v xml:space="preserve">http://en.wikipedia.org/wiki/Wisconsin	https://www.census.gov/popest/data/state/asrh/2014/files/SC-EST2014-AGESEX-CIV.csv	http://www.census.gov/quickfacts/table/VET605214/55	</v>
      <v xml:space="preserve">http://creativecommons.org/licenses/by-sa/3.0/			</v>
    </spb>
    <spb s="9">
      <v>161</v>
      <v>161</v>
      <v>11</v>
      <v>161</v>
      <v>161</v>
      <v>161</v>
      <v>162</v>
      <v>161</v>
      <v>11</v>
      <v>161</v>
      <v>11</v>
      <v>163</v>
      <v>161</v>
      <v>11</v>
      <v>11</v>
      <v>11</v>
      <v>11</v>
      <v>163</v>
      <v>11</v>
      <v>11</v>
      <v>11</v>
      <v>11</v>
      <v>11</v>
      <v>11</v>
      <v>11</v>
      <v>11</v>
      <v>11</v>
      <v>163</v>
      <v>11</v>
      <v>11</v>
      <v>11</v>
      <v>11</v>
    </spb>
    <spb s="0">
      <v xml:space="preserve">Wikipedia	</v>
      <v xml:space="preserve">CC BY-SA 3.0	</v>
      <v xml:space="preserve">https://en.wikipedia.org/wiki/Chicago	</v>
      <v xml:space="preserve">https://creativecommons.org/licenses/by-sa/3.0	</v>
    </spb>
    <spb s="13">
      <v>165</v>
      <v>165</v>
      <v>165</v>
      <v>165</v>
      <v>165</v>
      <v>165</v>
      <v>165</v>
      <v>165</v>
      <v>165</v>
      <v>165</v>
    </spb>
    <spb s="7">
      <v>square km</v>
      <v>2023</v>
    </spb>
    <spb s="0">
      <v xml:space="preserve">Wikipedia	</v>
      <v xml:space="preserve">CC BY-SA 3.0	</v>
      <v xml:space="preserve">https://en.wikipedia.org/wiki/Boston	</v>
      <v xml:space="preserve">https://creativecommons.org/licenses/by-sa/3.0	</v>
    </spb>
    <spb s="13">
      <v>168</v>
      <v>168</v>
      <v>168</v>
      <v>168</v>
      <v>168</v>
      <v>168</v>
      <v>168</v>
      <v>168</v>
      <v>168</v>
      <v>168</v>
    </spb>
    <spb s="0">
      <v xml:space="preserve">Wikipedia	</v>
      <v xml:space="preserve">CC BY-SA 3.0	</v>
      <v xml:space="preserve">https://en.wikipedia.org/wiki/Houston	</v>
      <v xml:space="preserve">https://creativecommons.org/licenses/by-sa/3.0	</v>
    </spb>
    <spb s="13">
      <v>170</v>
      <v>170</v>
      <v>170</v>
      <v>170</v>
      <v>170</v>
      <v>170</v>
      <v>170</v>
      <v>170</v>
      <v>170</v>
      <v>170</v>
    </spb>
    <spb s="0">
      <v xml:space="preserve">Wikipedia	</v>
      <v xml:space="preserve">CC BY-SA 3.0	</v>
      <v xml:space="preserve">https://en.wikipedia.org/wiki/Richmond,_Virginia	</v>
      <v xml:space="preserve">https://creativecommons.org/licenses/by-sa/3.0	</v>
    </spb>
    <spb s="1">
      <v>172</v>
      <v>172</v>
      <v>172</v>
      <v>172</v>
      <v>172</v>
      <v>172</v>
      <v>172</v>
      <v>172</v>
      <v>172</v>
    </spb>
    <spb s="0">
      <v xml:space="preserve">Wikipedia	Wikipedia	</v>
      <v xml:space="preserve">CC-BY-SA	CC-BY-SA	</v>
      <v xml:space="preserve">http://en.wikipedia.org/wiki/Burnaby	http://de.wikipedia.org/wiki/Burnaby	</v>
      <v xml:space="preserve">http://creativecommons.org/licenses/by-sa/3.0/	http://creativecommons.org/licenses/by-sa/3.0/	</v>
    </spb>
    <spb s="0">
      <v xml:space="preserve">Wikipedia	</v>
      <v xml:space="preserve">CC BY-SA 3.0	</v>
      <v xml:space="preserve">https://en.wikipedia.org/wiki/Burnaby	</v>
      <v xml:space="preserve">https://creativecommons.org/licenses/by-sa/3.0	</v>
    </spb>
    <spb s="13">
      <v>174</v>
      <v>175</v>
      <v>175</v>
      <v>175</v>
      <v>175</v>
      <v>175</v>
      <v>175</v>
      <v>175</v>
      <v>175</v>
      <v>175</v>
    </spb>
    <spb s="7">
      <v>square km</v>
      <v>2021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7">
      <v>21</v>
      <v>178</v>
      <v>179</v>
      <v>179</v>
      <v>24</v>
      <v>179</v>
      <v>179</v>
      <v>179</v>
      <v>180</v>
      <v>179</v>
      <v>179</v>
      <v>180</v>
      <v>179</v>
      <v>179</v>
      <v>181</v>
      <v>26</v>
      <v>178</v>
      <v>181</v>
      <v>27</v>
      <v>179</v>
      <v>181</v>
      <v>28</v>
      <v>29</v>
      <v>30</v>
      <v>181</v>
      <v>181</v>
      <v>179</v>
      <v>181</v>
      <v>31</v>
      <v>32</v>
      <v>33</v>
      <v>34</v>
      <v>181</v>
      <v>178</v>
      <v>181</v>
      <v>181</v>
      <v>181</v>
      <v>181</v>
      <v>181</v>
      <v>181</v>
      <v>181</v>
      <v>181</v>
      <v>181</v>
      <v>181</v>
      <v>35</v>
    </spb>
    <spb s="12">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18">
      <v>184</v>
      <v>184</v>
      <v>185</v>
      <v>184</v>
      <v>184</v>
      <v>184</v>
      <v>186</v>
      <v>184</v>
      <v>185</v>
      <v>184</v>
      <v>185</v>
      <v>184</v>
      <v>185</v>
      <v>187</v>
    </spb>
    <spb s="2">
      <v>8</v>
      <v>Name</v>
      <v>LearnMoreOnLink</v>
    </spb>
    <spb s="19">
      <v>square km</v>
      <v>2016</v>
      <v>2020</v>
      <v>2016</v>
      <v>2017-12</v>
      <v>2016</v>
      <v>2016</v>
    </spb>
    <spb s="8">
      <v>14</v>
    </spb>
    <spb s="0">
      <v xml:space="preserve">Wikipedia	</v>
      <v xml:space="preserve">CC-BY-SA	</v>
      <v xml:space="preserve">http://en.wikipedia.org/wiki/Hamilton,_Ontario	</v>
      <v xml:space="preserve">http://creativecommons.org/licenses/by-sa/3.0/	</v>
    </spb>
    <spb s="0">
      <v xml:space="preserve">Wikipedia	</v>
      <v xml:space="preserve">CC BY-SA 3.0	</v>
      <v xml:space="preserve">https://en.wikipedia.org/wiki/Hamilton,_Ontario	</v>
      <v xml:space="preserve">https://creativecommons.org/licenses/by-sa/3.0	</v>
    </spb>
    <spb s="1">
      <v>192</v>
      <v>193</v>
      <v>193</v>
      <v>193</v>
      <v>193</v>
      <v>193</v>
      <v>193</v>
      <v>193</v>
      <v>193</v>
    </spb>
    <spb s="0">
      <v xml:space="preserve">Wikipedia	</v>
      <v xml:space="preserve">CC BY-SA 3.0	</v>
      <v xml:space="preserve">https://en.wikipedia.org/wiki/Reus	</v>
      <v xml:space="preserve">https://creativecommons.org/licenses/by-sa/3.0	</v>
    </spb>
    <spb s="13">
      <v>195</v>
      <v>195</v>
      <v>195</v>
      <v>195</v>
      <v>195</v>
      <v>195</v>
      <v>195</v>
      <v>195</v>
      <v>195</v>
      <v>195</v>
    </spb>
    <spb s="7">
      <v>square km</v>
      <v>2018</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7">
      <v>21</v>
      <v>198</v>
      <v>199</v>
      <v>199</v>
      <v>24</v>
      <v>199</v>
      <v>199</v>
      <v>199</v>
      <v>200</v>
      <v>199</v>
      <v>199</v>
      <v>200</v>
      <v>199</v>
      <v>199</v>
      <v>201</v>
      <v>26</v>
      <v>198</v>
      <v>201</v>
      <v>27</v>
      <v>199</v>
      <v>201</v>
      <v>28</v>
      <v>29</v>
      <v>30</v>
      <v>201</v>
      <v>201</v>
      <v>199</v>
      <v>201</v>
      <v>31</v>
      <v>32</v>
      <v>33</v>
      <v>34</v>
      <v>201</v>
      <v>198</v>
      <v>201</v>
      <v>201</v>
      <v>201</v>
      <v>201</v>
      <v>201</v>
      <v>201</v>
      <v>201</v>
      <v>201</v>
      <v>201</v>
      <v>201</v>
      <v>35</v>
    </spb>
    <spb s="12">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
      <v>204</v>
      <v>204</v>
      <v>204</v>
      <v>204</v>
      <v>204</v>
      <v>204</v>
      <v>204</v>
      <v>204</v>
      <v>204</v>
    </spb>
    <spb s="2">
      <v>9</v>
      <v>Name</v>
      <v>LearnMoreOnLink</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7">
      <v>21</v>
      <v>207</v>
      <v>208</v>
      <v>208</v>
      <v>24</v>
      <v>208</v>
      <v>208</v>
      <v>208</v>
      <v>209</v>
      <v>208</v>
      <v>208</v>
      <v>209</v>
      <v>208</v>
      <v>208</v>
      <v>210</v>
      <v>26</v>
      <v>207</v>
      <v>210</v>
      <v>27</v>
      <v>208</v>
      <v>210</v>
      <v>28</v>
      <v>29</v>
      <v>30</v>
      <v>210</v>
      <v>210</v>
      <v>208</v>
      <v>210</v>
      <v>31</v>
      <v>32</v>
      <v>33</v>
      <v>34</v>
      <v>210</v>
      <v>207</v>
      <v>210</v>
      <v>210</v>
      <v>210</v>
      <v>210</v>
      <v>210</v>
      <v>210</v>
      <v>210</v>
      <v>210</v>
      <v>210</v>
      <v>210</v>
      <v>35</v>
    </spb>
    <spb s="12">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20">
      <v>213</v>
      <v>213</v>
      <v>213</v>
      <v>213</v>
      <v>213</v>
      <v>214</v>
      <v>213</v>
      <v>213</v>
      <v>213</v>
    </spb>
    <spb s="2">
      <v>10</v>
      <v>Name</v>
      <v>LearnMoreOnLink</v>
    </spb>
    <spb s="7">
      <v>square km</v>
      <v>2024</v>
    </spb>
    <spb s="0">
      <v xml:space="preserve">Wikipedia	</v>
      <v xml:space="preserve">CC BY-SA 3.0	</v>
      <v xml:space="preserve">https://en.wikipedia.org/wiki/Wellesley,_Massachusetts	</v>
      <v xml:space="preserve">https://creativecommons.org/licenses/by-sa/3.0	</v>
    </spb>
    <spb s="13">
      <v>218</v>
      <v>218</v>
      <v>218</v>
      <v>218</v>
      <v>218</v>
      <v>218</v>
      <v>218</v>
      <v>218</v>
      <v>218</v>
      <v>218</v>
    </spb>
    <spb s="2">
      <v>11</v>
      <v>Name</v>
      <v>LearnMoreOnLink</v>
    </spb>
    <spb s="0">
      <v xml:space="preserve">Wikipedia	</v>
      <v xml:space="preserve">CC BY-SA 3.0	</v>
      <v xml:space="preserve">https://en.wikipedia.org/wiki/Paris	</v>
      <v xml:space="preserve">https://creativecommons.org/licenses/by-sa/3.0	</v>
    </spb>
    <spb s="13">
      <v>221</v>
      <v>221</v>
      <v>221</v>
      <v>221</v>
      <v>221</v>
      <v>221</v>
      <v>221</v>
      <v>221</v>
      <v>221</v>
      <v>221</v>
    </spb>
    <spb s="7">
      <v>square km</v>
      <v>2025</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7">
      <v>21</v>
      <v>224</v>
      <v>225</v>
      <v>225</v>
      <v>24</v>
      <v>225</v>
      <v>225</v>
      <v>225</v>
      <v>226</v>
      <v>225</v>
      <v>225</v>
      <v>226</v>
      <v>225</v>
      <v>225</v>
      <v>227</v>
      <v>26</v>
      <v>224</v>
      <v>227</v>
      <v>27</v>
      <v>225</v>
      <v>227</v>
      <v>28</v>
      <v>29</v>
      <v>30</v>
      <v>227</v>
      <v>227</v>
      <v>225</v>
      <v>227</v>
      <v>31</v>
      <v>32</v>
      <v>33</v>
      <v>34</v>
      <v>227</v>
      <v>224</v>
      <v>227</v>
      <v>227</v>
      <v>227</v>
      <v>227</v>
      <v>227</v>
      <v>227</v>
      <v>227</v>
      <v>227</v>
      <v>227</v>
      <v>227</v>
      <v>35</v>
    </spb>
    <spb s="12">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https://en.wikipedia.org/wiki/Santiago	</v>
      <v xml:space="preserve">https://creativecommons.org/licenses/by-sa/3.0	</v>
    </spb>
    <spb s="13">
      <v>230</v>
      <v>230</v>
      <v>230</v>
      <v>230</v>
      <v>230</v>
      <v>230</v>
      <v>230</v>
      <v>230</v>
      <v>230</v>
      <v>230</v>
    </spb>
    <spb s="2">
      <v>12</v>
      <v>Name</v>
      <v>LearnMoreOnLink</v>
    </spb>
    <spb s="7">
      <v>square km</v>
      <v>2017</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7">
      <v>21</v>
      <v>234</v>
      <v>235</v>
      <v>235</v>
      <v>24</v>
      <v>235</v>
      <v>235</v>
      <v>235</v>
      <v>236</v>
      <v>235</v>
      <v>235</v>
      <v>236</v>
      <v>235</v>
      <v>235</v>
      <v>237</v>
      <v>26</v>
      <v>234</v>
      <v>237</v>
      <v>27</v>
      <v>235</v>
      <v>237</v>
      <v>28</v>
      <v>29</v>
      <v>30</v>
      <v>237</v>
      <v>237</v>
      <v>235</v>
      <v>237</v>
      <v>31</v>
      <v>32</v>
      <v>33</v>
      <v>34</v>
      <v>237</v>
      <v>234</v>
      <v>237</v>
      <v>237</v>
      <v>237</v>
      <v>237</v>
      <v>237</v>
      <v>237</v>
      <v>237</v>
      <v>237</v>
      <v>237</v>
      <v>237</v>
      <v>35</v>
    </spb>
    <spb s="12">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7">
      <v>21</v>
      <v>240</v>
      <v>241</v>
      <v>241</v>
      <v>24</v>
      <v>241</v>
      <v>241</v>
      <v>241</v>
      <v>242</v>
      <v>241</v>
      <v>241</v>
      <v>242</v>
      <v>241</v>
      <v>241</v>
      <v>243</v>
      <v>26</v>
      <v>240</v>
      <v>243</v>
      <v>27</v>
      <v>241</v>
      <v>243</v>
      <v>28</v>
      <v>29</v>
      <v>30</v>
      <v>243</v>
      <v>243</v>
      <v>241</v>
      <v>243</v>
      <v>31</v>
      <v>32</v>
      <v>33</v>
      <v>34</v>
      <v>243</v>
      <v>240</v>
      <v>243</v>
      <v>243</v>
      <v>243</v>
      <v>243</v>
      <v>243</v>
      <v>243</v>
      <v>243</v>
      <v>243</v>
      <v>243</v>
      <v>243</v>
      <v>35</v>
    </spb>
    <spb s="12">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v>
      <v xml:space="preserve">CC BY-SA 3.0	</v>
      <v xml:space="preserve">https://en.wikipedia.org/wiki/Poughkeepsie,_New_York	</v>
      <v xml:space="preserve">https://creativecommons.org/licenses/by-sa/3.0	</v>
    </spb>
    <spb s="13">
      <v>246</v>
      <v>246</v>
      <v>246</v>
      <v>246</v>
      <v>246</v>
      <v>246</v>
      <v>246</v>
      <v>246</v>
      <v>246</v>
      <v>246</v>
    </spb>
    <spb s="0">
      <v xml:space="preserve">Wikipedia	</v>
      <v xml:space="preserve">CC BY-SA 3.0	</v>
      <v xml:space="preserve">https://en.wikipedia.org/wiki/Barcelona	</v>
      <v xml:space="preserve">https://creativecommons.org/licenses/by-sa/3.0	</v>
    </spb>
    <spb s="1">
      <v>248</v>
      <v>248</v>
      <v>248</v>
      <v>248</v>
      <v>248</v>
      <v>248</v>
      <v>248</v>
      <v>248</v>
      <v>248</v>
    </spb>
    <spb s="0">
      <v xml:space="preserve">Wikipedia	</v>
      <v xml:space="preserve">CC BY-SA 3.0	</v>
      <v xml:space="preserve">https://en.wikipedia.org/wiki/Hanover	</v>
      <v xml:space="preserve">https://creativecommons.org/licenses/by-sa/3.0	</v>
    </spb>
    <spb s="13">
      <v>250</v>
      <v>250</v>
      <v>250</v>
      <v>250</v>
      <v>250</v>
      <v>250</v>
      <v>250</v>
      <v>250</v>
      <v>250</v>
      <v>250</v>
    </spb>
    <spb s="7">
      <v>square km</v>
      <v>2022</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7">
      <v>21</v>
      <v>253</v>
      <v>254</v>
      <v>254</v>
      <v>24</v>
      <v>254</v>
      <v>254</v>
      <v>254</v>
      <v>255</v>
      <v>254</v>
      <v>254</v>
      <v>255</v>
      <v>254</v>
      <v>254</v>
      <v>256</v>
      <v>26</v>
      <v>253</v>
      <v>256</v>
      <v>27</v>
      <v>254</v>
      <v>256</v>
      <v>28</v>
      <v>29</v>
      <v>30</v>
      <v>256</v>
      <v>256</v>
      <v>254</v>
      <v>256</v>
      <v>31</v>
      <v>32</v>
      <v>33</v>
      <v>34</v>
      <v>256</v>
      <v>253</v>
      <v>256</v>
      <v>256</v>
      <v>256</v>
      <v>256</v>
      <v>256</v>
      <v>256</v>
      <v>256</v>
      <v>256</v>
      <v>256</v>
      <v>256</v>
      <v>35</v>
    </spb>
    <spb s="12">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21">
      <v>259</v>
      <v>259</v>
      <v>260</v>
      <v>259</v>
      <v>259</v>
      <v>259</v>
      <v>261</v>
      <v>260</v>
      <v>259</v>
      <v>260</v>
    </spb>
    <spb s="2">
      <v>13</v>
      <v>Name</v>
      <v>LearnMoreOnLink</v>
    </spb>
    <spb s="22">
      <v>square km</v>
      <v>2011</v>
      <v>2022</v>
      <v>2011</v>
      <v>2011</v>
    </spb>
    <spb s="0">
      <v xml:space="preserve">Wikipedia	</v>
      <v xml:space="preserve">CC BY-SA 3.0	</v>
      <v xml:space="preserve">https://en.wikipedia.org/wiki/College_Station,_Texas	</v>
      <v xml:space="preserve">https://creativecommons.org/licenses/by-sa/3.0	</v>
    </spb>
    <spb s="13">
      <v>265</v>
      <v>265</v>
      <v>265</v>
      <v>265</v>
      <v>265</v>
      <v>265</v>
      <v>265</v>
      <v>265</v>
      <v>265</v>
      <v>265</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7">
      <v>21</v>
      <v>267</v>
      <v>268</v>
      <v>268</v>
      <v>24</v>
      <v>268</v>
      <v>268</v>
      <v>268</v>
      <v>269</v>
      <v>268</v>
      <v>268</v>
      <v>269</v>
      <v>268</v>
      <v>268</v>
      <v>270</v>
      <v>26</v>
      <v>267</v>
      <v>270</v>
      <v>27</v>
      <v>268</v>
      <v>270</v>
      <v>28</v>
      <v>29</v>
      <v>30</v>
      <v>270</v>
      <v>270</v>
      <v>268</v>
      <v>270</v>
      <v>31</v>
      <v>32</v>
      <v>33</v>
      <v>34</v>
      <v>270</v>
      <v>267</v>
      <v>270</v>
      <v>270</v>
      <v>270</v>
      <v>270</v>
      <v>270</v>
      <v>270</v>
      <v>270</v>
      <v>270</v>
      <v>270</v>
      <v>270</v>
      <v>35</v>
    </spb>
    <spb s="12">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
      <v>273</v>
      <v>273</v>
      <v>273</v>
      <v>273</v>
      <v>273</v>
      <v>273</v>
      <v>273</v>
      <v>273</v>
      <v>273</v>
    </spb>
    <spb s="2">
      <v>14</v>
      <v>Name</v>
      <v>LearnMoreOnLink</v>
    </spb>
    <spb s="0">
      <v xml:space="preserve">Wikipedia	</v>
      <v xml:space="preserve">CC BY-SA 3.0	</v>
      <v xml:space="preserve">https://en.wikipedia.org/wiki/Lewiston,_Maine	</v>
      <v xml:space="preserve">https://creativecommons.org/licenses/by-sa/3.0	</v>
    </spb>
    <spb s="13">
      <v>276</v>
      <v>276</v>
      <v>276</v>
      <v>276</v>
      <v>276</v>
      <v>276</v>
      <v>276</v>
      <v>276</v>
      <v>276</v>
      <v>276</v>
    </spb>
    <spb s="0">
      <v xml:space="preserve">Wikipedia	</v>
      <v xml:space="preserve">CC BY-SA 3.0	</v>
      <v xml:space="preserve">https://en.wikipedia.org/wiki/Montreal	</v>
      <v xml:space="preserve">https://creativecommons.org/licenses/by-sa/3.0	</v>
    </spb>
    <spb s="1">
      <v>278</v>
      <v>278</v>
      <v>278</v>
      <v>278</v>
      <v>278</v>
      <v>278</v>
      <v>278</v>
      <v>278</v>
      <v>278</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7">
      <v>21</v>
      <v>280</v>
      <v>281</v>
      <v>281</v>
      <v>24</v>
      <v>281</v>
      <v>281</v>
      <v>281</v>
      <v>282</v>
      <v>281</v>
      <v>281</v>
      <v>282</v>
      <v>281</v>
      <v>281</v>
      <v>283</v>
      <v>26</v>
      <v>280</v>
      <v>283</v>
      <v>27</v>
      <v>281</v>
      <v>283</v>
      <v>28</v>
      <v>29</v>
      <v>30</v>
      <v>283</v>
      <v>283</v>
      <v>281</v>
      <v>283</v>
      <v>31</v>
      <v>32</v>
      <v>33</v>
      <v>34</v>
      <v>283</v>
      <v>280</v>
      <v>283</v>
      <v>283</v>
      <v>283</v>
      <v>283</v>
      <v>283</v>
      <v>283</v>
      <v>283</v>
      <v>283</v>
      <v>283</v>
      <v>283</v>
      <v>35</v>
    </spb>
    <spb s="12">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v>
      <v xml:space="preserve">CC BY-SA 3.0	</v>
      <v xml:space="preserve">https://en.wikipedia.org/wiki/Ithaca,_New_York	</v>
      <v xml:space="preserve">https://creativecommons.org/licenses/by-sa/3.0	</v>
    </spb>
    <spb s="13">
      <v>286</v>
      <v>286</v>
      <v>286</v>
      <v>286</v>
      <v>286</v>
      <v>286</v>
      <v>286</v>
      <v>286</v>
      <v>286</v>
      <v>286</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3">
      <v>21</v>
      <v>288</v>
      <v>289</v>
      <v>289</v>
      <v>24</v>
      <v>289</v>
      <v>289</v>
      <v>289</v>
      <v>290</v>
      <v>289</v>
      <v>289</v>
      <v>289</v>
      <v>289</v>
      <v>291</v>
      <v>26</v>
      <v>288</v>
      <v>291</v>
      <v>27</v>
      <v>289</v>
      <v>291</v>
      <v>28</v>
      <v>29</v>
      <v>30</v>
      <v>291</v>
      <v>291</v>
      <v>289</v>
      <v>291</v>
      <v>31</v>
      <v>32</v>
      <v>33</v>
      <v>34</v>
      <v>291</v>
      <v>288</v>
      <v>291</v>
      <v>291</v>
      <v>291</v>
      <v>291</v>
      <v>291</v>
      <v>291</v>
      <v>291</v>
      <v>291</v>
      <v>291</v>
      <v>291</v>
      <v>35</v>
    </spb>
    <spb s="2">
      <v>15</v>
      <v>Name</v>
      <v>LearnMoreOnLink</v>
    </spb>
    <spb s="12">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3">
      <v>21</v>
      <v>295</v>
      <v>296</v>
      <v>296</v>
      <v>24</v>
      <v>296</v>
      <v>296</v>
      <v>296</v>
      <v>297</v>
      <v>296</v>
      <v>296</v>
      <v>296</v>
      <v>296</v>
      <v>298</v>
      <v>26</v>
      <v>295</v>
      <v>298</v>
      <v>27</v>
      <v>296</v>
      <v>298</v>
      <v>28</v>
      <v>29</v>
      <v>30</v>
      <v>298</v>
      <v>298</v>
      <v>296</v>
      <v>298</v>
      <v>31</v>
      <v>32</v>
      <v>33</v>
      <v>34</v>
      <v>298</v>
      <v>295</v>
      <v>298</v>
      <v>298</v>
      <v>298</v>
      <v>298</v>
      <v>298</v>
      <v>298</v>
      <v>298</v>
      <v>298</v>
      <v>298</v>
      <v>298</v>
      <v>35</v>
    </spb>
    <spb s="12">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
      <v>301</v>
      <v>301</v>
      <v>301</v>
      <v>301</v>
      <v>301</v>
      <v>301</v>
      <v>301</v>
      <v>301</v>
      <v>301</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3">
      <v>21</v>
      <v>303</v>
      <v>304</v>
      <v>304</v>
      <v>24</v>
      <v>304</v>
      <v>304</v>
      <v>304</v>
      <v>305</v>
      <v>304</v>
      <v>304</v>
      <v>304</v>
      <v>304</v>
      <v>306</v>
      <v>26</v>
      <v>303</v>
      <v>306</v>
      <v>27</v>
      <v>304</v>
      <v>306</v>
      <v>28</v>
      <v>29</v>
      <v>30</v>
      <v>306</v>
      <v>306</v>
      <v>304</v>
      <v>306</v>
      <v>31</v>
      <v>32</v>
      <v>33</v>
      <v>34</v>
      <v>306</v>
      <v>303</v>
      <v>306</v>
      <v>306</v>
      <v>306</v>
      <v>306</v>
      <v>306</v>
      <v>306</v>
      <v>306</v>
      <v>306</v>
      <v>306</v>
      <v>306</v>
      <v>35</v>
    </spb>
    <spb s="0">
      <v xml:space="preserve">Wikipedia	Wikipedia	</v>
      <v xml:space="preserve">CC-BY-SA	CC-BY-SA	</v>
      <v xml:space="preserve">http://en.wikipedia.org/wiki/Williamstown,_Massachusetts	http://de.wikipedia.org/wiki/Williamstown_(Massachusetts)	</v>
      <v xml:space="preserve">http://creativecommons.org/licenses/by-sa/3.0/	http://creativecommons.org/licenses/by-sa/3.0/	</v>
    </spb>
    <spb s="0">
      <v xml:space="preserve">Wikipedia	</v>
      <v xml:space="preserve">CC BY-SA 3.0	</v>
      <v xml:space="preserve">https://en.wikipedia.org/wiki/Williamstown,_Massachusetts	</v>
      <v xml:space="preserve">https://creativecommons.org/licenses/by-sa/3.0	</v>
    </spb>
    <spb s="13">
      <v>308</v>
      <v>309</v>
      <v>309</v>
      <v>309</v>
      <v>309</v>
      <v>309</v>
      <v>309</v>
      <v>309</v>
      <v>309</v>
      <v>309</v>
    </spb>
    <spb s="0">
      <v xml:space="preserve">Wikipedia	</v>
      <v xml:space="preserve">CC BY-SA 3.0	</v>
      <v xml:space="preserve">https://en.wikipedia.org/wiki/Portland,_Oregon	</v>
      <v xml:space="preserve">https://creativecommons.org/licenses/by-sa/3.0	</v>
    </spb>
    <spb s="13">
      <v>311</v>
      <v>311</v>
      <v>311</v>
      <v>311</v>
      <v>311</v>
      <v>311</v>
      <v>311</v>
      <v>311</v>
      <v>311</v>
      <v>311</v>
    </spb>
    <spb s="0">
      <v xml:space="preserve">Wikipedia	</v>
      <v xml:space="preserve">CC BY-SA 3.0	</v>
      <v xml:space="preserve">https://en.wikipedia.org/wiki/Indianapolis	</v>
      <v xml:space="preserve">https://creativecommons.org/licenses/by-sa/3.0	</v>
    </spb>
    <spb s="13">
      <v>313</v>
      <v>313</v>
      <v>313</v>
      <v>313</v>
      <v>313</v>
      <v>313</v>
      <v>313</v>
      <v>313</v>
      <v>313</v>
      <v>313</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7">
      <v>21</v>
      <v>315</v>
      <v>316</v>
      <v>316</v>
      <v>24</v>
      <v>316</v>
      <v>316</v>
      <v>316</v>
      <v>317</v>
      <v>316</v>
      <v>316</v>
      <v>317</v>
      <v>316</v>
      <v>316</v>
      <v>318</v>
      <v>26</v>
      <v>315</v>
      <v>318</v>
      <v>27</v>
      <v>316</v>
      <v>318</v>
      <v>28</v>
      <v>29</v>
      <v>30</v>
      <v>318</v>
      <v>318</v>
      <v>316</v>
      <v>318</v>
      <v>31</v>
      <v>32</v>
      <v>33</v>
      <v>34</v>
      <v>318</v>
      <v>315</v>
      <v>318</v>
      <v>318</v>
      <v>318</v>
      <v>318</v>
      <v>318</v>
      <v>318</v>
      <v>318</v>
      <v>318</v>
      <v>318</v>
      <v>318</v>
      <v>35</v>
    </spb>
    <spb s="12">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v>
      <v xml:space="preserve">CC BY-SA 3.0	</v>
      <v xml:space="preserve">https://en.wikipedia.org/wiki/Pittsburgh	</v>
      <v xml:space="preserve">https://creativecommons.org/licenses/by-sa/3.0	</v>
    </spb>
    <spb s="13">
      <v>321</v>
      <v>321</v>
      <v>321</v>
      <v>321</v>
      <v>321</v>
      <v>321</v>
      <v>321</v>
      <v>321</v>
      <v>321</v>
      <v>321</v>
    </spb>
    <spb s="0">
      <v xml:space="preserve">Wikipedia	Cia	travel.state.gov	</v>
      <v xml:space="preserve">CC-BY-SA			</v>
      <v xml:space="preserve">http://en.wikipedia.org/wiki/Uruguay	https://www.cia.gov/library/publications/the-world-factbook/geos/uy.html?Transportation	https://travel.state.gov/content/travel/en/international-travel/International-Travel-Country-Information-Pages/Uruguay.html	</v>
      <v xml:space="preserve">http://creativecommons.org/licenses/by-sa/3.0/			</v>
    </spb>
    <spb s="0">
      <v xml:space="preserve">Wikipedia	</v>
      <v xml:space="preserve">CC BY-SA 3.0	</v>
      <v xml:space="preserve">https://en.wikipedia.org/wiki/Uruguay	</v>
      <v xml:space="preserve">https://creativecommons.org/licenses/by-sa/3.0	</v>
    </spb>
    <spb s="0">
      <v xml:space="preserve">Wikipedia	</v>
      <v xml:space="preserve">CC-BY-SA	</v>
      <v xml:space="preserve">http://en.wikipedia.org/wiki/Uruguay	</v>
      <v xml:space="preserve">http://creativecommons.org/licenses/by-sa/3.0/	</v>
    </spb>
    <spb s="0">
      <v xml:space="preserve">Cia	</v>
      <v xml:space="preserve">	</v>
      <v xml:space="preserve">https://www.cia.gov/library/publications/the-world-factbook/geos/uy.html?Transportation	</v>
      <v xml:space="preserve">	</v>
    </spb>
    <spb s="17">
      <v>21</v>
      <v>323</v>
      <v>324</v>
      <v>324</v>
      <v>24</v>
      <v>324</v>
      <v>324</v>
      <v>324</v>
      <v>325</v>
      <v>324</v>
      <v>324</v>
      <v>325</v>
      <v>324</v>
      <v>324</v>
      <v>326</v>
      <v>26</v>
      <v>323</v>
      <v>326</v>
      <v>27</v>
      <v>324</v>
      <v>326</v>
      <v>28</v>
      <v>29</v>
      <v>30</v>
      <v>326</v>
      <v>326</v>
      <v>324</v>
      <v>326</v>
      <v>31</v>
      <v>32</v>
      <v>33</v>
      <v>34</v>
      <v>326</v>
      <v>323</v>
      <v>326</v>
      <v>326</v>
      <v>326</v>
      <v>326</v>
      <v>326</v>
      <v>326</v>
      <v>326</v>
      <v>326</v>
      <v>326</v>
      <v>326</v>
      <v>35</v>
    </spb>
    <spb s="12">
      <v>2019</v>
      <v>2019</v>
      <v>square km</v>
      <v>per thousand (2018)</v>
      <v>2022</v>
      <v>2019</v>
      <v>2018</v>
      <v>per liter (2016)</v>
      <v>2019</v>
      <v>years (2018)</v>
      <v>2018</v>
      <v>per thousand (2018)</v>
      <v>2019</v>
      <v>2017</v>
      <v>2016</v>
      <v>2019</v>
      <v>2016</v>
      <v>2017</v>
      <v>kilotons per year (2016)</v>
      <v>deaths per 100,000 (2017)</v>
      <v>kWh (2014)</v>
      <v>2014</v>
      <v>1996</v>
      <v>2018</v>
      <v>2018</v>
      <v>2018</v>
      <v>2018</v>
      <v>2018</v>
      <v>2015</v>
      <v>2018</v>
      <v>2018</v>
      <v>2017</v>
      <v>2017</v>
      <v>2019</v>
    </spb>
    <spb s="0">
      <v xml:space="preserve">Wikipedia	</v>
      <v xml:space="preserve">CC BY-SA 3.0	</v>
      <v xml:space="preserve">https://en.wikipedia.org/wiki/Grinnell,_Iowa	</v>
      <v xml:space="preserve">https://creativecommons.org/licenses/by-sa/3.0	</v>
    </spb>
    <spb s="13">
      <v>329</v>
      <v>329</v>
      <v>329</v>
      <v>329</v>
      <v>329</v>
      <v>329</v>
      <v>329</v>
      <v>329</v>
      <v>329</v>
      <v>329</v>
    </spb>
    <spb s="0">
      <v xml:space="preserve">Wikipedia	</v>
      <v xml:space="preserve">CC BY-SA 3.0	</v>
      <v xml:space="preserve">https://en.wikipedia.org/wiki/Waterville,_Maine	</v>
      <v xml:space="preserve">https://creativecommons.org/licenses/by-sa/3.0	</v>
    </spb>
    <spb s="13">
      <v>331</v>
      <v>331</v>
      <v>331</v>
      <v>331</v>
      <v>331</v>
      <v>331</v>
      <v>331</v>
      <v>331</v>
      <v>331</v>
      <v>331</v>
    </spb>
    <spb s="0">
      <v xml:space="preserve">Wikipedia	</v>
      <v xml:space="preserve">CC BY-SA 3.0	</v>
      <v xml:space="preserve">https://en.wikipedia.org/wiki/Miane	</v>
      <v xml:space="preserve">https://creativecommons.org/licenses/by-sa/3.0	</v>
    </spb>
    <spb s="1">
      <v>333</v>
      <v>333</v>
      <v>333</v>
      <v>333</v>
      <v>333</v>
      <v>333</v>
      <v>333</v>
      <v>333</v>
      <v>333</v>
    </spb>
    <spb s="2">
      <v>16</v>
      <v>Name</v>
      <v>LearnMoreOnLink</v>
    </spb>
    <spb s="24">
      <v>1</v>
    </spb>
    <spb s="0">
      <v xml:space="preserve">Wikipedia	</v>
      <v xml:space="preserve">CC BY-SA 3.0	</v>
      <v xml:space="preserve">https://en.wikipedia.org/wiki/Getafe	</v>
      <v xml:space="preserve">https://creativecommons.org/licenses/by-sa/3.0	</v>
    </spb>
    <spb s="1">
      <v>337</v>
      <v>337</v>
      <v>337</v>
      <v>337</v>
      <v>337</v>
      <v>337</v>
      <v>337</v>
      <v>337</v>
      <v>337</v>
    </spb>
    <spb s="0">
      <v xml:space="preserve">Wikipedia	</v>
      <v xml:space="preserve">CC BY-SA 3.0	</v>
      <v xml:space="preserve">https://en.wikipedia.org/wiki/Toulouse	</v>
      <v xml:space="preserve">https://creativecommons.org/licenses/by-sa/3.0	</v>
    </spb>
    <spb s="13">
      <v>339</v>
      <v>339</v>
      <v>339</v>
      <v>339</v>
      <v>339</v>
      <v>339</v>
      <v>339</v>
      <v>339</v>
      <v>339</v>
      <v>339</v>
    </spb>
    <spb s="0">
      <v xml:space="preserve">Wikipedia	Cia	travel.state.gov	</v>
      <v xml:space="preserve">CC-BY-SA			</v>
      <v xml:space="preserve">http://en.wikipedia.org/wiki/Singapore	https://www.cia.gov/library/publications/the-world-factbook/geos/sn.html?Transportation	https://travel.state.gov/content/travel/en/international-travel/International-Travel-Country-Information-Pages/Singapore.html	</v>
      <v xml:space="preserve">http://creativecommons.org/licenses/by-sa/3.0/			</v>
    </spb>
    <spb s="0">
      <v xml:space="preserve">Wikipedia	</v>
      <v xml:space="preserve">CC BY-SA 3.0	</v>
      <v xml:space="preserve">https://en.wikipedia.org/wiki/Singapore	</v>
      <v xml:space="preserve">https://creativecommons.org/licenses/by-sa/3.0	</v>
    </spb>
    <spb s="0">
      <v xml:space="preserve">Wikipedia	</v>
      <v xml:space="preserve">CC-BY-SA	</v>
      <v xml:space="preserve">http://en.wikipedia.org/wiki/Singapore	</v>
      <v xml:space="preserve">http://creativecommons.org/licenses/by-sa/3.0/	</v>
    </spb>
    <spb s="0">
      <v xml:space="preserve">Cia	</v>
      <v xml:space="preserve">	</v>
      <v xml:space="preserve">https://www.cia.gov/library/publications/the-world-factbook/geos/sn.html?Transportation	</v>
      <v xml:space="preserve">	</v>
    </spb>
    <spb s="25">
      <v>21</v>
      <v>341</v>
      <v>342</v>
      <v>342</v>
      <v>24</v>
      <v>342</v>
      <v>342</v>
      <v>342</v>
      <v>343</v>
      <v>342</v>
      <v>342</v>
      <v>342</v>
      <v>344</v>
      <v>26</v>
      <v>341</v>
      <v>344</v>
      <v>27</v>
      <v>342</v>
      <v>344</v>
      <v>28</v>
      <v>29</v>
      <v>30</v>
      <v>344</v>
      <v>344</v>
      <v>342</v>
      <v>344</v>
      <v>31</v>
      <v>32</v>
      <v>33</v>
      <v>34</v>
      <v>344</v>
      <v>341</v>
      <v>344</v>
      <v>344</v>
      <v>344</v>
      <v>35</v>
    </spb>
    <spb s="2">
      <v>17</v>
      <v>Name</v>
      <v>LearnMoreOnLink</v>
    </spb>
    <spb s="26">
      <v>2019</v>
      <v>2019</v>
      <v>square km</v>
      <v>per thousand (2018)</v>
      <v>2022</v>
      <v>2019</v>
      <v>2018</v>
      <v>per liter (2016)</v>
      <v>2019</v>
      <v>years (2018)</v>
      <v>2018</v>
      <v>per thousand (2018)</v>
      <v>2019</v>
      <v>2017</v>
      <v>2016</v>
      <v>2019</v>
      <v>2016</v>
      <v>2016</v>
      <v>kilotons per year (2016)</v>
      <v>deaths per 100,000 (2017)</v>
      <v>kWh (2014)</v>
      <v>2014</v>
      <v>2019</v>
      <v>2015</v>
      <v>2017</v>
      <v>2017</v>
      <v>2019</v>
    </spb>
    <spb s="0">
      <v xml:space="preserve">Wikipedia	</v>
      <v xml:space="preserve">CC-BY-SA	</v>
      <v xml:space="preserve">http://en.wikipedia.org/wiki/Dublin	</v>
      <v xml:space="preserve">http://creativecommons.org/licenses/by-sa/3.0/	</v>
    </spb>
    <spb s="0">
      <v xml:space="preserve">Wikipedia	</v>
      <v xml:space="preserve">CC BY-SA 3.0	</v>
      <v xml:space="preserve">https://en.wikipedia.org/wiki/Dublin	</v>
      <v xml:space="preserve">https://creativecommons.org/licenses/by-sa/3.0	</v>
    </spb>
    <spb s="27">
      <v>348</v>
      <v>349</v>
      <v>349</v>
      <v>349</v>
      <v>349</v>
      <v>349</v>
      <v>349</v>
      <v>349</v>
    </spb>
    <spb s="2">
      <v>18</v>
      <v>Name</v>
      <v>LearnMoreOnLink</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3">
      <v>21</v>
      <v>352</v>
      <v>353</v>
      <v>353</v>
      <v>24</v>
      <v>353</v>
      <v>353</v>
      <v>353</v>
      <v>354</v>
      <v>353</v>
      <v>353</v>
      <v>353</v>
      <v>353</v>
      <v>355</v>
      <v>26</v>
      <v>352</v>
      <v>355</v>
      <v>27</v>
      <v>353</v>
      <v>355</v>
      <v>28</v>
      <v>29</v>
      <v>30</v>
      <v>355</v>
      <v>355</v>
      <v>353</v>
      <v>355</v>
      <v>31</v>
      <v>32</v>
      <v>33</v>
      <v>34</v>
      <v>355</v>
      <v>352</v>
      <v>355</v>
      <v>355</v>
      <v>355</v>
      <v>355</v>
      <v>355</v>
      <v>355</v>
      <v>355</v>
      <v>355</v>
      <v>355</v>
      <v>355</v>
      <v>35</v>
    </spb>
    <spb s="12">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7">
      <v>21</v>
      <v>358</v>
      <v>359</v>
      <v>359</v>
      <v>24</v>
      <v>359</v>
      <v>359</v>
      <v>359</v>
      <v>360</v>
      <v>359</v>
      <v>359</v>
      <v>360</v>
      <v>359</v>
      <v>359</v>
      <v>361</v>
      <v>26</v>
      <v>358</v>
      <v>361</v>
      <v>27</v>
      <v>359</v>
      <v>361</v>
      <v>28</v>
      <v>29</v>
      <v>30</v>
      <v>361</v>
      <v>361</v>
      <v>359</v>
      <v>361</v>
      <v>31</v>
      <v>32</v>
      <v>33</v>
      <v>34</v>
      <v>361</v>
      <v>358</v>
      <v>361</v>
      <v>361</v>
      <v>361</v>
      <v>361</v>
      <v>361</v>
      <v>361</v>
      <v>361</v>
      <v>361</v>
      <v>361</v>
      <v>361</v>
      <v>35</v>
    </spb>
    <spb s="12">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3">
      <v>364</v>
      <v>364</v>
      <v>364</v>
      <v>364</v>
      <v>364</v>
      <v>364</v>
      <v>364</v>
      <v>364</v>
      <v>364</v>
      <v>364</v>
    </spb>
    <spb s="0">
      <v xml:space="preserve">Wikipedia	</v>
      <v xml:space="preserve">CC-BY-SA	</v>
      <v xml:space="preserve">http://en.wikipedia.org/wiki/University_Park,_Pennsylvania	</v>
      <v xml:space="preserve">http://creativecommons.org/licenses/by-sa/3.0/	</v>
    </spb>
    <spb s="0">
      <v xml:space="preserve">Wikipedia	Facebook	</v>
      <v xml:space="preserve">CC-BY-SA		</v>
      <v xml:space="preserve">http://en.wikipedia.org/wiki/University_Park,_Pennsylvania	https://www.facebook.com/The-Pennsylvania-State-University-at-University-Park-200958759935051	</v>
      <v xml:space="preserve">http://creativecommons.org/licenses/by-sa/3.0/		</v>
    </spb>
    <spb s="0">
      <v xml:space="preserve">Wikipedia	</v>
      <v xml:space="preserve">CC BY-SA 3.0	</v>
      <v xml:space="preserve">https://wikipedia.org	</v>
      <v xml:space="preserve">https://creativecommons.org/licenses/by-sa/3.0	</v>
    </spb>
    <spb s="28">
      <v>366</v>
      <v>367</v>
      <v>368</v>
      <v>368</v>
      <v>367</v>
      <v>366</v>
      <v>368</v>
      <v>368</v>
      <v>368</v>
    </spb>
    <spb s="2">
      <v>19</v>
      <v>Name</v>
      <v>LearnMoreOnLink</v>
    </spb>
    <spb s="29">
      <v>0</v>
      <v>0</v>
    </spb>
    <spb s="30">
      <v>3</v>
      <v>3</v>
      <v>371</v>
      <v>3</v>
    </spb>
    <spb s="31">
      <v>1</v>
      <v>15</v>
    </spb>
    <spb s="32">
      <v>square km</v>
    </spb>
    <spb s="0">
      <v xml:space="preserve">Wikipedia	</v>
      <v xml:space="preserve">CC BY-SA 3.0	</v>
      <v xml:space="preserve">https://en.wikipedia.org/wiki/Cascais	</v>
      <v xml:space="preserve">https://creativecommons.org/licenses/by-sa/3.0	</v>
    </spb>
    <spb s="33">
      <v>375</v>
      <v>375</v>
      <v>375</v>
      <v>375</v>
      <v>375</v>
      <v>375</v>
      <v>375</v>
    </spb>
    <spb s="2">
      <v>20</v>
      <v>Name</v>
      <v>LearnMoreOnLink</v>
    </spb>
    <spb s="7">
      <v>square km</v>
      <v>2011</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7">
      <v>21</v>
      <v>379</v>
      <v>380</v>
      <v>380</v>
      <v>24</v>
      <v>380</v>
      <v>380</v>
      <v>380</v>
      <v>381</v>
      <v>380</v>
      <v>380</v>
      <v>381</v>
      <v>380</v>
      <v>380</v>
      <v>382</v>
      <v>26</v>
      <v>379</v>
      <v>382</v>
      <v>27</v>
      <v>380</v>
      <v>382</v>
      <v>28</v>
      <v>29</v>
      <v>30</v>
      <v>382</v>
      <v>382</v>
      <v>380</v>
      <v>382</v>
      <v>31</v>
      <v>32</v>
      <v>33</v>
      <v>34</v>
      <v>382</v>
      <v>379</v>
      <v>382</v>
      <v>382</v>
      <v>382</v>
      <v>382</v>
      <v>382</v>
      <v>382</v>
      <v>382</v>
      <v>382</v>
      <v>382</v>
      <v>382</v>
      <v>35</v>
    </spb>
    <spb s="12">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3">
      <v>21</v>
      <v>385</v>
      <v>386</v>
      <v>386</v>
      <v>24</v>
      <v>386</v>
      <v>386</v>
      <v>386</v>
      <v>387</v>
      <v>386</v>
      <v>386</v>
      <v>386</v>
      <v>386</v>
      <v>388</v>
      <v>26</v>
      <v>385</v>
      <v>388</v>
      <v>27</v>
      <v>386</v>
      <v>388</v>
      <v>28</v>
      <v>29</v>
      <v>30</v>
      <v>388</v>
      <v>388</v>
      <v>386</v>
      <v>388</v>
      <v>31</v>
      <v>32</v>
      <v>33</v>
      <v>34</v>
      <v>388</v>
      <v>385</v>
      <v>388</v>
      <v>388</v>
      <v>388</v>
      <v>388</v>
      <v>388</v>
      <v>388</v>
      <v>388</v>
      <v>388</v>
      <v>388</v>
      <v>388</v>
      <v>35</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3">
      <v>21</v>
      <v>390</v>
      <v>391</v>
      <v>391</v>
      <v>24</v>
      <v>391</v>
      <v>391</v>
      <v>391</v>
      <v>392</v>
      <v>391</v>
      <v>391</v>
      <v>391</v>
      <v>391</v>
      <v>393</v>
      <v>26</v>
      <v>390</v>
      <v>393</v>
      <v>27</v>
      <v>391</v>
      <v>393</v>
      <v>28</v>
      <v>29</v>
      <v>30</v>
      <v>393</v>
      <v>393</v>
      <v>391</v>
      <v>393</v>
      <v>31</v>
      <v>32</v>
      <v>33</v>
      <v>34</v>
      <v>393</v>
      <v>390</v>
      <v>393</v>
      <v>393</v>
      <v>393</v>
      <v>393</v>
      <v>393</v>
      <v>393</v>
      <v>393</v>
      <v>393</v>
      <v>393</v>
      <v>393</v>
      <v>35</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7">
      <v>21</v>
      <v>395</v>
      <v>396</v>
      <v>396</v>
      <v>24</v>
      <v>396</v>
      <v>396</v>
      <v>396</v>
      <v>397</v>
      <v>396</v>
      <v>396</v>
      <v>397</v>
      <v>396</v>
      <v>396</v>
      <v>398</v>
      <v>26</v>
      <v>395</v>
      <v>398</v>
      <v>27</v>
      <v>396</v>
      <v>398</v>
      <v>28</v>
      <v>29</v>
      <v>30</v>
      <v>398</v>
      <v>398</v>
      <v>396</v>
      <v>398</v>
      <v>31</v>
      <v>32</v>
      <v>33</v>
      <v>34</v>
      <v>398</v>
      <v>395</v>
      <v>398</v>
      <v>398</v>
      <v>398</v>
      <v>398</v>
      <v>398</v>
      <v>398</v>
      <v>398</v>
      <v>398</v>
      <v>398</v>
      <v>398</v>
      <v>35</v>
    </spb>
    <spb s="12">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http://en.wikipedia.org/wiki/Austria	https://www.cia.gov/library/publications/the-world-factbook/geos/au.html?Transportation	https://travel.state.gov/content/travel/en/international-travel/International-Travel-Country-Information-Pages/Austria.html	</v>
      <v xml:space="preserve">http://creativecommons.org/licenses/by-sa/3.0/			</v>
    </spb>
    <spb s="0">
      <v xml:space="preserve">Wikipedia	</v>
      <v xml:space="preserve">CC BY-SA 3.0	</v>
      <v xml:space="preserve">https://en.wikipedia.org/wiki/Austria	</v>
      <v xml:space="preserve">https://creativecommons.org/licenses/by-sa/3.0	</v>
    </spb>
    <spb s="0">
      <v xml:space="preserve">Wikipedia	</v>
      <v xml:space="preserve">CC-BY-SA	</v>
      <v xml:space="preserve">http://en.wikipedia.org/wiki/Austria	</v>
      <v xml:space="preserve">http://creativecommons.org/licenses/by-sa/3.0/	</v>
    </spb>
    <spb s="0">
      <v xml:space="preserve">Cia	</v>
      <v xml:space="preserve">	</v>
      <v xml:space="preserve">https://www.cia.gov/library/publications/the-world-factbook/geos/au.html?Transportation	</v>
      <v xml:space="preserve">	</v>
    </spb>
    <spb s="23">
      <v>21</v>
      <v>401</v>
      <v>402</v>
      <v>402</v>
      <v>24</v>
      <v>402</v>
      <v>402</v>
      <v>402</v>
      <v>403</v>
      <v>402</v>
      <v>402</v>
      <v>402</v>
      <v>402</v>
      <v>404</v>
      <v>26</v>
      <v>401</v>
      <v>404</v>
      <v>27</v>
      <v>402</v>
      <v>404</v>
      <v>28</v>
      <v>29</v>
      <v>30</v>
      <v>404</v>
      <v>404</v>
      <v>402</v>
      <v>404</v>
      <v>31</v>
      <v>32</v>
      <v>33</v>
      <v>34</v>
      <v>404</v>
      <v>401</v>
      <v>404</v>
      <v>404</v>
      <v>404</v>
      <v>404</v>
      <v>404</v>
      <v>404</v>
      <v>404</v>
      <v>404</v>
      <v>404</v>
      <v>404</v>
      <v>35</v>
    </spb>
    <spb s="0">
      <v xml:space="preserve">Wikipedia	</v>
      <v xml:space="preserve">CC BY-SA 3.0	</v>
      <v xml:space="preserve">https://en.wikipedia.org/wiki/Vienna	</v>
      <v xml:space="preserve">https://creativecommons.org/licenses/by-sa/3.0	</v>
    </spb>
    <spb s="0">
      <v xml:space="preserve">Wikipedia	</v>
      <v xml:space="preserve">CC-BY-SA	</v>
      <v xml:space="preserve">http://en.wikipedia.org/wiki/Vienna	</v>
      <v xml:space="preserve">http://creativecommons.org/licenses/by-sa/3.0/	</v>
    </spb>
    <spb s="34">
      <v>406</v>
      <v>406</v>
      <v>406</v>
      <v>406</v>
      <v>406</v>
      <v>407</v>
      <v>406</v>
    </spb>
    <spb s="2">
      <v>21</v>
      <v>Name</v>
      <v>LearnMoreOnLink</v>
    </spb>
    <spb s="0">
      <v xml:space="preserve">Wikipedia	Cia	travel.state.gov	</v>
      <v xml:space="preserve">CC-BY-SA			</v>
      <v xml:space="preserve">http://en.wikipedia.org/wiki/Russia	https://www.cia.gov/library/publications/the-world-factbook/geos/rs.html?Transportation	https://travel.state.gov/content/travel/en/international-travel/International-Travel-Country-Information-Pages/RussianFederation.html	</v>
      <v xml:space="preserve">http://creativecommons.org/licenses/by-sa/3.0/			</v>
    </spb>
    <spb s="0">
      <v xml:space="preserve">Wikipedia	</v>
      <v xml:space="preserve">CC BY-SA 3.0	</v>
      <v xml:space="preserve">https://en.wikipedia.org/wiki/Russia	</v>
      <v xml:space="preserve">https://creativecommons.org/licenses/by-sa/3.0	</v>
    </spb>
    <spb s="0">
      <v xml:space="preserve">Wikipedia	</v>
      <v xml:space="preserve">CC-BY-SA	</v>
      <v xml:space="preserve">http://en.wikipedia.org/wiki/Russia	</v>
      <v xml:space="preserve">http://creativecommons.org/licenses/by-sa/3.0/	</v>
    </spb>
    <spb s="0">
      <v xml:space="preserve">Cia	</v>
      <v xml:space="preserve">	</v>
      <v xml:space="preserve">https://www.cia.gov/library/publications/the-world-factbook/geos/rs.html?Transportation	</v>
      <v xml:space="preserve">	</v>
    </spb>
    <spb s="17">
      <v>21</v>
      <v>410</v>
      <v>411</v>
      <v>411</v>
      <v>24</v>
      <v>411</v>
      <v>411</v>
      <v>411</v>
      <v>412</v>
      <v>411</v>
      <v>411</v>
      <v>412</v>
      <v>411</v>
      <v>411</v>
      <v>413</v>
      <v>26</v>
      <v>410</v>
      <v>413</v>
      <v>27</v>
      <v>411</v>
      <v>413</v>
      <v>28</v>
      <v>29</v>
      <v>30</v>
      <v>413</v>
      <v>413</v>
      <v>411</v>
      <v>413</v>
      <v>31</v>
      <v>32</v>
      <v>33</v>
      <v>34</v>
      <v>413</v>
      <v>410</v>
      <v>413</v>
      <v>413</v>
      <v>413</v>
      <v>413</v>
      <v>413</v>
      <v>413</v>
      <v>413</v>
      <v>413</v>
      <v>413</v>
      <v>413</v>
      <v>35</v>
    </spb>
    <spb s="12">
      <v>2019</v>
      <v>2019</v>
      <v>square km</v>
      <v>per thousand (2018)</v>
      <v>2022</v>
      <v>2019</v>
      <v>2018</v>
      <v>per liter (2016)</v>
      <v>2019</v>
      <v>years (2018)</v>
      <v>2018</v>
      <v>per thousand (2018)</v>
      <v>2019</v>
      <v>2017</v>
      <v>2016</v>
      <v>2019</v>
      <v>2016</v>
      <v>2016</v>
      <v>kilotons per year (2016)</v>
      <v>deaths per 100,000 (2017)</v>
      <v>kWh (2014)</v>
      <v>2014</v>
      <v>2018</v>
      <v>2018</v>
      <v>2018</v>
      <v>2018</v>
      <v>2018</v>
      <v>2018</v>
      <v>2015</v>
      <v>2018</v>
      <v>2018</v>
      <v>2017</v>
      <v>2017</v>
      <v>2019</v>
    </spb>
    <spb s="0">
      <v xml:space="preserve">Wikipedia	</v>
      <v xml:space="preserve">CC BY-SA 3.0	</v>
      <v xml:space="preserve">https://en.wikipedia.org/wiki/Providence,_Rhode_Island	</v>
      <v xml:space="preserve">https://creativecommons.org/licenses/by-sa/3.0	</v>
    </spb>
    <spb s="13">
      <v>416</v>
      <v>416</v>
      <v>416</v>
      <v>416</v>
      <v>416</v>
      <v>416</v>
      <v>416</v>
      <v>416</v>
      <v>416</v>
      <v>416</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3">
      <v>21</v>
      <v>418</v>
      <v>419</v>
      <v>419</v>
      <v>24</v>
      <v>419</v>
      <v>419</v>
      <v>419</v>
      <v>420</v>
      <v>419</v>
      <v>419</v>
      <v>419</v>
      <v>419</v>
      <v>421</v>
      <v>26</v>
      <v>418</v>
      <v>421</v>
      <v>27</v>
      <v>419</v>
      <v>421</v>
      <v>28</v>
      <v>29</v>
      <v>30</v>
      <v>421</v>
      <v>421</v>
      <v>419</v>
      <v>421</v>
      <v>31</v>
      <v>32</v>
      <v>33</v>
      <v>34</v>
      <v>421</v>
      <v>418</v>
      <v>421</v>
      <v>421</v>
      <v>421</v>
      <v>421</v>
      <v>421</v>
      <v>421</v>
      <v>421</v>
      <v>421</v>
      <v>421</v>
      <v>421</v>
      <v>35</v>
    </spb>
    <spb s="12">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v>
      <v xml:space="preserve">CC BY-SA 3.0	</v>
      <v xml:space="preserve">https://en.wikipedia.org/wiki/Brussels	</v>
      <v xml:space="preserve">https://creativecommons.org/licenses/by-sa/3.0	</v>
    </spb>
    <spb s="27">
      <v>424</v>
      <v>424</v>
      <v>424</v>
      <v>424</v>
      <v>424</v>
      <v>424</v>
      <v>424</v>
      <v>424</v>
    </spb>
    <spb s="0">
      <v xml:space="preserve">Wikipedia	Cia	travel.state.gov	</v>
      <v xml:space="preserve">CC-BY-SA			</v>
      <v xml:space="preserve">http://en.wikipedia.org/wiki/Belgium	https://www.cia.gov/library/publications/the-world-factbook/geos/be.html?Transportation	https://travel.state.gov/content/travel/en/international-travel/International-Travel-Country-Information-Pages/Belgium.html	</v>
      <v xml:space="preserve">http://creativecommons.org/licenses/by-sa/3.0/			</v>
    </spb>
    <spb s="0">
      <v xml:space="preserve">Wikipedia	</v>
      <v xml:space="preserve">CC BY-SA 3.0	</v>
      <v xml:space="preserve">https://en.wikipedia.org/wiki/Belgium	</v>
      <v xml:space="preserve">https://creativecommons.org/licenses/by-sa/3.0	</v>
    </spb>
    <spb s="0">
      <v xml:space="preserve">Wikipedia	</v>
      <v xml:space="preserve">CC-BY-SA	</v>
      <v xml:space="preserve">http://en.wikipedia.org/wiki/Belgium	</v>
      <v xml:space="preserve">http://creativecommons.org/licenses/by-sa/3.0/	</v>
    </spb>
    <spb s="0">
      <v xml:space="preserve">Cia	</v>
      <v xml:space="preserve">	</v>
      <v xml:space="preserve">https://www.cia.gov/library/publications/the-world-factbook/geos/be.html?Transportation	</v>
      <v xml:space="preserve">	</v>
    </spb>
    <spb s="17">
      <v>21</v>
      <v>426</v>
      <v>427</v>
      <v>427</v>
      <v>24</v>
      <v>427</v>
      <v>427</v>
      <v>427</v>
      <v>428</v>
      <v>427</v>
      <v>427</v>
      <v>428</v>
      <v>427</v>
      <v>427</v>
      <v>429</v>
      <v>26</v>
      <v>426</v>
      <v>429</v>
      <v>27</v>
      <v>427</v>
      <v>429</v>
      <v>28</v>
      <v>29</v>
      <v>30</v>
      <v>429</v>
      <v>429</v>
      <v>427</v>
      <v>429</v>
      <v>31</v>
      <v>32</v>
      <v>33</v>
      <v>34</v>
      <v>429</v>
      <v>426</v>
      <v>429</v>
      <v>429</v>
      <v>429</v>
      <v>429</v>
      <v>429</v>
      <v>429</v>
      <v>429</v>
      <v>429</v>
      <v>429</v>
      <v>429</v>
      <v>35</v>
    </spb>
    <spb s="0">
      <v xml:space="preserve">Wikipedia	</v>
      <v xml:space="preserve">CC BY-SA 3.0	</v>
      <v xml:space="preserve">https://en.wikipedia.org/wiki/Miami	</v>
      <v xml:space="preserve">https://creativecommons.org/licenses/by-sa/3.0	</v>
    </spb>
    <spb s="13">
      <v>431</v>
      <v>431</v>
      <v>431</v>
      <v>431</v>
      <v>431</v>
      <v>431</v>
      <v>431</v>
      <v>431</v>
      <v>431</v>
      <v>431</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7">
      <v>21</v>
      <v>433</v>
      <v>434</v>
      <v>434</v>
      <v>24</v>
      <v>434</v>
      <v>434</v>
      <v>434</v>
      <v>435</v>
      <v>434</v>
      <v>434</v>
      <v>435</v>
      <v>434</v>
      <v>434</v>
      <v>436</v>
      <v>26</v>
      <v>437</v>
      <v>436</v>
      <v>27</v>
      <v>434</v>
      <v>436</v>
      <v>28</v>
      <v>29</v>
      <v>30</v>
      <v>436</v>
      <v>436</v>
      <v>434</v>
      <v>436</v>
      <v>31</v>
      <v>32</v>
      <v>33</v>
      <v>34</v>
      <v>436</v>
      <v>437</v>
      <v>436</v>
      <v>436</v>
      <v>436</v>
      <v>436</v>
      <v>436</v>
      <v>436</v>
      <v>436</v>
      <v>436</v>
      <v>436</v>
      <v>436</v>
      <v>35</v>
    </spb>
    <spb s="12">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7">
      <v>21</v>
      <v>440</v>
      <v>441</v>
      <v>441</v>
      <v>24</v>
      <v>441</v>
      <v>441</v>
      <v>441</v>
      <v>442</v>
      <v>441</v>
      <v>441</v>
      <v>442</v>
      <v>441</v>
      <v>441</v>
      <v>443</v>
      <v>26</v>
      <v>440</v>
      <v>443</v>
      <v>27</v>
      <v>441</v>
      <v>443</v>
      <v>28</v>
      <v>29</v>
      <v>30</v>
      <v>443</v>
      <v>443</v>
      <v>441</v>
      <v>443</v>
      <v>31</v>
      <v>32</v>
      <v>33</v>
      <v>34</v>
      <v>443</v>
      <v>440</v>
      <v>443</v>
      <v>443</v>
      <v>443</v>
      <v>443</v>
      <v>443</v>
      <v>443</v>
      <v>443</v>
      <v>443</v>
      <v>443</v>
      <v>443</v>
      <v>35</v>
    </spb>
    <spb s="12">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34">
      <v>446</v>
      <v>446</v>
      <v>446</v>
      <v>446</v>
      <v>446</v>
      <v>447</v>
      <v>446</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7">
      <v>21</v>
      <v>449</v>
      <v>450</v>
      <v>450</v>
      <v>24</v>
      <v>450</v>
      <v>450</v>
      <v>450</v>
      <v>451</v>
      <v>450</v>
      <v>450</v>
      <v>451</v>
      <v>450</v>
      <v>450</v>
      <v>452</v>
      <v>26</v>
      <v>449</v>
      <v>452</v>
      <v>27</v>
      <v>450</v>
      <v>452</v>
      <v>28</v>
      <v>29</v>
      <v>30</v>
      <v>452</v>
      <v>452</v>
      <v>450</v>
      <v>452</v>
      <v>31</v>
      <v>32</v>
      <v>33</v>
      <v>34</v>
      <v>452</v>
      <v>449</v>
      <v>452</v>
      <v>452</v>
      <v>452</v>
      <v>452</v>
      <v>452</v>
      <v>452</v>
      <v>452</v>
      <v>452</v>
      <v>452</v>
      <v>452</v>
      <v>35</v>
    </spb>
    <spb s="12">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 s="0">
      <v xml:space="preserve">Wikipedia	Cia	travel.state.gov	</v>
      <v xml:space="preserve">CC-BY-SA			</v>
      <v xml:space="preserve">http://en.wikipedia.org/wiki/Turkey	https://www.cia.gov/library/publications/the-world-factbook/geos/tu.html?Transportation	https://travel.state.gov/content/travel/en/international-travel/International-Travel-Country-Information-Pages/Turkey.html	</v>
      <v xml:space="preserve">http://creativecommons.org/licenses/by-sa/3.0/			</v>
    </spb>
    <spb s="0">
      <v xml:space="preserve">Wikipedia	</v>
      <v xml:space="preserve">CC BY-SA 3.0	</v>
      <v xml:space="preserve">https://en.wikipedia.org/wiki/Turkey	</v>
      <v xml:space="preserve">https://creativecommons.org/licenses/by-sa/3.0	</v>
    </spb>
    <spb s="0">
      <v xml:space="preserve">Wikipedia	</v>
      <v xml:space="preserve">CC-BY-SA	</v>
      <v xml:space="preserve">http://en.wikipedia.org/wiki/Turkey	</v>
      <v xml:space="preserve">http://creativecommons.org/licenses/by-sa/3.0/	</v>
    </spb>
    <spb s="0">
      <v xml:space="preserve">Cia	</v>
      <v xml:space="preserve">	</v>
      <v xml:space="preserve">https://www.cia.gov/library/publications/the-world-factbook/geos/tu.html?Transportation	</v>
      <v xml:space="preserve">	</v>
    </spb>
    <spb s="17">
      <v>21</v>
      <v>455</v>
      <v>456</v>
      <v>456</v>
      <v>24</v>
      <v>456</v>
      <v>456</v>
      <v>456</v>
      <v>457</v>
      <v>456</v>
      <v>456</v>
      <v>457</v>
      <v>456</v>
      <v>456</v>
      <v>458</v>
      <v>26</v>
      <v>455</v>
      <v>458</v>
      <v>27</v>
      <v>456</v>
      <v>458</v>
      <v>28</v>
      <v>29</v>
      <v>30</v>
      <v>458</v>
      <v>458</v>
      <v>456</v>
      <v>458</v>
      <v>31</v>
      <v>32</v>
      <v>33</v>
      <v>34</v>
      <v>458</v>
      <v>455</v>
      <v>458</v>
      <v>458</v>
      <v>458</v>
      <v>458</v>
      <v>458</v>
      <v>458</v>
      <v>458</v>
      <v>458</v>
      <v>458</v>
      <v>458</v>
      <v>35</v>
    </spb>
    <spb s="12">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1999</v>
      <v>2019</v>
    </spb>
    <spb s="0">
      <v xml:space="preserve">Wikipedia	Cia	travel.state.gov	</v>
      <v xml:space="preserve">CC-BY-SA			</v>
      <v xml:space="preserve">http://en.wikipedia.org/wiki/Czech_Republic	https://www.cia.gov/library/publications/the-world-factbook/geos/ez.html?Transportation	https://travel.state.gov/content/travel/en/international-travel/International-Travel-Country-Information-Pages/CzechRepublic.html	</v>
      <v xml:space="preserve">http://creativecommons.org/licenses/by-sa/3.0/			</v>
    </spb>
    <spb s="0">
      <v xml:space="preserve">Wikipedia	</v>
      <v xml:space="preserve">CC BY-SA 3.0	</v>
      <v xml:space="preserve">https://en.wikipedia.org/wiki/Czech_Republic	</v>
      <v xml:space="preserve">https://creativecommons.org/licenses/by-sa/3.0	</v>
    </spb>
    <spb s="0">
      <v xml:space="preserve">Wikipedia	</v>
      <v xml:space="preserve">CC-BY-SA	</v>
      <v xml:space="preserve">http://en.wikipedia.org/wiki/Czech_Republic	</v>
      <v xml:space="preserve">http://creativecommons.org/licenses/by-sa/3.0/	</v>
    </spb>
    <spb s="0">
      <v xml:space="preserve">Cia	</v>
      <v xml:space="preserve">	</v>
      <v xml:space="preserve">https://www.cia.gov/library/publications/the-world-factbook/geos/ez.html?Transportation	</v>
      <v xml:space="preserve">	</v>
    </spb>
    <spb s="17">
      <v>21</v>
      <v>461</v>
      <v>462</v>
      <v>462</v>
      <v>24</v>
      <v>462</v>
      <v>462</v>
      <v>462</v>
      <v>463</v>
      <v>462</v>
      <v>462</v>
      <v>463</v>
      <v>462</v>
      <v>462</v>
      <v>464</v>
      <v>26</v>
      <v>461</v>
      <v>464</v>
      <v>27</v>
      <v>462</v>
      <v>464</v>
      <v>28</v>
      <v>29</v>
      <v>30</v>
      <v>464</v>
      <v>464</v>
      <v>462</v>
      <v>464</v>
      <v>31</v>
      <v>32</v>
      <v>33</v>
      <v>34</v>
      <v>464</v>
      <v>461</v>
      <v>464</v>
      <v>464</v>
      <v>464</v>
      <v>464</v>
      <v>464</v>
      <v>464</v>
      <v>464</v>
      <v>464</v>
      <v>464</v>
      <v>464</v>
      <v>35</v>
    </spb>
    <spb s="12">
      <v>2019</v>
      <v>2019</v>
      <v>square km</v>
      <v>per thousand (2018)</v>
      <v>2022</v>
      <v>2019</v>
      <v>2018</v>
      <v>per liter (2016)</v>
      <v>2019</v>
      <v>years (2018)</v>
      <v>2018</v>
      <v>per thousand (2018)</v>
      <v>2019</v>
      <v>2017</v>
      <v>2016</v>
      <v>2019</v>
      <v>2016</v>
      <v>2018</v>
      <v>kilotons per year (2016)</v>
      <v>deaths per 100,000 (2017)</v>
      <v>kWh (2014)</v>
      <v>2015</v>
      <v>2008</v>
      <v>2017</v>
      <v>2017</v>
      <v>2017</v>
      <v>2017</v>
      <v>2017</v>
      <v>2015</v>
      <v>2017</v>
      <v>2017</v>
      <v>2017</v>
      <v>2017</v>
      <v>2019</v>
    </spb>
    <spb s="0">
      <v xml:space="preserve">Wikipedia	</v>
      <v xml:space="preserve">CC BY-SA 3.0	</v>
      <v xml:space="preserve">https://en.wikipedia.org/wiki/Baltimore	</v>
      <v xml:space="preserve">https://creativecommons.org/licenses/by-sa/3.0	</v>
    </spb>
    <spb s="1">
      <v>467</v>
      <v>467</v>
      <v>467</v>
      <v>467</v>
      <v>467</v>
      <v>467</v>
      <v>467</v>
      <v>467</v>
      <v>467</v>
    </spb>
  </spbData>
</supportingPropertyBags>
</file>

<file path=xl/richData/rdsupportingpropertybagstructure.xml><?xml version="1.0" encoding="utf-8"?>
<spbStructures xmlns="http://schemas.microsoft.com/office/spreadsheetml/2017/richdata2" count="35">
  <s>
    <k n="SourceText" t="s"/>
    <k n="LicenseText" t="s"/>
    <k n="SourceAddress" t="s"/>
    <k n="LicenseAddress" t="s"/>
  </s>
  <s>
    <k n="Area" t="spb"/>
    <k n="Name" t="spb"/>
    <k n="Latitude" t="spb"/>
    <k n="Longitude" t="spb"/>
    <k n="Population" t="spb"/>
    <k n="UniqueName" t="spb"/>
    <k n="Description" t="spb"/>
    <k n="Country/region" t="spb"/>
    <k n="Admin Division 1 (State/province/other)" t="spb"/>
  </s>
  <s>
    <k n="^Order" t="spba"/>
    <k n="TitleProperty" t="s"/>
    <k n="SubTitleProperty" t="s"/>
  </s>
  <s>
    <k n="ShowInCardView" t="b"/>
    <k n="ShowInDotNotation" t="b"/>
    <k n="ShowInAutoComplete" t="b"/>
  </s>
  <s>
    <k n="UniqueName" t="spb"/>
    <k n="VDPID/VSID" t="spb"/>
    <k n="LearnMoreOnLink" t="spb"/>
  </s>
  <s>
    <k n="Name" t="i"/>
    <k n="Image" t="i"/>
  </s>
  <s>
    <k n="link" t="s"/>
    <k n="logo" t="s"/>
    <k n="name" t="s"/>
  </s>
  <s>
    <k n="Area" t="s"/>
    <k n="Population" t="s"/>
  </s>
  <s>
    <k n="_Self" t="i"/>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Latitude" t="spb"/>
    <k n="Longitude" t="spb"/>
    <k n="Population" t="spb"/>
    <k n="UniqueName" t="spb"/>
    <k n="Description" t="spb"/>
    <k n="Country/region" t="spb"/>
    <k n="Admin Division 1 (State/province/other)" t="spb"/>
    <k n="Admin Division 2 (County/district/other)" t="spb"/>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Name" t="i"/>
  </s>
  <s>
    <k n="CPI" t="spb"/>
    <k n="GDP" t="spb"/>
    <k n="Area" t="spb"/>
    <k n="Name" t="spb"/>
    <k n="Birth rate" t="spb"/>
    <k n="Population" t="spb"/>
    <k n="UniqueName" t="spb"/>
    <k n="Description" t="spb"/>
    <k n="Abbreviation" t="spb"/>
    <k n="Calling cod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Out of pocket health expenditure (%)" t="s"/>
    <k n="Gross primary education enrollment (%)" t="s"/>
    <k n="Gross tertiary education enrollment (%)" t="s"/>
    <k n="Population: Labor force participation (%)" t="s"/>
  </s>
  <s>
    <k n="Area" t="spb"/>
    <k n="Name" t="spb"/>
    <k n="Latitude" t="spb"/>
    <k n="Longitude" t="spb"/>
    <k n="Population" t="spb"/>
    <k n="UniqueName" t="spb"/>
    <k n="Description" t="spb"/>
    <k n="Country/region" t="spb"/>
  </s>
  <s>
    <k n="Area" t="spb"/>
    <k n="Name" t="spb"/>
    <k n="Latitude" t="spb"/>
    <k n="Longitude" t="spb"/>
    <k n="UniqueName" t="spb"/>
    <k n="Description" t="spb"/>
    <k n="Country/region" t="spb"/>
    <k n="Admin Division 1 (State/province/other)" t="spb"/>
    <k n="Admin Division 2 (County/district/other)" t="spb"/>
  </s>
  <s>
    <k n="ShowInDotNotation" t="b"/>
    <k n="ShowInAutoComplete" t="b"/>
  </s>
  <s>
    <k n="UniqueName" t="spb"/>
    <k n="VDPID/VSID" t="spb"/>
    <k n="Description" t="spb"/>
    <k n="LearnMoreOnLink" t="spb"/>
  </s>
  <s>
    <k n="Name" t="i"/>
    <k n="Description" t="i"/>
  </s>
  <s>
    <k n="Area" t="s"/>
  </s>
  <s>
    <k n="Area" t="spb"/>
    <k n="Name" t="spb"/>
    <k n="Population" t="spb"/>
    <k n="UniqueName" t="spb"/>
    <k n="Description" t="spb"/>
    <k n="Country/region" t="spb"/>
    <k n="Admin Division 1 (State/province/other)" t="spb"/>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Pr n="RequiresInlineAttribution" t="b"/>
  </richProperties>
  <richStyles>
    <rSty>
      <rpv i="0">1</rpv>
    </rSty>
    <rSty>
      <rpv i="1">1</rpv>
    </rSty>
    <rSty dxfid="0">
      <rpv i="2">#,##0</rpv>
    </rSty>
    <rSty dxfid="1">
      <rpv i="2">0.0000</rpv>
    </rSty>
    <rSty dxfid="1">
      <rpv i="2">_([$$-en-US]* #,##0_);_([$$-en-US]* (#,##0);_([$$-en-US]* "-"_);_(@_)</rpv>
    </rSty>
    <rSty dxfid="3">
      <rpv i="2">0.00</rpv>
    </rSty>
    <rSty dxfid="2">
      <rpv i="2">0.0%</rpv>
    </rSty>
    <rSty dxfid="4"/>
    <rSty dxfid="6">
      <rpv i="2">0</rpv>
    </rSty>
    <rSty dxfid="5">
      <rpv i="2">#,##0.00</rpv>
    </rSty>
    <rSty dxfid="1">
      <rpv i="2">0.0</rpv>
    </rSty>
    <rSty dxfid="1">
      <rpv i="2">_([$$-en-US]* #,##0.00_);_([$$-en-US]* (#,##0.00);_([$$-en-US]* "-"??_);_(@_)</rpv>
    </rSty>
    <rSty dxfid="2"/>
    <rSty dxfid="1">
      <rpv i="2">_([$$-en-CA]* #,##0_);_([$$-en-CA]* (#,##0);_([$$-en-CA]* "-"_);_(@_)</rpv>
    </rSty>
    <rSty>
      <rpv i="3">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89" Type="http://schemas.openxmlformats.org/officeDocument/2006/relationships/hyperlink" Target="https://jobs.wisc.edu/jobs/assistant-professor-in-agricultural-and-applied-economics-madison-wisconsin-united-states" TargetMode="External"/><Relationship Id="rId16" Type="http://schemas.openxmlformats.org/officeDocument/2006/relationships/hyperlink" Target="https://www.babson.edu/"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5" Type="http://schemas.openxmlformats.org/officeDocument/2006/relationships/hyperlink" Target="https://www.williams.edu/" TargetMode="External"/><Relationship Id="rId90" Type="http://schemas.openxmlformats.org/officeDocument/2006/relationships/hyperlink" Target="https://employmentopportunities.umb.edu/boston/en-us/job/527945/assistant-professor-economics" TargetMode="External"/><Relationship Id="rId95" Type="http://schemas.openxmlformats.org/officeDocument/2006/relationships/hyperlink" Target="https://www.wu.ac.at/karriere/jobportal/jobs/auf-post-doc-level"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3" Type="http://schemas.openxmlformats.org/officeDocument/2006/relationships/hyperlink" Target="file:///\\Users\jjgecon\Library\Containers\com.microsoft.Excel\Data\Library\Application%20Support\Microsoft\University%20of%20Sydney"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25" Type="http://schemas.openxmlformats.org/officeDocument/2006/relationships/hyperlink" Target="https://www.grinnell.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46" Type="http://schemas.openxmlformats.org/officeDocument/2006/relationships/hyperlink" Target="https://www.colgate.edu/academics/departments-programs/department-economics" TargetMode="External"/><Relationship Id="rId59" Type="http://schemas.openxmlformats.org/officeDocument/2006/relationships/hyperlink" Target="https://www.ucdavis.edu/" TargetMode="External"/><Relationship Id="rId67" Type="http://schemas.openxmlformats.org/officeDocument/2006/relationships/hyperlink" Target="https://www.unibo.it/it"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54" Type="http://schemas.openxmlformats.org/officeDocument/2006/relationships/hyperlink" Target="https://www.uab.cat/en/" TargetMode="External"/><Relationship Id="rId62" Type="http://schemas.openxmlformats.org/officeDocument/2006/relationships/hyperlink" Target="https://www.uu.nl/en/organisation/about-us/mission-and-visio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83" Type="http://schemas.openxmlformats.org/officeDocument/2006/relationships/hyperlink" Target="mailto:ivanpaya@ua.es" TargetMode="External"/><Relationship Id="rId88" Type="http://schemas.openxmlformats.org/officeDocument/2006/relationships/hyperlink" Target="https://gobierno.uc.cl/noticias/call-for-applications-2-full-time-academic-positions-preference-for-assistant-professor-level/" TargetMode="External"/><Relationship Id="rId91" Type="http://schemas.openxmlformats.org/officeDocument/2006/relationships/hyperlink" Target="https://utah.peopleadmin.com/postings/188619" TargetMode="External"/><Relationship Id="rId96" Type="http://schemas.openxmlformats.org/officeDocument/2006/relationships/hyperlink" Target="mailto:dulbea@ulb.be"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15" Type="http://schemas.openxmlformats.org/officeDocument/2006/relationships/hyperlink" Target="https://www.babson.edu/"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36" Type="http://schemas.openxmlformats.org/officeDocument/2006/relationships/hyperlink" Target="mailto:ferran.mane@urv.cat" TargetMode="External"/><Relationship Id="rId49" Type="http://schemas.openxmlformats.org/officeDocument/2006/relationships/hyperlink" Target="https://associatecareers-analysisgroup.icims.com/jobs/2760/associate---generalist---montreal---toronto-%282026-start-date%29/job" TargetMode="External"/><Relationship Id="rId57" Type="http://schemas.openxmlformats.org/officeDocument/2006/relationships/hyperlink" Target="https://www.ucl.ac.uk/"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94" Type="http://schemas.openxmlformats.org/officeDocument/2006/relationships/hyperlink" Target="https://elliottash.com/" TargetMode="External"/><Relationship Id="rId99" Type="http://schemas.openxmlformats.org/officeDocument/2006/relationships/hyperlink" Target="https://apply.interfolio.com/176044"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97" Type="http://schemas.openxmlformats.org/officeDocument/2006/relationships/hyperlink" Target="mailto:ondrej.krcal@econ.muni.cz"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92" Type="http://schemas.openxmlformats.org/officeDocument/2006/relationships/hyperlink" Target="https://erecruit.umsystem.edu/psc/tamext/COLUM/HRMS/c/HRS_HRAM_FL.HRS_CG_SEARCH_FL.GBL?Page=HRS_APP_SCHJOB_FL&amp;Action=U"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87" Type="http://schemas.openxmlformats.org/officeDocument/2006/relationships/hyperlink" Target="https://airtable.com/appXAkqceBTdmqmoL/pagkrGoMDVnPvz2vD/form"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56" Type="http://schemas.openxmlformats.org/officeDocument/2006/relationships/hyperlink" Target="https://academicjobsonline.org/ajo/jobs/30626" TargetMode="External"/><Relationship Id="rId77" Type="http://schemas.openxmlformats.org/officeDocument/2006/relationships/hyperlink" Target="https://www.hiroshima-u.ac.jp/en/idec/about/goal" TargetMode="External"/><Relationship Id="rId100" Type="http://schemas.openxmlformats.org/officeDocument/2006/relationships/printerSettings" Target="../printerSettings/printerSettings1.bin"/><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93" Type="http://schemas.openxmlformats.org/officeDocument/2006/relationships/hyperlink" Target="https://jobs.dayforcehcm.com/en-US/cna/CANDIDATEPORTAL/jobs/6202" TargetMode="External"/><Relationship Id="rId98" Type="http://schemas.openxmlformats.org/officeDocument/2006/relationships/hyperlink" Target="https://www.ovgu.de/unimagdeburg/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V247"/>
  <sheetViews>
    <sheetView tabSelected="1" topLeftCell="M1" zoomScale="136" zoomScaleNormal="140" workbookViewId="0">
      <pane ySplit="1" topLeftCell="A199" activePane="bottomLeft" state="frozen"/>
      <selection pane="bottomLeft" activeCell="O208" sqref="O208"/>
    </sheetView>
  </sheetViews>
  <sheetFormatPr defaultColWidth="10.6640625" defaultRowHeight="16" x14ac:dyDescent="0.4"/>
  <cols>
    <col min="1" max="1" width="19.6640625" customWidth="1"/>
    <col min="2" max="2" width="3.83203125" customWidth="1"/>
    <col min="3" max="3" width="19.6640625" customWidth="1"/>
    <col min="4" max="4" width="19.33203125" customWidth="1"/>
    <col min="5" max="5" width="14.5" customWidth="1"/>
    <col min="6" max="6" width="18.1640625" customWidth="1"/>
    <col min="7" max="7" width="15.83203125" customWidth="1"/>
    <col min="8" max="8" width="19.33203125" customWidth="1"/>
    <col min="9" max="12" width="18.33203125" customWidth="1"/>
    <col min="13" max="13" width="37.33203125" customWidth="1"/>
    <col min="14" max="17" width="19.5" customWidth="1"/>
    <col min="18" max="18" width="19.33203125" customWidth="1"/>
    <col min="19" max="19" width="18.1640625" customWidth="1"/>
    <col min="20" max="20" width="23.5" bestFit="1" customWidth="1"/>
    <col min="21" max="21" width="13.33203125" bestFit="1" customWidth="1"/>
    <col min="22" max="22" width="13" bestFit="1" customWidth="1"/>
  </cols>
  <sheetData>
    <row r="1" spans="1:22" s="3" customFormat="1" ht="21" x14ac:dyDescent="0.5">
      <c r="A1" s="3" t="s">
        <v>0</v>
      </c>
      <c r="B1" s="3" t="s">
        <v>702</v>
      </c>
      <c r="C1" s="3" t="s">
        <v>275</v>
      </c>
      <c r="D1" s="3" t="s">
        <v>9</v>
      </c>
      <c r="E1" s="3" t="s">
        <v>14</v>
      </c>
      <c r="F1" s="3" t="s">
        <v>2</v>
      </c>
      <c r="G1" s="3" t="s">
        <v>28</v>
      </c>
      <c r="H1" s="3" t="s">
        <v>114</v>
      </c>
      <c r="I1" s="3" t="s">
        <v>1</v>
      </c>
      <c r="J1" s="3" t="s">
        <v>237</v>
      </c>
      <c r="K1" s="3" t="s">
        <v>243</v>
      </c>
      <c r="L1" s="3" t="s">
        <v>337</v>
      </c>
      <c r="M1" s="3" t="s">
        <v>3</v>
      </c>
      <c r="N1" s="3" t="s">
        <v>8</v>
      </c>
      <c r="O1" s="3" t="s">
        <v>10</v>
      </c>
      <c r="P1" s="3" t="s">
        <v>12</v>
      </c>
      <c r="Q1" s="3" t="s">
        <v>775</v>
      </c>
      <c r="R1" s="3" t="s">
        <v>113</v>
      </c>
      <c r="S1" s="3" t="s">
        <v>42</v>
      </c>
      <c r="T1" s="3" t="s">
        <v>20</v>
      </c>
      <c r="U1" s="3" t="s">
        <v>21</v>
      </c>
      <c r="V1" s="3" t="s">
        <v>22</v>
      </c>
    </row>
    <row r="2" spans="1:22" x14ac:dyDescent="0.4">
      <c r="A2" t="s">
        <v>148</v>
      </c>
      <c r="D2" s="1">
        <v>45902</v>
      </c>
      <c r="E2" t="s">
        <v>40</v>
      </c>
      <c r="F2" t="s">
        <v>149</v>
      </c>
      <c r="G2">
        <v>1</v>
      </c>
      <c r="I2" t="s">
        <v>128</v>
      </c>
      <c r="J2" t="s">
        <v>402</v>
      </c>
      <c r="M2" t="s">
        <v>147</v>
      </c>
      <c r="N2" t="e" vm="1">
        <v>#VALUE!</v>
      </c>
      <c r="O2" t="s">
        <v>11</v>
      </c>
      <c r="Q2" t="s">
        <v>776</v>
      </c>
      <c r="R2" s="1">
        <v>45902</v>
      </c>
      <c r="T2">
        <v>1</v>
      </c>
      <c r="U2">
        <v>0</v>
      </c>
      <c r="V2">
        <v>1</v>
      </c>
    </row>
    <row r="3" spans="1:22" x14ac:dyDescent="0.4">
      <c r="A3" t="s">
        <v>7</v>
      </c>
      <c r="D3" s="1">
        <v>45931</v>
      </c>
      <c r="E3" t="s">
        <v>15</v>
      </c>
      <c r="F3" t="s">
        <v>15</v>
      </c>
      <c r="H3" s="1"/>
      <c r="I3" t="s">
        <v>96</v>
      </c>
      <c r="J3" t="s">
        <v>402</v>
      </c>
      <c r="M3" s="2" t="s">
        <v>13</v>
      </c>
      <c r="N3" t="e" vm="2">
        <v>#VALUE!</v>
      </c>
      <c r="O3" t="s">
        <v>11</v>
      </c>
      <c r="P3" t="s">
        <v>18</v>
      </c>
      <c r="Q3" t="s">
        <v>776</v>
      </c>
      <c r="R3" s="1">
        <v>45931</v>
      </c>
      <c r="T3">
        <v>1</v>
      </c>
      <c r="U3">
        <v>1</v>
      </c>
      <c r="V3">
        <v>1</v>
      </c>
    </row>
    <row r="4" spans="1:22" x14ac:dyDescent="0.4">
      <c r="A4" t="s">
        <v>17</v>
      </c>
      <c r="D4" s="1">
        <v>45931</v>
      </c>
      <c r="E4" t="s">
        <v>15</v>
      </c>
      <c r="F4" t="s">
        <v>15</v>
      </c>
      <c r="H4" s="1"/>
      <c r="I4" t="s">
        <v>96</v>
      </c>
      <c r="J4" t="s">
        <v>402</v>
      </c>
      <c r="M4" s="2" t="s">
        <v>16</v>
      </c>
      <c r="N4" t="e" vm="3">
        <v>#VALUE!</v>
      </c>
      <c r="O4" t="s">
        <v>11</v>
      </c>
      <c r="P4" t="s">
        <v>18</v>
      </c>
      <c r="Q4" t="s">
        <v>776</v>
      </c>
      <c r="R4" s="1">
        <v>45931</v>
      </c>
      <c r="T4">
        <v>1</v>
      </c>
      <c r="U4">
        <v>1</v>
      </c>
      <c r="V4">
        <v>1</v>
      </c>
    </row>
    <row r="5" spans="1:22" x14ac:dyDescent="0.4">
      <c r="A5" t="s">
        <v>52</v>
      </c>
      <c r="D5" s="1">
        <v>45931</v>
      </c>
      <c r="E5" t="s">
        <v>53</v>
      </c>
      <c r="H5" s="1"/>
      <c r="I5" t="s">
        <v>152</v>
      </c>
      <c r="J5" t="s">
        <v>402</v>
      </c>
      <c r="M5" s="2" t="s">
        <v>49</v>
      </c>
      <c r="N5" t="e" vm="4">
        <v>#VALUE!</v>
      </c>
      <c r="O5" t="s">
        <v>11</v>
      </c>
      <c r="Q5" t="s">
        <v>776</v>
      </c>
      <c r="R5" s="1">
        <v>45931</v>
      </c>
      <c r="T5">
        <v>1</v>
      </c>
      <c r="U5">
        <v>0</v>
      </c>
      <c r="V5">
        <v>1</v>
      </c>
    </row>
    <row r="6" spans="1:22" x14ac:dyDescent="0.4">
      <c r="A6" t="s">
        <v>48</v>
      </c>
      <c r="D6" s="1">
        <v>45931</v>
      </c>
      <c r="E6" s="2" t="s">
        <v>51</v>
      </c>
      <c r="H6" s="1"/>
      <c r="I6" t="s">
        <v>96</v>
      </c>
      <c r="J6" t="s">
        <v>402</v>
      </c>
      <c r="M6" s="2" t="s">
        <v>49</v>
      </c>
      <c r="N6" t="e" vm="4">
        <v>#VALUE!</v>
      </c>
      <c r="O6" t="s">
        <v>11</v>
      </c>
      <c r="P6" t="s">
        <v>50</v>
      </c>
      <c r="Q6" t="s">
        <v>776</v>
      </c>
      <c r="R6" s="1">
        <v>45931</v>
      </c>
      <c r="T6">
        <v>1</v>
      </c>
      <c r="U6">
        <v>0</v>
      </c>
      <c r="V6">
        <v>1</v>
      </c>
    </row>
    <row r="7" spans="1:22" x14ac:dyDescent="0.4">
      <c r="A7" s="4" t="s">
        <v>77</v>
      </c>
      <c r="D7" s="1">
        <v>45940</v>
      </c>
      <c r="E7" t="s">
        <v>15</v>
      </c>
      <c r="G7">
        <v>1</v>
      </c>
      <c r="H7" s="7" t="s">
        <v>127</v>
      </c>
      <c r="I7" t="s">
        <v>96</v>
      </c>
      <c r="J7" t="s">
        <v>402</v>
      </c>
      <c r="K7" t="s">
        <v>309</v>
      </c>
      <c r="L7" s="1">
        <v>45976</v>
      </c>
      <c r="M7" s="2" t="s">
        <v>78</v>
      </c>
      <c r="N7" t="e" vm="5">
        <v>#VALUE!</v>
      </c>
      <c r="O7" t="s">
        <v>11</v>
      </c>
      <c r="Q7" t="s">
        <v>776</v>
      </c>
      <c r="R7" s="1">
        <v>45940</v>
      </c>
      <c r="T7">
        <v>1</v>
      </c>
      <c r="U7">
        <v>0</v>
      </c>
      <c r="V7">
        <v>0</v>
      </c>
    </row>
    <row r="8" spans="1:22" x14ac:dyDescent="0.4">
      <c r="A8" t="s">
        <v>38</v>
      </c>
      <c r="D8" s="1">
        <v>45940</v>
      </c>
      <c r="E8" t="s">
        <v>40</v>
      </c>
      <c r="F8" t="s">
        <v>41</v>
      </c>
      <c r="G8">
        <v>1</v>
      </c>
      <c r="H8" s="1"/>
      <c r="I8" t="s">
        <v>152</v>
      </c>
      <c r="J8" t="s">
        <v>402</v>
      </c>
      <c r="M8" s="2" t="s">
        <v>39</v>
      </c>
      <c r="N8" t="e" vm="6">
        <v>#VALUE!</v>
      </c>
      <c r="O8" t="s">
        <v>11</v>
      </c>
      <c r="P8" t="s">
        <v>18</v>
      </c>
      <c r="Q8" t="s">
        <v>776</v>
      </c>
      <c r="R8" s="1">
        <v>45940</v>
      </c>
      <c r="S8" s="2" t="s">
        <v>43</v>
      </c>
      <c r="T8">
        <v>1</v>
      </c>
      <c r="U8">
        <v>1</v>
      </c>
      <c r="V8">
        <v>1</v>
      </c>
    </row>
    <row r="9" spans="1:22" x14ac:dyDescent="0.4">
      <c r="A9" t="s">
        <v>63</v>
      </c>
      <c r="D9" s="1">
        <v>45940</v>
      </c>
      <c r="E9" s="2" t="s">
        <v>65</v>
      </c>
      <c r="H9" s="1"/>
      <c r="I9" t="s">
        <v>96</v>
      </c>
      <c r="J9" t="s">
        <v>402</v>
      </c>
      <c r="M9" s="2" t="s">
        <v>60</v>
      </c>
      <c r="N9" t="e" vm="7">
        <v>#VALUE!</v>
      </c>
      <c r="O9" t="s">
        <v>11</v>
      </c>
      <c r="P9" t="s">
        <v>64</v>
      </c>
      <c r="Q9" t="s">
        <v>776</v>
      </c>
      <c r="R9" s="1">
        <v>45940</v>
      </c>
      <c r="T9">
        <v>1</v>
      </c>
      <c r="U9">
        <v>1</v>
      </c>
      <c r="V9">
        <v>1</v>
      </c>
    </row>
    <row r="10" spans="1:22" x14ac:dyDescent="0.4">
      <c r="A10" t="s">
        <v>59</v>
      </c>
      <c r="D10" s="1">
        <v>45940</v>
      </c>
      <c r="E10" t="s">
        <v>62</v>
      </c>
      <c r="H10" s="1"/>
      <c r="I10" t="s">
        <v>152</v>
      </c>
      <c r="J10" t="s">
        <v>402</v>
      </c>
      <c r="M10" s="2" t="s">
        <v>60</v>
      </c>
      <c r="N10" t="e" vm="7">
        <v>#VALUE!</v>
      </c>
      <c r="O10" t="s">
        <v>61</v>
      </c>
      <c r="Q10" t="s">
        <v>776</v>
      </c>
      <c r="R10" s="1">
        <v>45940</v>
      </c>
      <c r="T10">
        <v>1</v>
      </c>
      <c r="U10">
        <v>0</v>
      </c>
      <c r="V10">
        <v>1</v>
      </c>
    </row>
    <row r="11" spans="1:22" x14ac:dyDescent="0.4">
      <c r="A11" t="s">
        <v>541</v>
      </c>
      <c r="D11" s="1">
        <v>45945</v>
      </c>
      <c r="E11" t="s">
        <v>540</v>
      </c>
      <c r="I11" t="s">
        <v>96</v>
      </c>
      <c r="J11" t="s">
        <v>402</v>
      </c>
      <c r="M11" s="17" t="s">
        <v>539</v>
      </c>
      <c r="N11" t="e" vm="8">
        <v>#VALUE!</v>
      </c>
      <c r="O11" t="s">
        <v>11</v>
      </c>
      <c r="Q11" t="s">
        <v>776</v>
      </c>
      <c r="R11" s="1">
        <v>45945</v>
      </c>
      <c r="T11">
        <v>1</v>
      </c>
      <c r="U11">
        <v>1</v>
      </c>
      <c r="V11">
        <v>1</v>
      </c>
    </row>
    <row r="12" spans="1:22" x14ac:dyDescent="0.4">
      <c r="A12" t="s">
        <v>101</v>
      </c>
      <c r="D12" s="1">
        <v>45945</v>
      </c>
      <c r="E12" t="s">
        <v>15</v>
      </c>
      <c r="F12" s="2" t="s">
        <v>104</v>
      </c>
      <c r="H12" s="1"/>
      <c r="I12" t="s">
        <v>96</v>
      </c>
      <c r="J12" t="s">
        <v>403</v>
      </c>
      <c r="M12" t="s">
        <v>102</v>
      </c>
      <c r="N12" t="e" vm="9">
        <v>#VALUE!</v>
      </c>
      <c r="Q12" t="s">
        <v>776</v>
      </c>
      <c r="R12" s="1">
        <v>45945</v>
      </c>
      <c r="S12" s="2" t="s">
        <v>103</v>
      </c>
      <c r="T12">
        <v>1</v>
      </c>
      <c r="U12">
        <v>0</v>
      </c>
      <c r="V12">
        <v>0</v>
      </c>
    </row>
    <row r="13" spans="1:22" x14ac:dyDescent="0.4">
      <c r="A13" t="s">
        <v>82</v>
      </c>
      <c r="D13" s="1">
        <v>45945</v>
      </c>
      <c r="E13" s="2" t="s">
        <v>84</v>
      </c>
      <c r="H13" s="1"/>
      <c r="I13" t="s">
        <v>96</v>
      </c>
      <c r="J13" t="s">
        <v>402</v>
      </c>
      <c r="M13" s="2" t="s">
        <v>83</v>
      </c>
      <c r="N13" t="e" vm="4">
        <v>#VALUE!</v>
      </c>
      <c r="Q13" t="s">
        <v>776</v>
      </c>
      <c r="R13" s="1">
        <v>45945</v>
      </c>
      <c r="T13">
        <v>1</v>
      </c>
      <c r="U13">
        <v>0</v>
      </c>
      <c r="V13">
        <v>0</v>
      </c>
    </row>
    <row r="14" spans="1:22" x14ac:dyDescent="0.4">
      <c r="A14" t="s">
        <v>100</v>
      </c>
      <c r="D14" s="1">
        <v>45945</v>
      </c>
      <c r="E14" t="s">
        <v>15</v>
      </c>
      <c r="H14" s="1"/>
      <c r="I14" t="s">
        <v>128</v>
      </c>
      <c r="J14" t="s">
        <v>402</v>
      </c>
      <c r="M14" s="2" t="s">
        <v>98</v>
      </c>
      <c r="N14" t="e" vm="10">
        <v>#VALUE!</v>
      </c>
      <c r="O14" t="s">
        <v>11</v>
      </c>
      <c r="Q14" t="s">
        <v>776</v>
      </c>
      <c r="R14" s="1">
        <v>45945</v>
      </c>
      <c r="T14">
        <v>1</v>
      </c>
      <c r="U14">
        <v>0</v>
      </c>
      <c r="V14">
        <v>0</v>
      </c>
    </row>
    <row r="15" spans="1:22" x14ac:dyDescent="0.4">
      <c r="A15" t="s">
        <v>99</v>
      </c>
      <c r="D15" s="1">
        <v>45945</v>
      </c>
      <c r="E15" t="s">
        <v>15</v>
      </c>
      <c r="H15" s="1"/>
      <c r="I15" t="s">
        <v>128</v>
      </c>
      <c r="J15" t="s">
        <v>402</v>
      </c>
      <c r="M15" s="2" t="s">
        <v>98</v>
      </c>
      <c r="N15" t="e" vm="10">
        <v>#VALUE!</v>
      </c>
      <c r="O15" t="s">
        <v>11</v>
      </c>
      <c r="Q15" t="s">
        <v>776</v>
      </c>
      <c r="R15" s="1">
        <v>45945</v>
      </c>
      <c r="T15">
        <v>1</v>
      </c>
      <c r="U15">
        <v>0</v>
      </c>
      <c r="V15">
        <v>0</v>
      </c>
    </row>
    <row r="16" spans="1:22" x14ac:dyDescent="0.4">
      <c r="A16" t="s">
        <v>363</v>
      </c>
      <c r="D16" s="1">
        <v>45945</v>
      </c>
      <c r="E16" t="s">
        <v>364</v>
      </c>
      <c r="I16" t="s">
        <v>96</v>
      </c>
      <c r="J16" t="s">
        <v>402</v>
      </c>
      <c r="M16" t="s">
        <v>362</v>
      </c>
      <c r="N16" t="e" vm="11">
        <v>#VALUE!</v>
      </c>
      <c r="O16" t="s">
        <v>11</v>
      </c>
      <c r="Q16" t="s">
        <v>776</v>
      </c>
      <c r="R16" s="1">
        <v>45945</v>
      </c>
      <c r="T16">
        <v>1</v>
      </c>
      <c r="U16">
        <v>0</v>
      </c>
      <c r="V16">
        <v>1</v>
      </c>
    </row>
    <row r="17" spans="1:22" x14ac:dyDescent="0.4">
      <c r="A17" t="s">
        <v>225</v>
      </c>
      <c r="D17" s="1">
        <v>45945</v>
      </c>
      <c r="E17" t="s">
        <v>40</v>
      </c>
      <c r="F17" t="s">
        <v>228</v>
      </c>
      <c r="H17" t="s">
        <v>230</v>
      </c>
      <c r="I17" t="s">
        <v>96</v>
      </c>
      <c r="J17" t="s">
        <v>402</v>
      </c>
      <c r="M17" s="2" t="s">
        <v>232</v>
      </c>
      <c r="N17" t="e" vm="12">
        <v>#VALUE!</v>
      </c>
      <c r="O17" t="s">
        <v>11</v>
      </c>
      <c r="P17" t="s">
        <v>227</v>
      </c>
      <c r="Q17" t="s">
        <v>776</v>
      </c>
      <c r="R17" s="1">
        <v>46142</v>
      </c>
      <c r="T17">
        <v>1</v>
      </c>
      <c r="U17">
        <v>0</v>
      </c>
      <c r="V17">
        <v>1</v>
      </c>
    </row>
    <row r="18" spans="1:22" x14ac:dyDescent="0.4">
      <c r="A18" s="4" t="s">
        <v>142</v>
      </c>
      <c r="B18" s="20"/>
      <c r="D18" s="1">
        <v>45947</v>
      </c>
      <c r="E18" t="s">
        <v>40</v>
      </c>
      <c r="G18">
        <v>1</v>
      </c>
      <c r="I18" t="s">
        <v>96</v>
      </c>
      <c r="J18" t="s">
        <v>402</v>
      </c>
      <c r="K18" t="s">
        <v>309</v>
      </c>
      <c r="L18" s="1">
        <v>45976</v>
      </c>
      <c r="M18" s="2" t="s">
        <v>143</v>
      </c>
      <c r="N18" t="e" vm="13">
        <v>#VALUE!</v>
      </c>
      <c r="O18" t="s">
        <v>11</v>
      </c>
      <c r="Q18" t="s">
        <v>776</v>
      </c>
      <c r="R18" s="1">
        <v>45992</v>
      </c>
      <c r="T18">
        <v>1</v>
      </c>
      <c r="U18">
        <v>0</v>
      </c>
      <c r="V18">
        <v>0</v>
      </c>
    </row>
    <row r="19" spans="1:22" x14ac:dyDescent="0.4">
      <c r="A19" s="4" t="s">
        <v>176</v>
      </c>
      <c r="D19" s="1">
        <v>45950</v>
      </c>
      <c r="E19" t="s">
        <v>15</v>
      </c>
      <c r="F19" s="2" t="s">
        <v>180</v>
      </c>
      <c r="G19">
        <v>1</v>
      </c>
      <c r="H19" t="s">
        <v>179</v>
      </c>
      <c r="I19" t="s">
        <v>96</v>
      </c>
      <c r="J19" t="s">
        <v>403</v>
      </c>
      <c r="K19" t="s">
        <v>309</v>
      </c>
      <c r="L19" s="1">
        <v>45976</v>
      </c>
      <c r="M19" s="2" t="s">
        <v>177</v>
      </c>
      <c r="N19" t="e" vm="14">
        <v>#VALUE!</v>
      </c>
      <c r="O19" t="s">
        <v>178</v>
      </c>
      <c r="Q19" t="s">
        <v>776</v>
      </c>
      <c r="R19" s="1">
        <v>45959</v>
      </c>
      <c r="T19">
        <v>1</v>
      </c>
      <c r="U19">
        <v>0</v>
      </c>
      <c r="V19">
        <v>0</v>
      </c>
    </row>
    <row r="20" spans="1:22" x14ac:dyDescent="0.4">
      <c r="A20" t="s">
        <v>171</v>
      </c>
      <c r="D20" s="1">
        <v>45950</v>
      </c>
      <c r="E20" t="s">
        <v>15</v>
      </c>
      <c r="G20">
        <v>1</v>
      </c>
      <c r="H20" t="s">
        <v>173</v>
      </c>
      <c r="I20" t="s">
        <v>96</v>
      </c>
      <c r="J20" t="s">
        <v>402</v>
      </c>
      <c r="M20" s="2" t="s">
        <v>172</v>
      </c>
      <c r="N20" t="e" vm="15">
        <v>#VALUE!</v>
      </c>
      <c r="O20" t="s">
        <v>11</v>
      </c>
      <c r="Q20" t="s">
        <v>776</v>
      </c>
      <c r="R20" s="1">
        <v>45964</v>
      </c>
      <c r="T20">
        <v>1</v>
      </c>
      <c r="U20">
        <v>1</v>
      </c>
      <c r="V20">
        <v>1</v>
      </c>
    </row>
    <row r="21" spans="1:22" x14ac:dyDescent="0.4">
      <c r="A21" t="s">
        <v>219</v>
      </c>
      <c r="D21" s="1">
        <v>45950</v>
      </c>
      <c r="E21" t="s">
        <v>40</v>
      </c>
      <c r="I21" t="s">
        <v>96</v>
      </c>
      <c r="J21" t="s">
        <v>402</v>
      </c>
      <c r="M21" s="2" t="s">
        <v>220</v>
      </c>
      <c r="N21" t="e" vm="6">
        <v>#VALUE!</v>
      </c>
      <c r="O21" t="s">
        <v>11</v>
      </c>
      <c r="Q21" t="s">
        <v>776</v>
      </c>
      <c r="R21" s="1">
        <v>46022</v>
      </c>
      <c r="T21">
        <v>1</v>
      </c>
      <c r="U21">
        <v>0</v>
      </c>
      <c r="V21">
        <v>0</v>
      </c>
    </row>
    <row r="22" spans="1:22" x14ac:dyDescent="0.4">
      <c r="A22" t="s">
        <v>441</v>
      </c>
      <c r="D22" s="1">
        <v>45950</v>
      </c>
      <c r="E22" s="2" t="s">
        <v>442</v>
      </c>
      <c r="I22" t="s">
        <v>96</v>
      </c>
      <c r="J22" t="s">
        <v>402</v>
      </c>
      <c r="M22" t="s">
        <v>443</v>
      </c>
      <c r="N22" t="e" vm="16">
        <v>#VALUE!</v>
      </c>
      <c r="O22" t="s">
        <v>11</v>
      </c>
      <c r="Q22" t="s">
        <v>776</v>
      </c>
      <c r="R22" s="1">
        <v>45960</v>
      </c>
      <c r="T22">
        <v>1</v>
      </c>
      <c r="U22">
        <v>1</v>
      </c>
      <c r="V22">
        <v>1</v>
      </c>
    </row>
    <row r="23" spans="1:22" x14ac:dyDescent="0.4">
      <c r="A23" t="s">
        <v>167</v>
      </c>
      <c r="D23" s="1">
        <v>45950</v>
      </c>
      <c r="E23" t="s">
        <v>15</v>
      </c>
      <c r="F23" s="2" t="s">
        <v>170</v>
      </c>
      <c r="I23" t="s">
        <v>96</v>
      </c>
      <c r="J23" t="s">
        <v>402</v>
      </c>
      <c r="M23" s="2" t="s">
        <v>168</v>
      </c>
      <c r="N23" t="e" vm="17">
        <v>#VALUE!</v>
      </c>
      <c r="O23" t="s">
        <v>11</v>
      </c>
      <c r="P23" t="s">
        <v>169</v>
      </c>
      <c r="Q23" t="s">
        <v>776</v>
      </c>
      <c r="R23" s="1">
        <v>45964</v>
      </c>
      <c r="T23">
        <v>1</v>
      </c>
      <c r="U23">
        <v>1</v>
      </c>
      <c r="V23">
        <v>1</v>
      </c>
    </row>
    <row r="24" spans="1:22" x14ac:dyDescent="0.4">
      <c r="A24" s="6" t="s">
        <v>159</v>
      </c>
      <c r="B24" s="6"/>
      <c r="C24" s="6"/>
      <c r="D24" s="1">
        <v>45950</v>
      </c>
      <c r="E24" t="s">
        <v>15</v>
      </c>
      <c r="I24" t="s">
        <v>96</v>
      </c>
      <c r="J24" t="s">
        <v>402</v>
      </c>
      <c r="M24" s="2" t="s">
        <v>160</v>
      </c>
      <c r="N24" t="e" vm="18">
        <v>#VALUE!</v>
      </c>
      <c r="O24" t="s">
        <v>11</v>
      </c>
      <c r="Q24" t="s">
        <v>776</v>
      </c>
      <c r="R24" s="1">
        <v>45963</v>
      </c>
      <c r="T24">
        <v>1</v>
      </c>
      <c r="U24">
        <v>1</v>
      </c>
      <c r="V24">
        <v>0</v>
      </c>
    </row>
    <row r="25" spans="1:22" x14ac:dyDescent="0.4">
      <c r="A25" t="s">
        <v>472</v>
      </c>
      <c r="D25" s="1">
        <v>45950</v>
      </c>
      <c r="E25" t="s">
        <v>40</v>
      </c>
      <c r="F25" s="2" t="s">
        <v>473</v>
      </c>
      <c r="I25" t="s">
        <v>96</v>
      </c>
      <c r="J25" t="s">
        <v>402</v>
      </c>
      <c r="M25" t="s">
        <v>474</v>
      </c>
      <c r="N25" t="e" vm="19">
        <v>#VALUE!</v>
      </c>
      <c r="O25" t="s">
        <v>11</v>
      </c>
      <c r="Q25" t="s">
        <v>776</v>
      </c>
      <c r="R25" s="1">
        <v>45961</v>
      </c>
      <c r="T25">
        <v>1</v>
      </c>
      <c r="U25">
        <v>1</v>
      </c>
      <c r="V25">
        <v>1</v>
      </c>
    </row>
    <row r="26" spans="1:22" x14ac:dyDescent="0.4">
      <c r="A26" t="s">
        <v>212</v>
      </c>
      <c r="D26" s="1">
        <v>45950</v>
      </c>
      <c r="E26" t="s">
        <v>40</v>
      </c>
      <c r="F26" t="s">
        <v>211</v>
      </c>
      <c r="G26">
        <v>1</v>
      </c>
      <c r="I26" t="s">
        <v>96</v>
      </c>
      <c r="J26" t="s">
        <v>402</v>
      </c>
      <c r="M26" t="s">
        <v>210</v>
      </c>
      <c r="N26" t="e" vm="6">
        <v>#VALUE!</v>
      </c>
      <c r="O26" t="s">
        <v>11</v>
      </c>
      <c r="Q26" t="s">
        <v>776</v>
      </c>
      <c r="R26" s="1">
        <v>45961</v>
      </c>
      <c r="T26">
        <v>1</v>
      </c>
      <c r="U26">
        <v>0</v>
      </c>
      <c r="V26">
        <v>0</v>
      </c>
    </row>
    <row r="27" spans="1:22" x14ac:dyDescent="0.4">
      <c r="A27" t="s">
        <v>202</v>
      </c>
      <c r="D27" s="1">
        <v>45950</v>
      </c>
      <c r="E27" t="s">
        <v>203</v>
      </c>
      <c r="I27" t="s">
        <v>96</v>
      </c>
      <c r="J27" t="s">
        <v>402</v>
      </c>
      <c r="M27" s="2" t="s">
        <v>83</v>
      </c>
      <c r="N27" t="e" vm="4">
        <v>#VALUE!</v>
      </c>
      <c r="Q27" t="s">
        <v>776</v>
      </c>
      <c r="R27" s="1">
        <v>45954</v>
      </c>
      <c r="T27">
        <v>1</v>
      </c>
      <c r="U27">
        <v>0</v>
      </c>
      <c r="V27">
        <v>0</v>
      </c>
    </row>
    <row r="28" spans="1:22" x14ac:dyDescent="0.4">
      <c r="A28" t="s">
        <v>112</v>
      </c>
      <c r="D28" s="1">
        <v>45950</v>
      </c>
      <c r="E28" t="s">
        <v>40</v>
      </c>
      <c r="F28" t="s">
        <v>151</v>
      </c>
      <c r="H28" s="1"/>
      <c r="I28" t="s">
        <v>96</v>
      </c>
      <c r="J28" t="s">
        <v>402</v>
      </c>
      <c r="M28" s="2" t="s">
        <v>111</v>
      </c>
      <c r="N28" t="e" vm="20">
        <v>#VALUE!</v>
      </c>
      <c r="O28" t="s">
        <v>11</v>
      </c>
      <c r="Q28" t="s">
        <v>776</v>
      </c>
      <c r="R28" s="1">
        <v>45957</v>
      </c>
      <c r="T28">
        <v>1</v>
      </c>
      <c r="U28">
        <v>1</v>
      </c>
      <c r="V28">
        <v>1</v>
      </c>
    </row>
    <row r="29" spans="1:22" x14ac:dyDescent="0.4">
      <c r="A29" t="s">
        <v>479</v>
      </c>
      <c r="D29" s="1">
        <v>45950</v>
      </c>
      <c r="E29" t="s">
        <v>40</v>
      </c>
      <c r="F29" t="s">
        <v>480</v>
      </c>
      <c r="I29" t="s">
        <v>96</v>
      </c>
      <c r="J29" t="s">
        <v>402</v>
      </c>
      <c r="M29" t="s">
        <v>478</v>
      </c>
      <c r="N29" t="e" vm="20">
        <v>#VALUE!</v>
      </c>
      <c r="O29" t="s">
        <v>11</v>
      </c>
      <c r="Q29" t="s">
        <v>776</v>
      </c>
      <c r="R29" s="1">
        <v>45962</v>
      </c>
      <c r="T29">
        <v>1</v>
      </c>
      <c r="U29">
        <v>1</v>
      </c>
      <c r="V29">
        <v>1</v>
      </c>
    </row>
    <row r="30" spans="1:22" x14ac:dyDescent="0.4">
      <c r="A30" t="s">
        <v>263</v>
      </c>
      <c r="D30" s="1">
        <v>45950</v>
      </c>
      <c r="E30" t="s">
        <v>15</v>
      </c>
      <c r="I30" t="s">
        <v>96</v>
      </c>
      <c r="J30" t="s">
        <v>403</v>
      </c>
      <c r="M30" t="s">
        <v>264</v>
      </c>
      <c r="N30" t="e" vm="21">
        <v>#VALUE!</v>
      </c>
      <c r="O30" t="s">
        <v>178</v>
      </c>
      <c r="Q30" t="s">
        <v>776</v>
      </c>
      <c r="R30" s="1">
        <v>45992</v>
      </c>
      <c r="T30">
        <v>1</v>
      </c>
      <c r="U30">
        <v>0</v>
      </c>
      <c r="V30">
        <v>0</v>
      </c>
    </row>
    <row r="31" spans="1:22" x14ac:dyDescent="0.4">
      <c r="A31" t="s">
        <v>183</v>
      </c>
      <c r="D31" s="1">
        <v>45950</v>
      </c>
      <c r="E31" t="s">
        <v>15</v>
      </c>
      <c r="I31" t="s">
        <v>96</v>
      </c>
      <c r="J31" t="s">
        <v>402</v>
      </c>
      <c r="M31" t="s">
        <v>252</v>
      </c>
      <c r="N31" t="e" vm="22">
        <v>#VALUE!</v>
      </c>
      <c r="O31" t="s">
        <v>11</v>
      </c>
      <c r="Q31" t="s">
        <v>776</v>
      </c>
      <c r="R31" s="1">
        <v>46022</v>
      </c>
      <c r="T31">
        <v>1</v>
      </c>
      <c r="U31">
        <v>0</v>
      </c>
      <c r="V31">
        <v>0</v>
      </c>
    </row>
    <row r="32" spans="1:22" x14ac:dyDescent="0.4">
      <c r="A32" t="s">
        <v>224</v>
      </c>
      <c r="D32" s="1">
        <v>45950</v>
      </c>
      <c r="E32" t="s">
        <v>40</v>
      </c>
      <c r="F32" t="s">
        <v>229</v>
      </c>
      <c r="H32" t="s">
        <v>231</v>
      </c>
      <c r="I32" t="s">
        <v>96</v>
      </c>
      <c r="J32" t="s">
        <v>402</v>
      </c>
      <c r="M32" s="2" t="s">
        <v>232</v>
      </c>
      <c r="N32" t="e" vm="12">
        <v>#VALUE!</v>
      </c>
      <c r="O32" t="s">
        <v>11</v>
      </c>
      <c r="P32" t="s">
        <v>226</v>
      </c>
      <c r="Q32" t="s">
        <v>776</v>
      </c>
      <c r="R32" s="1">
        <v>46142</v>
      </c>
      <c r="T32">
        <v>1</v>
      </c>
      <c r="U32">
        <v>0</v>
      </c>
      <c r="V32">
        <v>1</v>
      </c>
    </row>
    <row r="33" spans="1:22" x14ac:dyDescent="0.4">
      <c r="A33" t="s">
        <v>222</v>
      </c>
      <c r="D33" s="1">
        <v>45950</v>
      </c>
      <c r="E33" t="s">
        <v>40</v>
      </c>
      <c r="F33" t="s">
        <v>223</v>
      </c>
      <c r="I33" t="s">
        <v>96</v>
      </c>
      <c r="J33" t="s">
        <v>402</v>
      </c>
      <c r="M33" t="s">
        <v>221</v>
      </c>
      <c r="N33" t="e" vm="23">
        <v>#VALUE!</v>
      </c>
      <c r="O33" t="s">
        <v>11</v>
      </c>
      <c r="Q33" t="s">
        <v>776</v>
      </c>
      <c r="R33" s="1">
        <v>46157</v>
      </c>
      <c r="T33">
        <v>1</v>
      </c>
      <c r="U33">
        <v>1</v>
      </c>
      <c r="V33">
        <v>1</v>
      </c>
    </row>
    <row r="34" spans="1:22" x14ac:dyDescent="0.4">
      <c r="A34" t="s">
        <v>341</v>
      </c>
      <c r="D34" s="1">
        <v>45950</v>
      </c>
      <c r="E34" t="s">
        <v>40</v>
      </c>
      <c r="I34" t="s">
        <v>96</v>
      </c>
      <c r="J34" t="s">
        <v>402</v>
      </c>
      <c r="M34" t="s">
        <v>340</v>
      </c>
      <c r="N34" t="e" vm="4">
        <v>#VALUE!</v>
      </c>
      <c r="Q34" t="s">
        <v>776</v>
      </c>
      <c r="R34" s="1">
        <v>45950</v>
      </c>
      <c r="T34">
        <v>1</v>
      </c>
      <c r="U34">
        <v>0</v>
      </c>
      <c r="V34">
        <v>0</v>
      </c>
    </row>
    <row r="35" spans="1:22" x14ac:dyDescent="0.4">
      <c r="A35" s="4" t="s">
        <v>74</v>
      </c>
      <c r="B35" s="20"/>
      <c r="D35" s="1">
        <v>45955</v>
      </c>
      <c r="E35" t="s">
        <v>75</v>
      </c>
      <c r="G35">
        <v>1</v>
      </c>
      <c r="H35" s="1"/>
      <c r="I35" t="s">
        <v>96</v>
      </c>
      <c r="J35" t="s">
        <v>402</v>
      </c>
      <c r="K35" t="s">
        <v>309</v>
      </c>
      <c r="L35" s="1">
        <v>45965</v>
      </c>
      <c r="M35" s="2" t="s">
        <v>73</v>
      </c>
      <c r="N35" t="e" vm="24">
        <v>#VALUE!</v>
      </c>
      <c r="O35" t="s">
        <v>11</v>
      </c>
      <c r="P35" t="s">
        <v>18</v>
      </c>
      <c r="Q35" t="s">
        <v>776</v>
      </c>
      <c r="R35" s="1">
        <v>45962</v>
      </c>
      <c r="T35">
        <v>1</v>
      </c>
      <c r="U35">
        <v>1</v>
      </c>
      <c r="V35">
        <v>1</v>
      </c>
    </row>
    <row r="36" spans="1:22" x14ac:dyDescent="0.4">
      <c r="A36" s="4" t="s">
        <v>135</v>
      </c>
      <c r="D36" s="1">
        <v>45955</v>
      </c>
      <c r="E36" t="s">
        <v>40</v>
      </c>
      <c r="G36">
        <v>1</v>
      </c>
      <c r="H36" t="s">
        <v>137</v>
      </c>
      <c r="I36" t="s">
        <v>96</v>
      </c>
      <c r="J36" t="s">
        <v>402</v>
      </c>
      <c r="K36" t="s">
        <v>309</v>
      </c>
      <c r="L36" s="1">
        <v>45965</v>
      </c>
      <c r="M36" s="2" t="s">
        <v>136</v>
      </c>
      <c r="N36" t="e" vm="25">
        <v>#VALUE!</v>
      </c>
      <c r="O36" t="s">
        <v>11</v>
      </c>
      <c r="Q36" t="s">
        <v>776</v>
      </c>
      <c r="R36" s="1">
        <v>45969</v>
      </c>
      <c r="T36">
        <v>1</v>
      </c>
      <c r="U36">
        <v>0</v>
      </c>
      <c r="V36">
        <v>0</v>
      </c>
    </row>
    <row r="37" spans="1:22" x14ac:dyDescent="0.4">
      <c r="A37" s="4" t="s">
        <v>125</v>
      </c>
      <c r="D37" s="1">
        <v>45955</v>
      </c>
      <c r="E37" t="s">
        <v>15</v>
      </c>
      <c r="G37">
        <v>1</v>
      </c>
      <c r="I37" t="s">
        <v>96</v>
      </c>
      <c r="J37" t="s">
        <v>402</v>
      </c>
      <c r="K37" t="s">
        <v>309</v>
      </c>
      <c r="L37" s="1">
        <v>45965</v>
      </c>
      <c r="M37" s="2" t="s">
        <v>126</v>
      </c>
      <c r="N37" t="e" vm="18">
        <v>#VALUE!</v>
      </c>
      <c r="O37" t="s">
        <v>11</v>
      </c>
      <c r="Q37" t="s">
        <v>776</v>
      </c>
      <c r="R37" s="1">
        <v>45963</v>
      </c>
      <c r="T37">
        <v>1</v>
      </c>
      <c r="U37">
        <v>1</v>
      </c>
      <c r="V37">
        <v>1</v>
      </c>
    </row>
    <row r="38" spans="1:22" x14ac:dyDescent="0.4">
      <c r="A38" s="4" t="s">
        <v>122</v>
      </c>
      <c r="B38" s="19"/>
      <c r="D38" s="1">
        <v>45955</v>
      </c>
      <c r="E38" t="s">
        <v>15</v>
      </c>
      <c r="G38">
        <v>1</v>
      </c>
      <c r="H38" t="s">
        <v>124</v>
      </c>
      <c r="I38" t="s">
        <v>96</v>
      </c>
      <c r="J38" t="s">
        <v>402</v>
      </c>
      <c r="K38" t="s">
        <v>309</v>
      </c>
      <c r="L38" s="1">
        <v>45965</v>
      </c>
      <c r="M38" s="2" t="s">
        <v>123</v>
      </c>
      <c r="N38" t="e" vm="25">
        <v>#VALUE!</v>
      </c>
      <c r="O38" t="s">
        <v>11</v>
      </c>
      <c r="Q38" t="s">
        <v>776</v>
      </c>
      <c r="R38" s="1">
        <v>45962</v>
      </c>
      <c r="T38">
        <v>1</v>
      </c>
      <c r="U38">
        <v>0</v>
      </c>
      <c r="V38">
        <v>0</v>
      </c>
    </row>
    <row r="39" spans="1:22" x14ac:dyDescent="0.4">
      <c r="A39" t="s">
        <v>547</v>
      </c>
      <c r="D39" s="1">
        <v>45955</v>
      </c>
      <c r="E39" t="s">
        <v>548</v>
      </c>
      <c r="I39" t="s">
        <v>96</v>
      </c>
      <c r="J39" t="s">
        <v>402</v>
      </c>
      <c r="M39" t="s">
        <v>549</v>
      </c>
      <c r="N39" t="e" vm="26">
        <v>#VALUE!</v>
      </c>
      <c r="O39" t="s">
        <v>11</v>
      </c>
      <c r="Q39" t="s">
        <v>776</v>
      </c>
      <c r="R39" s="1">
        <v>46203</v>
      </c>
      <c r="T39">
        <v>1</v>
      </c>
      <c r="U39">
        <v>1</v>
      </c>
      <c r="V39">
        <v>1</v>
      </c>
    </row>
    <row r="40" spans="1:22" x14ac:dyDescent="0.4">
      <c r="A40" t="s">
        <v>522</v>
      </c>
      <c r="D40" s="1">
        <v>45955</v>
      </c>
      <c r="E40" t="s">
        <v>523</v>
      </c>
      <c r="I40" t="s">
        <v>96</v>
      </c>
      <c r="J40" t="s">
        <v>402</v>
      </c>
      <c r="M40" t="s">
        <v>524</v>
      </c>
      <c r="N40" t="e" vm="27">
        <v>#VALUE!</v>
      </c>
      <c r="O40" t="s">
        <v>19</v>
      </c>
      <c r="Q40" t="s">
        <v>776</v>
      </c>
      <c r="R40" s="1">
        <v>46010</v>
      </c>
      <c r="T40">
        <v>1</v>
      </c>
      <c r="U40">
        <v>0</v>
      </c>
      <c r="V40">
        <v>1</v>
      </c>
    </row>
    <row r="41" spans="1:22" x14ac:dyDescent="0.4">
      <c r="A41" t="s">
        <v>187</v>
      </c>
      <c r="D41" s="1">
        <v>45955</v>
      </c>
      <c r="E41" t="s">
        <v>15</v>
      </c>
      <c r="I41" t="s">
        <v>96</v>
      </c>
      <c r="J41" t="s">
        <v>402</v>
      </c>
      <c r="M41" s="2" t="s">
        <v>188</v>
      </c>
      <c r="N41" t="e" vm="17">
        <v>#VALUE!</v>
      </c>
      <c r="O41" t="s">
        <v>11</v>
      </c>
      <c r="Q41" t="s">
        <v>776</v>
      </c>
      <c r="R41" s="1">
        <v>45968</v>
      </c>
      <c r="T41">
        <v>1</v>
      </c>
      <c r="U41">
        <v>0</v>
      </c>
      <c r="V41">
        <v>0</v>
      </c>
    </row>
    <row r="42" spans="1:22" x14ac:dyDescent="0.4">
      <c r="A42" t="s">
        <v>555</v>
      </c>
      <c r="D42" s="1">
        <v>45955</v>
      </c>
      <c r="E42" t="s">
        <v>554</v>
      </c>
      <c r="I42" t="s">
        <v>96</v>
      </c>
      <c r="J42" t="s">
        <v>402</v>
      </c>
      <c r="M42" t="s">
        <v>556</v>
      </c>
      <c r="N42" t="e" vm="28">
        <v>#VALUE!</v>
      </c>
      <c r="O42" t="s">
        <v>11</v>
      </c>
      <c r="Q42" t="s">
        <v>776</v>
      </c>
      <c r="R42" s="1">
        <v>46053</v>
      </c>
      <c r="T42">
        <v>1</v>
      </c>
      <c r="U42">
        <v>1</v>
      </c>
      <c r="V42">
        <v>0</v>
      </c>
    </row>
    <row r="43" spans="1:22" x14ac:dyDescent="0.4">
      <c r="A43" t="s">
        <v>181</v>
      </c>
      <c r="D43" s="1">
        <v>45955</v>
      </c>
      <c r="E43" t="s">
        <v>15</v>
      </c>
      <c r="I43" t="s">
        <v>96</v>
      </c>
      <c r="J43" t="s">
        <v>402</v>
      </c>
      <c r="M43" s="2" t="s">
        <v>182</v>
      </c>
      <c r="N43" t="e" vm="22">
        <v>#VALUE!</v>
      </c>
      <c r="O43" t="s">
        <v>11</v>
      </c>
      <c r="Q43" t="s">
        <v>776</v>
      </c>
      <c r="R43" s="1">
        <v>45968</v>
      </c>
      <c r="T43">
        <v>1</v>
      </c>
      <c r="U43">
        <v>0</v>
      </c>
      <c r="V43">
        <v>0</v>
      </c>
    </row>
    <row r="44" spans="1:22" x14ac:dyDescent="0.4">
      <c r="A44" t="s">
        <v>620</v>
      </c>
      <c r="D44" s="1">
        <v>45955</v>
      </c>
      <c r="E44" t="s">
        <v>40</v>
      </c>
      <c r="F44" t="s">
        <v>621</v>
      </c>
      <c r="I44" t="s">
        <v>96</v>
      </c>
      <c r="J44" t="s">
        <v>402</v>
      </c>
      <c r="M44" t="s">
        <v>619</v>
      </c>
      <c r="N44" t="e" vm="8">
        <v>#VALUE!</v>
      </c>
      <c r="O44" t="s">
        <v>11</v>
      </c>
      <c r="Q44" t="s">
        <v>776</v>
      </c>
      <c r="R44" s="1">
        <v>45996</v>
      </c>
      <c r="T44">
        <v>1</v>
      </c>
      <c r="U44">
        <v>1</v>
      </c>
      <c r="V44">
        <v>1</v>
      </c>
    </row>
    <row r="45" spans="1:22" x14ac:dyDescent="0.4">
      <c r="A45" t="s">
        <v>184</v>
      </c>
      <c r="D45" s="1">
        <v>45955</v>
      </c>
      <c r="E45" t="s">
        <v>15</v>
      </c>
      <c r="I45" t="s">
        <v>96</v>
      </c>
      <c r="J45" t="s">
        <v>402</v>
      </c>
      <c r="M45" s="2" t="s">
        <v>185</v>
      </c>
      <c r="N45" t="e" vm="29">
        <v>#VALUE!</v>
      </c>
      <c r="O45" t="s">
        <v>11</v>
      </c>
      <c r="P45" t="s">
        <v>186</v>
      </c>
      <c r="Q45" t="s">
        <v>776</v>
      </c>
      <c r="R45" s="1">
        <v>45970</v>
      </c>
      <c r="T45">
        <v>1</v>
      </c>
      <c r="U45">
        <v>0</v>
      </c>
      <c r="V45">
        <v>0</v>
      </c>
    </row>
    <row r="46" spans="1:22" x14ac:dyDescent="0.4">
      <c r="A46" t="s">
        <v>470</v>
      </c>
      <c r="D46" s="1">
        <v>45955</v>
      </c>
      <c r="E46" t="s">
        <v>546</v>
      </c>
      <c r="I46" t="s">
        <v>96</v>
      </c>
      <c r="J46" t="s">
        <v>402</v>
      </c>
      <c r="M46" t="s">
        <v>545</v>
      </c>
      <c r="N46" t="e" vm="30">
        <v>#VALUE!</v>
      </c>
      <c r="O46" t="s">
        <v>11</v>
      </c>
      <c r="Q46" t="s">
        <v>776</v>
      </c>
      <c r="R46" s="1">
        <v>45995</v>
      </c>
      <c r="T46">
        <v>1</v>
      </c>
      <c r="U46">
        <v>0</v>
      </c>
      <c r="V46">
        <v>1</v>
      </c>
    </row>
    <row r="47" spans="1:22" x14ac:dyDescent="0.4">
      <c r="A47" t="s">
        <v>207</v>
      </c>
      <c r="D47" s="1">
        <v>45955</v>
      </c>
      <c r="E47" t="s">
        <v>40</v>
      </c>
      <c r="I47" t="s">
        <v>96</v>
      </c>
      <c r="J47" t="s">
        <v>402</v>
      </c>
      <c r="M47" s="2" t="s">
        <v>206</v>
      </c>
      <c r="N47" t="e" vm="6">
        <v>#VALUE!</v>
      </c>
      <c r="O47" t="s">
        <v>11</v>
      </c>
      <c r="Q47" t="s">
        <v>776</v>
      </c>
      <c r="R47" s="1">
        <v>45968</v>
      </c>
      <c r="T47">
        <v>1</v>
      </c>
      <c r="U47">
        <v>0</v>
      </c>
      <c r="V47">
        <v>0</v>
      </c>
    </row>
    <row r="48" spans="1:22" x14ac:dyDescent="0.4">
      <c r="A48" t="s">
        <v>372</v>
      </c>
      <c r="D48" s="1">
        <v>45955</v>
      </c>
      <c r="E48" t="s">
        <v>373</v>
      </c>
      <c r="I48" t="s">
        <v>96</v>
      </c>
      <c r="J48" t="s">
        <v>402</v>
      </c>
      <c r="M48" t="s">
        <v>371</v>
      </c>
      <c r="N48" t="e" vm="31">
        <v>#VALUE!</v>
      </c>
      <c r="O48" t="s">
        <v>11</v>
      </c>
      <c r="Q48" t="s">
        <v>776</v>
      </c>
      <c r="R48" s="1">
        <v>46203</v>
      </c>
      <c r="T48">
        <v>1</v>
      </c>
      <c r="U48">
        <v>0</v>
      </c>
      <c r="V48">
        <v>0</v>
      </c>
    </row>
    <row r="49" spans="1:22" x14ac:dyDescent="0.4">
      <c r="A49" t="s">
        <v>368</v>
      </c>
      <c r="D49" s="1">
        <v>45955</v>
      </c>
      <c r="E49" t="s">
        <v>370</v>
      </c>
      <c r="I49" t="s">
        <v>96</v>
      </c>
      <c r="J49" t="s">
        <v>402</v>
      </c>
      <c r="M49" t="s">
        <v>369</v>
      </c>
      <c r="N49" t="e" vm="32">
        <v>#VALUE!</v>
      </c>
      <c r="O49" t="s">
        <v>11</v>
      </c>
      <c r="Q49" t="s">
        <v>776</v>
      </c>
      <c r="R49" s="1">
        <v>45962</v>
      </c>
      <c r="T49">
        <v>1</v>
      </c>
      <c r="U49">
        <v>1</v>
      </c>
      <c r="V49">
        <v>1</v>
      </c>
    </row>
    <row r="50" spans="1:22" x14ac:dyDescent="0.4">
      <c r="A50" t="s">
        <v>66</v>
      </c>
      <c r="D50" s="1">
        <v>45955</v>
      </c>
      <c r="E50" s="2" t="s">
        <v>68</v>
      </c>
      <c r="G50">
        <v>1</v>
      </c>
      <c r="H50" s="1"/>
      <c r="I50" t="s">
        <v>96</v>
      </c>
      <c r="J50" t="s">
        <v>402</v>
      </c>
      <c r="M50" s="2" t="s">
        <v>67</v>
      </c>
      <c r="N50" t="e" vm="33">
        <v>#VALUE!</v>
      </c>
      <c r="O50" t="s">
        <v>11</v>
      </c>
      <c r="P50" t="s">
        <v>18</v>
      </c>
      <c r="Q50" t="s">
        <v>776</v>
      </c>
      <c r="R50" s="1">
        <v>45962</v>
      </c>
      <c r="T50">
        <v>1</v>
      </c>
      <c r="U50">
        <v>1</v>
      </c>
      <c r="V50">
        <v>1</v>
      </c>
    </row>
    <row r="51" spans="1:22" x14ac:dyDescent="0.4">
      <c r="A51" t="s">
        <v>56</v>
      </c>
      <c r="D51" s="1">
        <v>45955</v>
      </c>
      <c r="E51" s="2" t="s">
        <v>57</v>
      </c>
      <c r="H51" s="1"/>
      <c r="I51" t="s">
        <v>96</v>
      </c>
      <c r="J51" t="s">
        <v>402</v>
      </c>
      <c r="M51" s="2" t="s">
        <v>58</v>
      </c>
      <c r="N51" t="e" vm="34">
        <v>#VALUE!</v>
      </c>
      <c r="Q51" t="s">
        <v>776</v>
      </c>
      <c r="R51" s="1">
        <v>45962</v>
      </c>
      <c r="T51">
        <v>1</v>
      </c>
      <c r="U51">
        <v>0</v>
      </c>
      <c r="V51">
        <v>0</v>
      </c>
    </row>
    <row r="52" spans="1:22" x14ac:dyDescent="0.4">
      <c r="A52" t="s">
        <v>54</v>
      </c>
      <c r="D52" s="1">
        <v>45955</v>
      </c>
      <c r="E52" t="s">
        <v>55</v>
      </c>
      <c r="H52" s="1"/>
      <c r="I52" t="s">
        <v>96</v>
      </c>
      <c r="J52" t="s">
        <v>402</v>
      </c>
      <c r="M52" s="2" t="s">
        <v>58</v>
      </c>
      <c r="N52" t="e" vm="35">
        <v>#VALUE!</v>
      </c>
      <c r="Q52" t="s">
        <v>776</v>
      </c>
      <c r="R52" s="1">
        <v>45962</v>
      </c>
      <c r="T52">
        <v>1</v>
      </c>
      <c r="U52">
        <v>0</v>
      </c>
      <c r="V52">
        <v>0</v>
      </c>
    </row>
    <row r="53" spans="1:22" x14ac:dyDescent="0.4">
      <c r="A53" t="s">
        <v>515</v>
      </c>
      <c r="D53" s="1">
        <v>45955</v>
      </c>
      <c r="E53" t="s">
        <v>516</v>
      </c>
      <c r="I53" t="s">
        <v>96</v>
      </c>
      <c r="J53" t="s">
        <v>402</v>
      </c>
      <c r="M53" t="s">
        <v>517</v>
      </c>
      <c r="N53" t="e" vm="36">
        <v>#VALUE!</v>
      </c>
      <c r="O53" t="s">
        <v>11</v>
      </c>
      <c r="Q53" t="s">
        <v>776</v>
      </c>
      <c r="R53" s="1">
        <v>45962</v>
      </c>
      <c r="T53">
        <v>1</v>
      </c>
      <c r="U53">
        <v>0</v>
      </c>
      <c r="V53">
        <v>0</v>
      </c>
    </row>
    <row r="54" spans="1:22" x14ac:dyDescent="0.4">
      <c r="A54" t="s">
        <v>507</v>
      </c>
      <c r="C54" t="s">
        <v>514</v>
      </c>
      <c r="D54" s="1">
        <v>45960</v>
      </c>
      <c r="E54" t="s">
        <v>508</v>
      </c>
      <c r="I54" t="s">
        <v>96</v>
      </c>
      <c r="J54" t="s">
        <v>402</v>
      </c>
      <c r="M54" t="s">
        <v>509</v>
      </c>
      <c r="N54" t="e" vm="23">
        <v>#VALUE!</v>
      </c>
      <c r="O54" t="s">
        <v>11</v>
      </c>
      <c r="Q54" t="s">
        <v>776</v>
      </c>
      <c r="R54" s="1">
        <v>46081</v>
      </c>
      <c r="T54">
        <v>1</v>
      </c>
      <c r="U54">
        <v>0</v>
      </c>
      <c r="V54">
        <v>0</v>
      </c>
    </row>
    <row r="55" spans="1:22" x14ac:dyDescent="0.4">
      <c r="A55" t="s">
        <v>105</v>
      </c>
      <c r="D55" s="1">
        <v>45961</v>
      </c>
      <c r="E55" t="s">
        <v>15</v>
      </c>
      <c r="H55" s="1"/>
      <c r="I55" t="s">
        <v>96</v>
      </c>
      <c r="J55" t="s">
        <v>402</v>
      </c>
      <c r="M55" s="2" t="s">
        <v>106</v>
      </c>
      <c r="N55" t="e" vm="9">
        <v>#VALUE!</v>
      </c>
      <c r="O55" t="s">
        <v>26</v>
      </c>
      <c r="Q55" t="s">
        <v>776</v>
      </c>
      <c r="R55" s="1">
        <v>45961</v>
      </c>
      <c r="T55">
        <v>1</v>
      </c>
      <c r="U55">
        <v>0</v>
      </c>
      <c r="V55">
        <v>0</v>
      </c>
    </row>
    <row r="56" spans="1:22" x14ac:dyDescent="0.4">
      <c r="A56" s="4" t="s">
        <v>144</v>
      </c>
      <c r="D56" s="1">
        <v>45962</v>
      </c>
      <c r="E56" t="s">
        <v>40</v>
      </c>
      <c r="G56">
        <v>1</v>
      </c>
      <c r="H56" t="s">
        <v>146</v>
      </c>
      <c r="I56" t="s">
        <v>96</v>
      </c>
      <c r="J56" t="s">
        <v>402</v>
      </c>
      <c r="K56" t="s">
        <v>309</v>
      </c>
      <c r="L56" s="1">
        <v>45976</v>
      </c>
      <c r="M56" s="2" t="s">
        <v>145</v>
      </c>
      <c r="N56" t="e" vm="37">
        <v>#VALUE!</v>
      </c>
      <c r="O56" t="s">
        <v>11</v>
      </c>
      <c r="Q56" t="s">
        <v>776</v>
      </c>
      <c r="R56" s="1">
        <v>45975</v>
      </c>
      <c r="T56">
        <v>1</v>
      </c>
      <c r="U56">
        <v>0</v>
      </c>
      <c r="V56">
        <v>0</v>
      </c>
    </row>
    <row r="57" spans="1:22" x14ac:dyDescent="0.4">
      <c r="A57" t="s">
        <v>421</v>
      </c>
      <c r="D57" s="1">
        <v>45962</v>
      </c>
      <c r="E57" s="2" t="s">
        <v>420</v>
      </c>
      <c r="F57" t="s">
        <v>419</v>
      </c>
      <c r="I57" t="s">
        <v>96</v>
      </c>
      <c r="J57" t="s">
        <v>402</v>
      </c>
      <c r="M57" t="s">
        <v>422</v>
      </c>
      <c r="N57" t="e" vm="38">
        <v>#VALUE!</v>
      </c>
      <c r="O57" t="s">
        <v>11</v>
      </c>
      <c r="Q57" t="s">
        <v>776</v>
      </c>
      <c r="R57" s="1">
        <v>45981</v>
      </c>
      <c r="T57">
        <v>1</v>
      </c>
      <c r="U57">
        <v>1</v>
      </c>
      <c r="V57">
        <v>1</v>
      </c>
    </row>
    <row r="58" spans="1:22" x14ac:dyDescent="0.4">
      <c r="A58" t="s">
        <v>495</v>
      </c>
      <c r="C58" t="s">
        <v>450</v>
      </c>
      <c r="D58" s="1">
        <v>45962</v>
      </c>
      <c r="E58" t="s">
        <v>40</v>
      </c>
      <c r="F58" t="s">
        <v>496</v>
      </c>
      <c r="I58" t="s">
        <v>96</v>
      </c>
      <c r="J58" t="s">
        <v>402</v>
      </c>
      <c r="M58" s="17" t="s">
        <v>493</v>
      </c>
      <c r="N58" t="e" vm="39">
        <v>#VALUE!</v>
      </c>
      <c r="O58" t="s">
        <v>11</v>
      </c>
      <c r="Q58" t="s">
        <v>776</v>
      </c>
      <c r="R58" s="1">
        <v>45964</v>
      </c>
      <c r="T58">
        <v>1</v>
      </c>
      <c r="U58">
        <v>0</v>
      </c>
      <c r="V58">
        <v>0</v>
      </c>
    </row>
    <row r="59" spans="1:22" x14ac:dyDescent="0.4">
      <c r="A59" t="s">
        <v>488</v>
      </c>
      <c r="C59" t="s">
        <v>491</v>
      </c>
      <c r="D59" s="1">
        <v>45962</v>
      </c>
      <c r="E59" t="s">
        <v>40</v>
      </c>
      <c r="F59" t="s">
        <v>490</v>
      </c>
      <c r="I59" t="s">
        <v>96</v>
      </c>
      <c r="J59" t="s">
        <v>402</v>
      </c>
      <c r="M59" t="s">
        <v>489</v>
      </c>
      <c r="N59" t="e" vm="40">
        <v>#VALUE!</v>
      </c>
      <c r="O59" t="s">
        <v>11</v>
      </c>
      <c r="Q59" t="s">
        <v>776</v>
      </c>
      <c r="R59" s="1">
        <v>46055</v>
      </c>
      <c r="T59">
        <v>1</v>
      </c>
      <c r="U59">
        <v>1</v>
      </c>
      <c r="V59">
        <v>1</v>
      </c>
    </row>
    <row r="60" spans="1:22" x14ac:dyDescent="0.4">
      <c r="A60" t="s">
        <v>485</v>
      </c>
      <c r="D60" s="1">
        <v>45962</v>
      </c>
      <c r="E60" t="s">
        <v>40</v>
      </c>
      <c r="F60" s="2" t="s">
        <v>487</v>
      </c>
      <c r="I60" t="s">
        <v>96</v>
      </c>
      <c r="J60" t="s">
        <v>402</v>
      </c>
      <c r="M60" t="s">
        <v>484</v>
      </c>
      <c r="N60" t="e" vm="22">
        <v>#VALUE!</v>
      </c>
      <c r="O60" t="s">
        <v>11</v>
      </c>
      <c r="Q60" t="s">
        <v>776</v>
      </c>
      <c r="R60" s="1">
        <v>45976</v>
      </c>
      <c r="T60">
        <v>1</v>
      </c>
      <c r="U60">
        <v>1</v>
      </c>
      <c r="V60">
        <v>1</v>
      </c>
    </row>
    <row r="61" spans="1:22" x14ac:dyDescent="0.4">
      <c r="A61" t="s">
        <v>191</v>
      </c>
      <c r="D61" s="1">
        <v>45962</v>
      </c>
      <c r="E61" t="s">
        <v>15</v>
      </c>
      <c r="F61" s="2" t="s">
        <v>193</v>
      </c>
      <c r="H61" t="s">
        <v>194</v>
      </c>
      <c r="I61" t="s">
        <v>96</v>
      </c>
      <c r="J61" t="s">
        <v>402</v>
      </c>
      <c r="M61" s="2" t="s">
        <v>192</v>
      </c>
      <c r="N61" t="e" vm="11">
        <v>#VALUE!</v>
      </c>
      <c r="O61" t="s">
        <v>11</v>
      </c>
      <c r="Q61" t="s">
        <v>776</v>
      </c>
      <c r="R61" s="1">
        <v>45971</v>
      </c>
      <c r="T61">
        <v>1</v>
      </c>
      <c r="U61">
        <v>0</v>
      </c>
      <c r="V61">
        <v>0</v>
      </c>
    </row>
    <row r="62" spans="1:22" x14ac:dyDescent="0.4">
      <c r="A62" t="s">
        <v>198</v>
      </c>
      <c r="C62" t="s">
        <v>280</v>
      </c>
      <c r="D62" s="1">
        <v>45962</v>
      </c>
      <c r="E62" t="s">
        <v>15</v>
      </c>
      <c r="I62" t="s">
        <v>96</v>
      </c>
      <c r="J62" t="s">
        <v>402</v>
      </c>
      <c r="M62" s="2" t="s">
        <v>199</v>
      </c>
      <c r="N62" t="e" vm="41">
        <v>#VALUE!</v>
      </c>
      <c r="O62" t="s">
        <v>178</v>
      </c>
      <c r="Q62" t="s">
        <v>776</v>
      </c>
      <c r="R62" s="1">
        <v>45979</v>
      </c>
      <c r="T62">
        <v>1</v>
      </c>
      <c r="U62">
        <v>0</v>
      </c>
      <c r="V62">
        <v>1</v>
      </c>
    </row>
    <row r="63" spans="1:22" x14ac:dyDescent="0.4">
      <c r="A63" t="s">
        <v>561</v>
      </c>
      <c r="D63" s="1">
        <v>45962</v>
      </c>
      <c r="E63" t="s">
        <v>562</v>
      </c>
      <c r="I63" t="s">
        <v>96</v>
      </c>
      <c r="J63" t="s">
        <v>402</v>
      </c>
      <c r="M63" t="s">
        <v>563</v>
      </c>
      <c r="N63" t="e" vm="23">
        <v>#VALUE!</v>
      </c>
      <c r="O63" t="s">
        <v>11</v>
      </c>
      <c r="Q63" t="s">
        <v>776</v>
      </c>
      <c r="R63" s="1">
        <v>45962</v>
      </c>
      <c r="T63">
        <v>1</v>
      </c>
      <c r="U63">
        <v>1</v>
      </c>
      <c r="V63">
        <v>1</v>
      </c>
    </row>
    <row r="64" spans="1:22" x14ac:dyDescent="0.4">
      <c r="A64" t="s">
        <v>599</v>
      </c>
      <c r="D64" s="1">
        <v>45962</v>
      </c>
      <c r="E64" t="s">
        <v>40</v>
      </c>
      <c r="F64" t="s">
        <v>598</v>
      </c>
      <c r="I64" t="s">
        <v>96</v>
      </c>
      <c r="J64" t="s">
        <v>402</v>
      </c>
      <c r="M64" t="s">
        <v>597</v>
      </c>
      <c r="N64" t="e" vm="8">
        <v>#VALUE!</v>
      </c>
      <c r="O64" t="s">
        <v>11</v>
      </c>
      <c r="Q64" t="s">
        <v>776</v>
      </c>
      <c r="R64" s="1">
        <v>46244</v>
      </c>
      <c r="T64">
        <v>1</v>
      </c>
      <c r="U64">
        <v>0</v>
      </c>
      <c r="V64">
        <v>1</v>
      </c>
    </row>
    <row r="65" spans="1:22" x14ac:dyDescent="0.4">
      <c r="A65" t="s">
        <v>611</v>
      </c>
      <c r="D65" s="1">
        <v>45962</v>
      </c>
      <c r="E65" t="s">
        <v>40</v>
      </c>
      <c r="F65" t="s">
        <v>610</v>
      </c>
      <c r="I65" t="s">
        <v>96</v>
      </c>
      <c r="J65" t="s">
        <v>402</v>
      </c>
      <c r="M65" t="s">
        <v>609</v>
      </c>
      <c r="N65" t="e" vm="42">
        <v>#VALUE!</v>
      </c>
      <c r="O65" t="s">
        <v>11</v>
      </c>
      <c r="Q65" t="s">
        <v>776</v>
      </c>
      <c r="R65" s="1">
        <v>45962</v>
      </c>
      <c r="T65">
        <v>1</v>
      </c>
      <c r="U65">
        <v>1</v>
      </c>
      <c r="V65">
        <v>1</v>
      </c>
    </row>
    <row r="66" spans="1:22" x14ac:dyDescent="0.4">
      <c r="A66" t="s">
        <v>461</v>
      </c>
      <c r="D66" s="1">
        <v>45962</v>
      </c>
      <c r="E66" t="s">
        <v>463</v>
      </c>
      <c r="I66" t="s">
        <v>96</v>
      </c>
      <c r="J66" t="s">
        <v>402</v>
      </c>
      <c r="M66" t="s">
        <v>462</v>
      </c>
      <c r="N66" t="e" vm="43">
        <v>#VALUE!</v>
      </c>
      <c r="O66" t="s">
        <v>11</v>
      </c>
      <c r="Q66" t="s">
        <v>776</v>
      </c>
      <c r="R66" s="1">
        <v>46244</v>
      </c>
      <c r="T66">
        <v>1</v>
      </c>
      <c r="U66">
        <v>0</v>
      </c>
      <c r="V66">
        <v>0</v>
      </c>
    </row>
    <row r="67" spans="1:22" x14ac:dyDescent="0.4">
      <c r="A67" t="s">
        <v>622</v>
      </c>
      <c r="C67" t="s">
        <v>624</v>
      </c>
      <c r="D67" s="1">
        <v>45962</v>
      </c>
      <c r="E67" t="s">
        <v>40</v>
      </c>
      <c r="F67" t="s">
        <v>623</v>
      </c>
      <c r="I67" t="s">
        <v>96</v>
      </c>
      <c r="J67" t="s">
        <v>402</v>
      </c>
      <c r="M67" t="s">
        <v>625</v>
      </c>
      <c r="N67" t="e" vm="28">
        <v>#VALUE!</v>
      </c>
      <c r="O67" t="s">
        <v>11</v>
      </c>
      <c r="Q67" t="s">
        <v>776</v>
      </c>
      <c r="R67" s="1">
        <v>45992</v>
      </c>
      <c r="T67">
        <v>1</v>
      </c>
      <c r="U67">
        <v>0</v>
      </c>
      <c r="V67">
        <v>1</v>
      </c>
    </row>
    <row r="68" spans="1:22" x14ac:dyDescent="0.4">
      <c r="A68" t="s">
        <v>626</v>
      </c>
      <c r="D68" s="1">
        <v>45962</v>
      </c>
      <c r="E68" t="s">
        <v>40</v>
      </c>
      <c r="F68" t="s">
        <v>627</v>
      </c>
      <c r="I68" t="s">
        <v>96</v>
      </c>
      <c r="J68" t="s">
        <v>402</v>
      </c>
      <c r="M68" t="s">
        <v>628</v>
      </c>
      <c r="N68" t="e" vm="44">
        <v>#VALUE!</v>
      </c>
      <c r="O68" t="s">
        <v>11</v>
      </c>
      <c r="Q68" t="s">
        <v>776</v>
      </c>
      <c r="R68" s="1">
        <v>45971</v>
      </c>
      <c r="T68">
        <v>1</v>
      </c>
      <c r="U68">
        <v>0</v>
      </c>
      <c r="V68">
        <v>0</v>
      </c>
    </row>
    <row r="69" spans="1:22" x14ac:dyDescent="0.4">
      <c r="A69" t="s">
        <v>189</v>
      </c>
      <c r="D69" s="1">
        <v>45962</v>
      </c>
      <c r="E69" t="s">
        <v>15</v>
      </c>
      <c r="I69" t="s">
        <v>96</v>
      </c>
      <c r="J69" t="s">
        <v>402</v>
      </c>
      <c r="M69" s="2" t="s">
        <v>190</v>
      </c>
      <c r="N69" t="e" vm="45">
        <v>#VALUE!</v>
      </c>
      <c r="O69" t="s">
        <v>11</v>
      </c>
      <c r="Q69" t="s">
        <v>776</v>
      </c>
      <c r="R69" s="1">
        <v>45971</v>
      </c>
      <c r="T69">
        <v>1</v>
      </c>
      <c r="U69">
        <v>1</v>
      </c>
      <c r="V69">
        <v>0</v>
      </c>
    </row>
    <row r="70" spans="1:22" x14ac:dyDescent="0.4">
      <c r="A70" t="s">
        <v>195</v>
      </c>
      <c r="D70" s="1">
        <v>45962</v>
      </c>
      <c r="E70" t="s">
        <v>15</v>
      </c>
      <c r="F70" s="2" t="s">
        <v>197</v>
      </c>
      <c r="I70" t="s">
        <v>96</v>
      </c>
      <c r="J70" t="s">
        <v>402</v>
      </c>
      <c r="M70" s="2" t="s">
        <v>196</v>
      </c>
      <c r="N70" t="e" vm="9">
        <v>#VALUE!</v>
      </c>
      <c r="O70" t="s">
        <v>11</v>
      </c>
      <c r="Q70" t="s">
        <v>776</v>
      </c>
      <c r="R70" s="1">
        <v>45971</v>
      </c>
      <c r="T70">
        <v>1</v>
      </c>
      <c r="U70">
        <v>1</v>
      </c>
      <c r="V70">
        <v>1</v>
      </c>
    </row>
    <row r="71" spans="1:22" x14ac:dyDescent="0.4">
      <c r="A71" s="4" t="s">
        <v>314</v>
      </c>
      <c r="C71" t="s">
        <v>315</v>
      </c>
      <c r="D71" s="1">
        <v>45966</v>
      </c>
      <c r="E71" t="s">
        <v>15</v>
      </c>
      <c r="G71">
        <v>1</v>
      </c>
      <c r="I71" t="s">
        <v>96</v>
      </c>
      <c r="J71" t="s">
        <v>402</v>
      </c>
      <c r="K71" t="s">
        <v>309</v>
      </c>
      <c r="L71" s="1">
        <v>45976</v>
      </c>
      <c r="M71" t="s">
        <v>313</v>
      </c>
      <c r="N71" t="e" vm="45">
        <v>#VALUE!</v>
      </c>
      <c r="O71" t="s">
        <v>11</v>
      </c>
      <c r="Q71" t="s">
        <v>776</v>
      </c>
      <c r="R71" s="1">
        <v>45977</v>
      </c>
      <c r="T71">
        <v>1</v>
      </c>
      <c r="U71">
        <v>1</v>
      </c>
      <c r="V71">
        <v>0</v>
      </c>
    </row>
    <row r="72" spans="1:22" x14ac:dyDescent="0.4">
      <c r="A72" s="4" t="s">
        <v>201</v>
      </c>
      <c r="B72" s="19"/>
      <c r="D72" s="1">
        <v>45966</v>
      </c>
      <c r="E72" t="s">
        <v>15</v>
      </c>
      <c r="G72">
        <v>3</v>
      </c>
      <c r="I72" t="s">
        <v>96</v>
      </c>
      <c r="J72" t="s">
        <v>402</v>
      </c>
      <c r="K72" t="s">
        <v>309</v>
      </c>
      <c r="L72" s="1">
        <v>45976</v>
      </c>
      <c r="M72" s="2" t="s">
        <v>200</v>
      </c>
      <c r="N72" t="e" vm="46">
        <v>#VALUE!</v>
      </c>
      <c r="O72" t="s">
        <v>11</v>
      </c>
      <c r="Q72" t="s">
        <v>776</v>
      </c>
      <c r="R72" s="1">
        <v>45974</v>
      </c>
      <c r="T72">
        <v>1</v>
      </c>
      <c r="U72">
        <v>0</v>
      </c>
      <c r="V72">
        <v>0</v>
      </c>
    </row>
    <row r="73" spans="1:22" x14ac:dyDescent="0.4">
      <c r="A73" s="4" t="s">
        <v>116</v>
      </c>
      <c r="B73" s="19"/>
      <c r="C73" t="s">
        <v>407</v>
      </c>
      <c r="D73" s="1">
        <v>45966</v>
      </c>
      <c r="E73" t="s">
        <v>15</v>
      </c>
      <c r="G73">
        <v>2</v>
      </c>
      <c r="I73" t="s">
        <v>96</v>
      </c>
      <c r="J73" t="s">
        <v>402</v>
      </c>
      <c r="K73" t="s">
        <v>309</v>
      </c>
      <c r="L73" s="1">
        <v>45976</v>
      </c>
      <c r="M73" s="2" t="s">
        <v>117</v>
      </c>
      <c r="N73" t="e" vm="9">
        <v>#VALUE!</v>
      </c>
      <c r="O73" t="s">
        <v>11</v>
      </c>
      <c r="Q73" t="s">
        <v>776</v>
      </c>
      <c r="R73" s="1">
        <v>45971</v>
      </c>
      <c r="T73">
        <v>1</v>
      </c>
      <c r="U73">
        <v>0</v>
      </c>
      <c r="V73">
        <v>0</v>
      </c>
    </row>
    <row r="74" spans="1:22" x14ac:dyDescent="0.4">
      <c r="A74" t="s">
        <v>396</v>
      </c>
      <c r="D74" s="1">
        <v>45966</v>
      </c>
      <c r="E74" t="s">
        <v>15</v>
      </c>
      <c r="H74" t="s">
        <v>398</v>
      </c>
      <c r="I74" t="s">
        <v>96</v>
      </c>
      <c r="J74" t="s">
        <v>402</v>
      </c>
      <c r="M74" t="s">
        <v>397</v>
      </c>
      <c r="N74" t="e" vm="47">
        <v>#VALUE!</v>
      </c>
      <c r="O74" t="s">
        <v>26</v>
      </c>
      <c r="Q74" t="s">
        <v>776</v>
      </c>
      <c r="R74" s="1">
        <v>45976</v>
      </c>
      <c r="T74">
        <v>1</v>
      </c>
      <c r="U74">
        <v>0</v>
      </c>
      <c r="V74">
        <v>0</v>
      </c>
    </row>
    <row r="75" spans="1:22" x14ac:dyDescent="0.4">
      <c r="A75" t="s">
        <v>33</v>
      </c>
      <c r="D75" s="1">
        <v>45966</v>
      </c>
      <c r="E75" t="s">
        <v>15</v>
      </c>
      <c r="F75" s="2" t="s">
        <v>34</v>
      </c>
      <c r="H75" s="1"/>
      <c r="I75" t="s">
        <v>96</v>
      </c>
      <c r="J75" t="s">
        <v>402</v>
      </c>
      <c r="M75" s="2" t="s">
        <v>32</v>
      </c>
      <c r="N75" t="e" vm="48">
        <v>#VALUE!</v>
      </c>
      <c r="O75" t="s">
        <v>11</v>
      </c>
      <c r="P75" t="s">
        <v>18</v>
      </c>
      <c r="Q75" t="s">
        <v>776</v>
      </c>
      <c r="R75" s="1">
        <v>45971</v>
      </c>
      <c r="S75" s="2"/>
      <c r="T75">
        <v>1</v>
      </c>
      <c r="U75">
        <v>0</v>
      </c>
      <c r="V75">
        <v>1</v>
      </c>
    </row>
    <row r="76" spans="1:22" x14ac:dyDescent="0.4">
      <c r="A76" t="s">
        <v>93</v>
      </c>
      <c r="D76" s="1">
        <v>45966</v>
      </c>
      <c r="E76" t="s">
        <v>40</v>
      </c>
      <c r="F76" t="s">
        <v>95</v>
      </c>
      <c r="H76" s="1"/>
      <c r="I76" t="s">
        <v>96</v>
      </c>
      <c r="J76" t="s">
        <v>402</v>
      </c>
      <c r="M76" s="2" t="s">
        <v>94</v>
      </c>
      <c r="N76" t="e" vm="49">
        <v>#VALUE!</v>
      </c>
      <c r="O76" t="s">
        <v>11</v>
      </c>
      <c r="Q76" t="s">
        <v>776</v>
      </c>
      <c r="R76" s="1">
        <v>45971</v>
      </c>
      <c r="T76">
        <v>1</v>
      </c>
      <c r="U76">
        <v>0</v>
      </c>
      <c r="V76">
        <v>0</v>
      </c>
    </row>
    <row r="77" spans="1:22" x14ac:dyDescent="0.4">
      <c r="A77" t="s">
        <v>427</v>
      </c>
      <c r="D77" s="1">
        <v>45966</v>
      </c>
      <c r="E77" t="s">
        <v>428</v>
      </c>
      <c r="I77" t="s">
        <v>96</v>
      </c>
      <c r="J77" t="s">
        <v>402</v>
      </c>
      <c r="M77" t="s">
        <v>429</v>
      </c>
      <c r="N77" t="e" vm="38">
        <v>#VALUE!</v>
      </c>
      <c r="O77" t="s">
        <v>11</v>
      </c>
      <c r="Q77" t="s">
        <v>776</v>
      </c>
      <c r="R77" s="1">
        <v>45977</v>
      </c>
      <c r="T77">
        <v>1</v>
      </c>
      <c r="U77">
        <v>0</v>
      </c>
      <c r="V77">
        <v>0</v>
      </c>
    </row>
    <row r="78" spans="1:22" x14ac:dyDescent="0.4">
      <c r="A78" t="s">
        <v>444</v>
      </c>
      <c r="C78" t="s">
        <v>447</v>
      </c>
      <c r="D78" s="1">
        <v>45966</v>
      </c>
      <c r="E78" t="s">
        <v>445</v>
      </c>
      <c r="I78" t="s">
        <v>96</v>
      </c>
      <c r="J78" t="s">
        <v>403</v>
      </c>
      <c r="M78" t="s">
        <v>446</v>
      </c>
      <c r="N78" t="e" vm="50">
        <v>#VALUE!</v>
      </c>
      <c r="O78" t="s">
        <v>11</v>
      </c>
      <c r="Q78" t="s">
        <v>776</v>
      </c>
      <c r="R78" s="1">
        <v>45972</v>
      </c>
      <c r="T78">
        <v>1</v>
      </c>
      <c r="U78">
        <v>1</v>
      </c>
      <c r="V78">
        <v>1</v>
      </c>
    </row>
    <row r="79" spans="1:22" x14ac:dyDescent="0.4">
      <c r="A79" t="s">
        <v>452</v>
      </c>
      <c r="C79" t="s">
        <v>455</v>
      </c>
      <c r="D79" s="1">
        <v>45966</v>
      </c>
      <c r="E79" t="s">
        <v>40</v>
      </c>
      <c r="F79" t="s">
        <v>453</v>
      </c>
      <c r="G79">
        <v>1</v>
      </c>
      <c r="I79" t="s">
        <v>96</v>
      </c>
      <c r="J79" t="s">
        <v>402</v>
      </c>
      <c r="M79" t="s">
        <v>454</v>
      </c>
      <c r="N79" t="e" vm="51">
        <v>#VALUE!</v>
      </c>
      <c r="O79" t="s">
        <v>11</v>
      </c>
      <c r="Q79" t="s">
        <v>776</v>
      </c>
      <c r="R79" s="1">
        <v>45977</v>
      </c>
      <c r="T79">
        <v>1</v>
      </c>
      <c r="U79">
        <v>0</v>
      </c>
      <c r="V79">
        <v>0</v>
      </c>
    </row>
    <row r="80" spans="1:22" x14ac:dyDescent="0.4">
      <c r="A80" t="s">
        <v>436</v>
      </c>
      <c r="C80" t="s">
        <v>439</v>
      </c>
      <c r="D80" s="1">
        <v>45966</v>
      </c>
      <c r="E80" t="s">
        <v>15</v>
      </c>
      <c r="F80" t="s">
        <v>437</v>
      </c>
      <c r="I80" t="s">
        <v>96</v>
      </c>
      <c r="J80" t="s">
        <v>402</v>
      </c>
      <c r="M80" t="s">
        <v>438</v>
      </c>
      <c r="N80" t="e" vm="52">
        <v>#VALUE!</v>
      </c>
      <c r="O80" t="s">
        <v>11</v>
      </c>
      <c r="Q80" t="s">
        <v>776</v>
      </c>
      <c r="R80" s="1">
        <v>45975</v>
      </c>
      <c r="T80">
        <v>1</v>
      </c>
      <c r="U80">
        <v>1</v>
      </c>
      <c r="V80">
        <v>1</v>
      </c>
    </row>
    <row r="81" spans="1:22" x14ac:dyDescent="0.4">
      <c r="A81" t="s">
        <v>318</v>
      </c>
      <c r="D81" s="1">
        <v>45966</v>
      </c>
      <c r="E81" t="s">
        <v>15</v>
      </c>
      <c r="I81" t="s">
        <v>96</v>
      </c>
      <c r="J81" t="s">
        <v>402</v>
      </c>
      <c r="M81" t="s">
        <v>395</v>
      </c>
      <c r="N81" t="e" vm="53">
        <v>#VALUE!</v>
      </c>
      <c r="O81" t="s">
        <v>11</v>
      </c>
      <c r="Q81" t="s">
        <v>776</v>
      </c>
      <c r="R81" s="1">
        <v>45976</v>
      </c>
      <c r="T81">
        <v>1</v>
      </c>
      <c r="U81">
        <v>0</v>
      </c>
      <c r="V81">
        <v>0</v>
      </c>
    </row>
    <row r="82" spans="1:22" x14ac:dyDescent="0.4">
      <c r="A82" t="s">
        <v>317</v>
      </c>
      <c r="D82" s="1">
        <v>45966</v>
      </c>
      <c r="E82" t="s">
        <v>15</v>
      </c>
      <c r="I82" t="s">
        <v>96</v>
      </c>
      <c r="J82" t="s">
        <v>402</v>
      </c>
      <c r="M82" t="s">
        <v>316</v>
      </c>
      <c r="N82" t="e" vm="54">
        <v>#VALUE!</v>
      </c>
      <c r="O82" t="s">
        <v>11</v>
      </c>
      <c r="Q82" t="s">
        <v>776</v>
      </c>
      <c r="R82" s="1">
        <v>45977</v>
      </c>
      <c r="T82">
        <v>1</v>
      </c>
      <c r="U82">
        <v>0</v>
      </c>
      <c r="V82">
        <v>0</v>
      </c>
    </row>
    <row r="83" spans="1:22" x14ac:dyDescent="0.4">
      <c r="A83" t="s">
        <v>456</v>
      </c>
      <c r="D83" s="1">
        <v>45966</v>
      </c>
      <c r="E83" t="s">
        <v>40</v>
      </c>
      <c r="G83">
        <v>1</v>
      </c>
      <c r="H83" t="s">
        <v>503</v>
      </c>
      <c r="I83" t="s">
        <v>96</v>
      </c>
      <c r="J83" t="s">
        <v>402</v>
      </c>
      <c r="L83" s="1"/>
      <c r="M83" t="s">
        <v>457</v>
      </c>
      <c r="N83" t="e" vm="55">
        <v>#VALUE!</v>
      </c>
      <c r="O83" t="s">
        <v>11</v>
      </c>
      <c r="Q83" t="s">
        <v>776</v>
      </c>
      <c r="R83" s="1">
        <v>45976</v>
      </c>
      <c r="T83">
        <v>1</v>
      </c>
      <c r="U83">
        <v>1</v>
      </c>
      <c r="V83">
        <v>1</v>
      </c>
    </row>
    <row r="84" spans="1:22" x14ac:dyDescent="0.4">
      <c r="A84" t="s">
        <v>216</v>
      </c>
      <c r="D84" s="1">
        <v>45966</v>
      </c>
      <c r="E84" t="s">
        <v>40</v>
      </c>
      <c r="F84" t="s">
        <v>217</v>
      </c>
      <c r="I84" t="s">
        <v>96</v>
      </c>
      <c r="J84" t="s">
        <v>402</v>
      </c>
      <c r="M84" t="s">
        <v>215</v>
      </c>
      <c r="N84" t="e" vm="6">
        <v>#VALUE!</v>
      </c>
      <c r="O84" t="s">
        <v>11</v>
      </c>
      <c r="Q84" t="s">
        <v>776</v>
      </c>
      <c r="R84" s="1">
        <v>45975</v>
      </c>
      <c r="T84">
        <v>1</v>
      </c>
      <c r="U84">
        <v>0</v>
      </c>
      <c r="V84">
        <v>0</v>
      </c>
    </row>
    <row r="85" spans="1:22" x14ac:dyDescent="0.4">
      <c r="A85" t="s">
        <v>464</v>
      </c>
      <c r="D85" s="1">
        <v>45966</v>
      </c>
      <c r="E85" t="s">
        <v>465</v>
      </c>
      <c r="I85" t="s">
        <v>96</v>
      </c>
      <c r="J85" t="s">
        <v>402</v>
      </c>
      <c r="M85" t="s">
        <v>466</v>
      </c>
      <c r="N85" t="e" vm="52">
        <v>#VALUE!</v>
      </c>
      <c r="O85" t="s">
        <v>11</v>
      </c>
      <c r="Q85" t="s">
        <v>776</v>
      </c>
      <c r="R85" s="1">
        <v>45976</v>
      </c>
      <c r="T85">
        <v>1</v>
      </c>
      <c r="U85">
        <v>0</v>
      </c>
      <c r="V85">
        <v>1</v>
      </c>
    </row>
    <row r="86" spans="1:22" x14ac:dyDescent="0.4">
      <c r="A86" t="s">
        <v>467</v>
      </c>
      <c r="D86" s="1">
        <v>45966</v>
      </c>
      <c r="E86" s="2" t="s">
        <v>468</v>
      </c>
      <c r="I86" t="s">
        <v>96</v>
      </c>
      <c r="J86" t="s">
        <v>402</v>
      </c>
      <c r="M86" t="s">
        <v>469</v>
      </c>
      <c r="N86" t="e" vm="30">
        <v>#VALUE!</v>
      </c>
      <c r="O86" t="s">
        <v>11</v>
      </c>
      <c r="Q86" t="s">
        <v>776</v>
      </c>
      <c r="R86" s="1">
        <v>45975</v>
      </c>
      <c r="T86">
        <v>1</v>
      </c>
      <c r="U86">
        <v>1</v>
      </c>
      <c r="V86">
        <v>1</v>
      </c>
    </row>
    <row r="87" spans="1:22" x14ac:dyDescent="0.4">
      <c r="A87" t="s">
        <v>214</v>
      </c>
      <c r="D87" s="1">
        <v>45966</v>
      </c>
      <c r="E87" t="s">
        <v>40</v>
      </c>
      <c r="F87" t="s">
        <v>218</v>
      </c>
      <c r="I87" t="s">
        <v>96</v>
      </c>
      <c r="J87" t="s">
        <v>402</v>
      </c>
      <c r="M87" t="s">
        <v>213</v>
      </c>
      <c r="N87" t="e" vm="6">
        <v>#VALUE!</v>
      </c>
      <c r="O87" t="s">
        <v>11</v>
      </c>
      <c r="Q87" t="s">
        <v>776</v>
      </c>
      <c r="R87" s="1">
        <v>45716</v>
      </c>
      <c r="T87">
        <v>1</v>
      </c>
      <c r="U87">
        <v>0</v>
      </c>
      <c r="V87">
        <v>0</v>
      </c>
    </row>
    <row r="88" spans="1:22" x14ac:dyDescent="0.4">
      <c r="A88" t="s">
        <v>519</v>
      </c>
      <c r="D88" s="1">
        <v>45966</v>
      </c>
      <c r="E88" t="s">
        <v>40</v>
      </c>
      <c r="I88" t="s">
        <v>96</v>
      </c>
      <c r="J88" t="s">
        <v>402</v>
      </c>
      <c r="M88" t="s">
        <v>518</v>
      </c>
      <c r="N88" t="e" vm="56">
        <v>#VALUE!</v>
      </c>
      <c r="O88" t="s">
        <v>11</v>
      </c>
      <c r="Q88" t="s">
        <v>776</v>
      </c>
      <c r="R88" s="1">
        <v>46033</v>
      </c>
      <c r="T88">
        <v>1</v>
      </c>
      <c r="U88">
        <v>0</v>
      </c>
      <c r="V88">
        <v>0</v>
      </c>
    </row>
    <row r="89" spans="1:22" x14ac:dyDescent="0.4">
      <c r="A89" t="s">
        <v>327</v>
      </c>
      <c r="D89" s="1">
        <v>45966</v>
      </c>
      <c r="E89" t="s">
        <v>15</v>
      </c>
      <c r="I89" t="s">
        <v>96</v>
      </c>
      <c r="J89" t="s">
        <v>402</v>
      </c>
      <c r="M89" t="s">
        <v>326</v>
      </c>
      <c r="N89" t="e" vm="46">
        <v>#VALUE!</v>
      </c>
      <c r="O89" t="s">
        <v>11</v>
      </c>
      <c r="Q89" t="s">
        <v>776</v>
      </c>
      <c r="R89" s="1">
        <v>45976</v>
      </c>
      <c r="T89">
        <v>1</v>
      </c>
      <c r="U89">
        <v>0</v>
      </c>
      <c r="V89">
        <v>0</v>
      </c>
    </row>
    <row r="90" spans="1:22" x14ac:dyDescent="0.4">
      <c r="A90" t="s">
        <v>334</v>
      </c>
      <c r="D90" s="1">
        <v>45966</v>
      </c>
      <c r="E90" t="s">
        <v>15</v>
      </c>
      <c r="H90" t="s">
        <v>335</v>
      </c>
      <c r="I90" t="s">
        <v>96</v>
      </c>
      <c r="J90" t="s">
        <v>402</v>
      </c>
      <c r="M90" t="s">
        <v>333</v>
      </c>
      <c r="N90" t="e" vm="46">
        <v>#VALUE!</v>
      </c>
      <c r="O90" t="s">
        <v>11</v>
      </c>
      <c r="Q90" t="s">
        <v>776</v>
      </c>
      <c r="R90" s="1">
        <v>45975</v>
      </c>
      <c r="T90">
        <v>1</v>
      </c>
      <c r="U90">
        <v>0</v>
      </c>
      <c r="V90">
        <v>0</v>
      </c>
    </row>
    <row r="91" spans="1:22" x14ac:dyDescent="0.4">
      <c r="A91" t="s">
        <v>331</v>
      </c>
      <c r="D91" s="1">
        <v>45966</v>
      </c>
      <c r="E91" t="s">
        <v>15</v>
      </c>
      <c r="H91" t="s">
        <v>332</v>
      </c>
      <c r="I91" t="s">
        <v>96</v>
      </c>
      <c r="J91" t="s">
        <v>402</v>
      </c>
      <c r="M91" t="s">
        <v>330</v>
      </c>
      <c r="N91" t="e" vm="46">
        <v>#VALUE!</v>
      </c>
      <c r="O91" t="s">
        <v>26</v>
      </c>
      <c r="Q91" t="s">
        <v>776</v>
      </c>
      <c r="R91" s="1">
        <v>45975</v>
      </c>
      <c r="T91">
        <v>1</v>
      </c>
      <c r="U91">
        <v>0</v>
      </c>
      <c r="V91">
        <v>0</v>
      </c>
    </row>
    <row r="92" spans="1:22" x14ac:dyDescent="0.4">
      <c r="A92" t="s">
        <v>89</v>
      </c>
      <c r="D92" s="1">
        <v>45966</v>
      </c>
      <c r="E92" t="s">
        <v>91</v>
      </c>
      <c r="H92" s="1"/>
      <c r="I92" t="s">
        <v>96</v>
      </c>
      <c r="J92" t="s">
        <v>402</v>
      </c>
      <c r="M92" s="2" t="s">
        <v>90</v>
      </c>
      <c r="N92" t="e" vm="57">
        <v>#VALUE!</v>
      </c>
      <c r="O92" t="s">
        <v>11</v>
      </c>
      <c r="P92" t="s">
        <v>92</v>
      </c>
      <c r="Q92" t="s">
        <v>776</v>
      </c>
      <c r="R92" s="1">
        <v>45971</v>
      </c>
      <c r="T92">
        <v>1</v>
      </c>
      <c r="U92">
        <v>0</v>
      </c>
      <c r="V92">
        <v>1</v>
      </c>
    </row>
    <row r="93" spans="1:22" x14ac:dyDescent="0.4">
      <c r="A93" t="s">
        <v>329</v>
      </c>
      <c r="D93" s="1">
        <v>45966</v>
      </c>
      <c r="E93" t="s">
        <v>15</v>
      </c>
      <c r="I93" t="s">
        <v>96</v>
      </c>
      <c r="J93" t="s">
        <v>402</v>
      </c>
      <c r="M93" t="s">
        <v>328</v>
      </c>
      <c r="N93" t="e" vm="45">
        <v>#VALUE!</v>
      </c>
      <c r="O93" t="s">
        <v>11</v>
      </c>
      <c r="Q93" t="s">
        <v>776</v>
      </c>
      <c r="R93" s="1">
        <v>45975</v>
      </c>
      <c r="T93">
        <v>1</v>
      </c>
      <c r="U93">
        <v>0</v>
      </c>
      <c r="V93">
        <v>0</v>
      </c>
    </row>
    <row r="94" spans="1:22" x14ac:dyDescent="0.4">
      <c r="A94" t="s">
        <v>161</v>
      </c>
      <c r="D94" s="1">
        <v>45966</v>
      </c>
      <c r="E94" t="s">
        <v>15</v>
      </c>
      <c r="F94" s="2" t="s">
        <v>163</v>
      </c>
      <c r="I94" t="s">
        <v>96</v>
      </c>
      <c r="J94" t="s">
        <v>402</v>
      </c>
      <c r="M94" s="2" t="s">
        <v>162</v>
      </c>
      <c r="N94" t="e" vm="44">
        <v>#VALUE!</v>
      </c>
      <c r="O94" t="s">
        <v>11</v>
      </c>
      <c r="P94" t="s">
        <v>92</v>
      </c>
      <c r="Q94" t="s">
        <v>776</v>
      </c>
      <c r="R94" s="1">
        <v>45971</v>
      </c>
      <c r="T94">
        <v>1</v>
      </c>
      <c r="U94">
        <v>1</v>
      </c>
      <c r="V94">
        <v>1</v>
      </c>
    </row>
    <row r="95" spans="1:22" x14ac:dyDescent="0.4">
      <c r="A95" t="s">
        <v>365</v>
      </c>
      <c r="D95" s="1">
        <v>45966</v>
      </c>
      <c r="E95" t="s">
        <v>367</v>
      </c>
      <c r="I95" t="s">
        <v>96</v>
      </c>
      <c r="J95" t="s">
        <v>402</v>
      </c>
      <c r="M95" t="s">
        <v>366</v>
      </c>
      <c r="N95" t="e" vm="58">
        <v>#VALUE!</v>
      </c>
      <c r="O95" t="s">
        <v>11</v>
      </c>
      <c r="Q95" t="s">
        <v>776</v>
      </c>
      <c r="R95" s="1">
        <v>45975</v>
      </c>
      <c r="T95">
        <v>1</v>
      </c>
      <c r="U95">
        <v>0</v>
      </c>
      <c r="V95">
        <v>1</v>
      </c>
    </row>
    <row r="96" spans="1:22" x14ac:dyDescent="0.4">
      <c r="A96" t="s">
        <v>234</v>
      </c>
      <c r="D96" s="1">
        <v>45966</v>
      </c>
      <c r="E96" t="s">
        <v>40</v>
      </c>
      <c r="F96" t="s">
        <v>235</v>
      </c>
      <c r="G96">
        <v>1</v>
      </c>
      <c r="I96" t="s">
        <v>96</v>
      </c>
      <c r="J96" t="s">
        <v>402</v>
      </c>
      <c r="M96" t="s">
        <v>233</v>
      </c>
      <c r="N96" t="e" vm="59">
        <v>#VALUE!</v>
      </c>
      <c r="O96" t="s">
        <v>11</v>
      </c>
      <c r="Q96" t="s">
        <v>776</v>
      </c>
      <c r="R96" s="1">
        <v>45976</v>
      </c>
      <c r="T96">
        <v>1</v>
      </c>
      <c r="U96">
        <v>1</v>
      </c>
      <c r="V96">
        <v>1</v>
      </c>
    </row>
    <row r="97" spans="1:22" x14ac:dyDescent="0.4">
      <c r="A97" t="s">
        <v>393</v>
      </c>
      <c r="D97" s="1">
        <v>45966</v>
      </c>
      <c r="E97" t="s">
        <v>15</v>
      </c>
      <c r="I97" t="s">
        <v>96</v>
      </c>
      <c r="J97" t="s">
        <v>402</v>
      </c>
      <c r="M97" t="s">
        <v>394</v>
      </c>
      <c r="N97" t="e" vm="60">
        <v>#VALUE!</v>
      </c>
      <c r="Q97" t="s">
        <v>776</v>
      </c>
      <c r="R97" s="1">
        <v>45977</v>
      </c>
      <c r="T97">
        <v>1</v>
      </c>
      <c r="U97">
        <v>0</v>
      </c>
      <c r="V97">
        <v>0</v>
      </c>
    </row>
    <row r="98" spans="1:22" x14ac:dyDescent="0.4">
      <c r="A98" t="s">
        <v>311</v>
      </c>
      <c r="D98" s="1">
        <v>45966</v>
      </c>
      <c r="E98" t="s">
        <v>15</v>
      </c>
      <c r="H98" t="s">
        <v>312</v>
      </c>
      <c r="I98" t="s">
        <v>96</v>
      </c>
      <c r="J98" t="s">
        <v>402</v>
      </c>
      <c r="M98" t="s">
        <v>310</v>
      </c>
      <c r="N98" t="e" vm="14">
        <v>#VALUE!</v>
      </c>
      <c r="O98" t="s">
        <v>11</v>
      </c>
      <c r="Q98" t="s">
        <v>776</v>
      </c>
      <c r="R98" s="1">
        <v>45978</v>
      </c>
      <c r="T98">
        <v>1</v>
      </c>
      <c r="U98">
        <v>0</v>
      </c>
      <c r="V98">
        <v>0</v>
      </c>
    </row>
    <row r="99" spans="1:22" x14ac:dyDescent="0.4">
      <c r="A99" s="4" t="s">
        <v>278</v>
      </c>
      <c r="B99" s="19"/>
      <c r="C99" t="s">
        <v>279</v>
      </c>
      <c r="D99" s="1">
        <v>45971</v>
      </c>
      <c r="E99" t="s">
        <v>15</v>
      </c>
      <c r="G99">
        <v>1</v>
      </c>
      <c r="I99" t="s">
        <v>96</v>
      </c>
      <c r="J99" t="s">
        <v>402</v>
      </c>
      <c r="K99" t="s">
        <v>309</v>
      </c>
      <c r="L99" s="1">
        <v>45976</v>
      </c>
      <c r="M99" t="s">
        <v>277</v>
      </c>
      <c r="N99" t="e" vm="41">
        <v>#VALUE!</v>
      </c>
      <c r="O99" t="s">
        <v>11</v>
      </c>
      <c r="Q99" t="s">
        <v>776</v>
      </c>
      <c r="R99" s="1">
        <v>45976</v>
      </c>
      <c r="T99">
        <v>1</v>
      </c>
      <c r="U99">
        <v>0</v>
      </c>
      <c r="V99">
        <v>1</v>
      </c>
    </row>
    <row r="100" spans="1:22" x14ac:dyDescent="0.4">
      <c r="A100" s="4" t="s">
        <v>24</v>
      </c>
      <c r="D100" s="1">
        <v>45971</v>
      </c>
      <c r="E100" t="s">
        <v>15</v>
      </c>
      <c r="F100" t="s">
        <v>15</v>
      </c>
      <c r="G100">
        <v>2</v>
      </c>
      <c r="H100" s="1" t="s">
        <v>567</v>
      </c>
      <c r="I100" t="s">
        <v>96</v>
      </c>
      <c r="J100" t="s">
        <v>402</v>
      </c>
      <c r="K100" t="s">
        <v>309</v>
      </c>
      <c r="L100" s="1">
        <v>45976</v>
      </c>
      <c r="M100" s="2" t="s">
        <v>25</v>
      </c>
      <c r="N100" t="e" vm="61">
        <v>#VALUE!</v>
      </c>
      <c r="O100" t="s">
        <v>26</v>
      </c>
      <c r="P100" t="s">
        <v>27</v>
      </c>
      <c r="Q100" t="s">
        <v>776</v>
      </c>
      <c r="R100" s="1">
        <v>45978</v>
      </c>
      <c r="T100">
        <v>1</v>
      </c>
      <c r="U100">
        <v>0</v>
      </c>
      <c r="V100">
        <v>0</v>
      </c>
    </row>
    <row r="101" spans="1:22" x14ac:dyDescent="0.4">
      <c r="A101" s="4" t="s">
        <v>70</v>
      </c>
      <c r="D101" s="1">
        <v>45971</v>
      </c>
      <c r="E101" t="s">
        <v>72</v>
      </c>
      <c r="G101">
        <v>3</v>
      </c>
      <c r="H101" s="1"/>
      <c r="I101" t="s">
        <v>96</v>
      </c>
      <c r="J101" t="s">
        <v>402</v>
      </c>
      <c r="K101" t="s">
        <v>309</v>
      </c>
      <c r="L101" s="1">
        <v>45976</v>
      </c>
      <c r="M101" s="2" t="s">
        <v>71</v>
      </c>
      <c r="N101" t="e" vm="62">
        <v>#VALUE!</v>
      </c>
      <c r="O101" t="s">
        <v>11</v>
      </c>
      <c r="Q101" t="s">
        <v>776</v>
      </c>
      <c r="R101" s="1">
        <v>45976</v>
      </c>
      <c r="T101">
        <v>1</v>
      </c>
      <c r="U101">
        <v>0</v>
      </c>
      <c r="V101">
        <v>0</v>
      </c>
    </row>
    <row r="102" spans="1:22" x14ac:dyDescent="0.4">
      <c r="A102" s="4" t="s">
        <v>272</v>
      </c>
      <c r="B102" s="19"/>
      <c r="C102" t="s">
        <v>274</v>
      </c>
      <c r="D102" s="1">
        <v>45971</v>
      </c>
      <c r="E102" t="s">
        <v>15</v>
      </c>
      <c r="G102">
        <v>2</v>
      </c>
      <c r="H102" t="s">
        <v>273</v>
      </c>
      <c r="I102" t="s">
        <v>96</v>
      </c>
      <c r="J102" t="s">
        <v>402</v>
      </c>
      <c r="K102" t="s">
        <v>309</v>
      </c>
      <c r="L102" s="1">
        <v>45976</v>
      </c>
      <c r="M102" t="s">
        <v>160</v>
      </c>
      <c r="N102" t="e" vm="18">
        <v>#VALUE!</v>
      </c>
      <c r="O102" t="s">
        <v>11</v>
      </c>
      <c r="Q102" t="s">
        <v>776</v>
      </c>
      <c r="R102" s="1">
        <v>45977</v>
      </c>
      <c r="T102">
        <v>1</v>
      </c>
      <c r="U102">
        <v>0</v>
      </c>
      <c r="V102">
        <v>1</v>
      </c>
    </row>
    <row r="103" spans="1:22" x14ac:dyDescent="0.4">
      <c r="A103" s="4" t="s">
        <v>85</v>
      </c>
      <c r="D103" s="1">
        <v>45971</v>
      </c>
      <c r="E103" t="s">
        <v>15</v>
      </c>
      <c r="G103">
        <v>2</v>
      </c>
      <c r="H103" s="1"/>
      <c r="I103" t="s">
        <v>96</v>
      </c>
      <c r="J103" t="s">
        <v>402</v>
      </c>
      <c r="K103" t="s">
        <v>309</v>
      </c>
      <c r="L103" s="1">
        <v>45976</v>
      </c>
      <c r="M103" s="2" t="s">
        <v>86</v>
      </c>
      <c r="N103" t="e" vm="63">
        <v>#VALUE!</v>
      </c>
      <c r="O103" t="s">
        <v>11</v>
      </c>
      <c r="Q103" t="s">
        <v>776</v>
      </c>
      <c r="R103" s="1">
        <v>45976</v>
      </c>
      <c r="T103">
        <v>1</v>
      </c>
      <c r="U103">
        <v>0</v>
      </c>
      <c r="V103">
        <v>0</v>
      </c>
    </row>
    <row r="104" spans="1:22" x14ac:dyDescent="0.4">
      <c r="A104" s="4" t="s">
        <v>271</v>
      </c>
      <c r="D104" s="1">
        <v>45971</v>
      </c>
      <c r="E104" t="s">
        <v>15</v>
      </c>
      <c r="G104">
        <v>1</v>
      </c>
      <c r="I104" t="s">
        <v>96</v>
      </c>
      <c r="J104" t="s">
        <v>402</v>
      </c>
      <c r="K104" t="s">
        <v>309</v>
      </c>
      <c r="L104" s="1">
        <v>45976</v>
      </c>
      <c r="M104" t="s">
        <v>270</v>
      </c>
      <c r="N104" t="e" vm="64">
        <v>#VALUE!</v>
      </c>
      <c r="O104" t="s">
        <v>11</v>
      </c>
      <c r="Q104" t="s">
        <v>776</v>
      </c>
      <c r="R104" s="1">
        <v>45976</v>
      </c>
      <c r="T104">
        <v>1</v>
      </c>
      <c r="U104">
        <v>0</v>
      </c>
      <c r="V104">
        <v>0</v>
      </c>
    </row>
    <row r="105" spans="1:22" x14ac:dyDescent="0.4">
      <c r="A105" s="4" t="s">
        <v>87</v>
      </c>
      <c r="D105" s="1">
        <v>45971</v>
      </c>
      <c r="E105" t="s">
        <v>15</v>
      </c>
      <c r="G105">
        <v>2</v>
      </c>
      <c r="H105" s="1" t="s">
        <v>115</v>
      </c>
      <c r="I105" t="s">
        <v>96</v>
      </c>
      <c r="J105" t="s">
        <v>402</v>
      </c>
      <c r="K105" t="s">
        <v>309</v>
      </c>
      <c r="L105" s="1">
        <v>45976</v>
      </c>
      <c r="M105" s="2" t="s">
        <v>88</v>
      </c>
      <c r="N105" t="e" vm="64">
        <v>#VALUE!</v>
      </c>
      <c r="O105" t="s">
        <v>11</v>
      </c>
      <c r="Q105" t="s">
        <v>776</v>
      </c>
      <c r="R105" s="1">
        <v>45976</v>
      </c>
      <c r="T105">
        <v>1</v>
      </c>
      <c r="U105">
        <v>0</v>
      </c>
      <c r="V105">
        <v>0</v>
      </c>
    </row>
    <row r="106" spans="1:22" x14ac:dyDescent="0.4">
      <c r="A106" s="4" t="s">
        <v>618</v>
      </c>
      <c r="C106" t="s">
        <v>703</v>
      </c>
      <c r="D106" s="1">
        <v>45971</v>
      </c>
      <c r="E106" t="s">
        <v>40</v>
      </c>
      <c r="G106">
        <v>2</v>
      </c>
      <c r="H106" t="s">
        <v>632</v>
      </c>
      <c r="I106" t="s">
        <v>96</v>
      </c>
      <c r="J106" t="s">
        <v>402</v>
      </c>
      <c r="K106" t="s">
        <v>309</v>
      </c>
      <c r="L106" s="1">
        <v>45976</v>
      </c>
      <c r="M106" t="s">
        <v>617</v>
      </c>
      <c r="N106" t="e" vm="65">
        <v>#VALUE!</v>
      </c>
      <c r="O106" t="s">
        <v>11</v>
      </c>
      <c r="Q106" t="s">
        <v>776</v>
      </c>
      <c r="R106" s="1">
        <v>45976</v>
      </c>
      <c r="T106">
        <v>1</v>
      </c>
      <c r="U106">
        <v>1</v>
      </c>
      <c r="V106">
        <v>1</v>
      </c>
    </row>
    <row r="107" spans="1:22" x14ac:dyDescent="0.4">
      <c r="A107" s="4" t="s">
        <v>604</v>
      </c>
      <c r="C107" t="s">
        <v>608</v>
      </c>
      <c r="D107" s="1">
        <v>45971</v>
      </c>
      <c r="E107" t="s">
        <v>40</v>
      </c>
      <c r="I107" t="s">
        <v>96</v>
      </c>
      <c r="J107" t="s">
        <v>402</v>
      </c>
      <c r="K107" t="s">
        <v>309</v>
      </c>
      <c r="L107" s="1">
        <v>45976</v>
      </c>
      <c r="M107" t="s">
        <v>108</v>
      </c>
      <c r="N107" t="e" vm="13">
        <v>#VALUE!</v>
      </c>
      <c r="O107" t="s">
        <v>11</v>
      </c>
      <c r="Q107" t="s">
        <v>776</v>
      </c>
      <c r="R107" s="1">
        <v>46053</v>
      </c>
      <c r="T107">
        <v>1</v>
      </c>
      <c r="U107">
        <v>0</v>
      </c>
      <c r="V107">
        <v>0</v>
      </c>
    </row>
    <row r="108" spans="1:22" x14ac:dyDescent="0.4">
      <c r="A108" s="4" t="s">
        <v>724</v>
      </c>
      <c r="C108" t="s">
        <v>727</v>
      </c>
      <c r="D108" s="1">
        <v>45971</v>
      </c>
      <c r="E108" t="s">
        <v>725</v>
      </c>
      <c r="G108">
        <v>2</v>
      </c>
      <c r="I108" t="s">
        <v>96</v>
      </c>
      <c r="J108" t="s">
        <v>402</v>
      </c>
      <c r="K108" t="s">
        <v>309</v>
      </c>
      <c r="L108" s="1">
        <v>45976</v>
      </c>
      <c r="M108" t="s">
        <v>726</v>
      </c>
      <c r="N108" t="e" vm="66">
        <v>#VALUE!</v>
      </c>
      <c r="O108" t="s">
        <v>11</v>
      </c>
      <c r="Q108" t="s">
        <v>776</v>
      </c>
      <c r="R108" s="1">
        <v>45976</v>
      </c>
      <c r="T108">
        <v>1</v>
      </c>
      <c r="U108">
        <v>1</v>
      </c>
      <c r="V108">
        <v>1</v>
      </c>
    </row>
    <row r="109" spans="1:22" x14ac:dyDescent="0.4">
      <c r="A109" s="4" t="s">
        <v>132</v>
      </c>
      <c r="B109" s="19"/>
      <c r="D109" s="1">
        <v>45971</v>
      </c>
      <c r="E109" t="s">
        <v>15</v>
      </c>
      <c r="F109" t="s">
        <v>134</v>
      </c>
      <c r="G109">
        <v>2</v>
      </c>
      <c r="I109" t="s">
        <v>96</v>
      </c>
      <c r="J109" t="s">
        <v>402</v>
      </c>
      <c r="K109" t="s">
        <v>309</v>
      </c>
      <c r="L109" s="1">
        <v>45976</v>
      </c>
      <c r="M109" s="2" t="s">
        <v>133</v>
      </c>
      <c r="N109" t="e" vm="10">
        <v>#VALUE!</v>
      </c>
      <c r="O109" t="s">
        <v>11</v>
      </c>
      <c r="Q109" t="s">
        <v>776</v>
      </c>
      <c r="R109" s="1">
        <v>45974</v>
      </c>
      <c r="T109">
        <v>1</v>
      </c>
      <c r="U109">
        <v>0</v>
      </c>
      <c r="V109">
        <v>1</v>
      </c>
    </row>
    <row r="110" spans="1:22" x14ac:dyDescent="0.4">
      <c r="A110" s="4" t="s">
        <v>129</v>
      </c>
      <c r="D110" s="1">
        <v>45971</v>
      </c>
      <c r="E110" t="s">
        <v>15</v>
      </c>
      <c r="G110">
        <v>1</v>
      </c>
      <c r="I110" t="s">
        <v>96</v>
      </c>
      <c r="J110" t="s">
        <v>402</v>
      </c>
      <c r="K110" t="s">
        <v>309</v>
      </c>
      <c r="L110" s="1">
        <v>45976</v>
      </c>
      <c r="M110" s="2" t="s">
        <v>130</v>
      </c>
      <c r="N110" t="e" vm="10">
        <v>#VALUE!</v>
      </c>
      <c r="O110" t="s">
        <v>11</v>
      </c>
      <c r="Q110" t="s">
        <v>776</v>
      </c>
      <c r="R110" s="1">
        <v>45976</v>
      </c>
      <c r="T110">
        <v>1</v>
      </c>
      <c r="U110">
        <v>0</v>
      </c>
      <c r="V110">
        <v>0</v>
      </c>
    </row>
    <row r="111" spans="1:22" x14ac:dyDescent="0.4">
      <c r="A111" s="4" t="s">
        <v>156</v>
      </c>
      <c r="D111" s="1">
        <v>45971</v>
      </c>
      <c r="E111" t="s">
        <v>15</v>
      </c>
      <c r="G111">
        <v>1</v>
      </c>
      <c r="I111" t="s">
        <v>96</v>
      </c>
      <c r="J111" t="s">
        <v>402</v>
      </c>
      <c r="K111" t="s">
        <v>309</v>
      </c>
      <c r="L111" s="1">
        <v>45976</v>
      </c>
      <c r="M111" s="2" t="s">
        <v>131</v>
      </c>
      <c r="N111" t="e" vm="10">
        <v>#VALUE!</v>
      </c>
      <c r="O111" t="s">
        <v>11</v>
      </c>
      <c r="Q111" t="s">
        <v>776</v>
      </c>
      <c r="R111" s="1">
        <v>45976</v>
      </c>
      <c r="T111">
        <v>1</v>
      </c>
      <c r="U111">
        <v>0</v>
      </c>
      <c r="V111">
        <v>0</v>
      </c>
    </row>
    <row r="112" spans="1:22" x14ac:dyDescent="0.4">
      <c r="A112" s="4" t="s">
        <v>671</v>
      </c>
      <c r="C112" t="s">
        <v>673</v>
      </c>
      <c r="D112" s="1">
        <v>45971</v>
      </c>
      <c r="E112" t="s">
        <v>669</v>
      </c>
      <c r="H112" t="s">
        <v>674</v>
      </c>
      <c r="I112" t="s">
        <v>96</v>
      </c>
      <c r="J112" t="s">
        <v>402</v>
      </c>
      <c r="K112" t="s">
        <v>309</v>
      </c>
      <c r="L112" s="1">
        <v>45976</v>
      </c>
      <c r="M112" t="s">
        <v>668</v>
      </c>
      <c r="N112" t="e" vm="67">
        <v>#VALUE!</v>
      </c>
      <c r="O112" t="s">
        <v>11</v>
      </c>
      <c r="Q112" t="s">
        <v>776</v>
      </c>
      <c r="R112" s="1">
        <v>45986</v>
      </c>
      <c r="T112">
        <v>1</v>
      </c>
      <c r="U112">
        <v>1</v>
      </c>
      <c r="V112">
        <v>1</v>
      </c>
    </row>
    <row r="113" spans="1:22" x14ac:dyDescent="0.4">
      <c r="A113" s="4" t="s">
        <v>388</v>
      </c>
      <c r="B113" s="19"/>
      <c r="C113" t="s">
        <v>390</v>
      </c>
      <c r="D113" s="1">
        <v>45971</v>
      </c>
      <c r="E113" t="s">
        <v>15</v>
      </c>
      <c r="G113">
        <v>2</v>
      </c>
      <c r="I113" t="s">
        <v>96</v>
      </c>
      <c r="J113" t="s">
        <v>402</v>
      </c>
      <c r="K113" t="s">
        <v>244</v>
      </c>
      <c r="L113" s="1">
        <v>45986</v>
      </c>
      <c r="M113" t="s">
        <v>389</v>
      </c>
      <c r="N113" t="e" vm="29">
        <v>#VALUE!</v>
      </c>
      <c r="O113" t="s">
        <v>26</v>
      </c>
      <c r="Q113" t="s">
        <v>776</v>
      </c>
      <c r="R113" s="1">
        <v>45980</v>
      </c>
      <c r="T113">
        <v>1</v>
      </c>
      <c r="U113">
        <v>0</v>
      </c>
      <c r="V113">
        <v>0</v>
      </c>
    </row>
    <row r="114" spans="1:22" x14ac:dyDescent="0.4">
      <c r="A114" s="4" t="s">
        <v>387</v>
      </c>
      <c r="B114" s="19"/>
      <c r="D114" s="1">
        <v>45971</v>
      </c>
      <c r="E114" t="s">
        <v>15</v>
      </c>
      <c r="G114">
        <v>1</v>
      </c>
      <c r="I114" t="s">
        <v>96</v>
      </c>
      <c r="J114" t="s">
        <v>402</v>
      </c>
      <c r="K114" t="s">
        <v>244</v>
      </c>
      <c r="L114" s="1">
        <v>45986</v>
      </c>
      <c r="M114" t="s">
        <v>386</v>
      </c>
      <c r="N114" t="e" vm="68">
        <v>#VALUE!</v>
      </c>
      <c r="O114" t="s">
        <v>11</v>
      </c>
      <c r="Q114" t="s">
        <v>776</v>
      </c>
      <c r="R114" s="1">
        <v>45982</v>
      </c>
      <c r="T114">
        <v>1</v>
      </c>
      <c r="U114">
        <v>1</v>
      </c>
      <c r="V114">
        <v>0</v>
      </c>
    </row>
    <row r="115" spans="1:22" x14ac:dyDescent="0.4">
      <c r="A115" s="4" t="s">
        <v>342</v>
      </c>
      <c r="B115" s="19"/>
      <c r="C115" t="s">
        <v>346</v>
      </c>
      <c r="D115" s="1">
        <v>45971</v>
      </c>
      <c r="E115" t="s">
        <v>345</v>
      </c>
      <c r="F115" t="s">
        <v>344</v>
      </c>
      <c r="G115">
        <v>3</v>
      </c>
      <c r="H115" s="2" t="s">
        <v>347</v>
      </c>
      <c r="I115" t="s">
        <v>96</v>
      </c>
      <c r="J115" t="s">
        <v>402</v>
      </c>
      <c r="K115" t="s">
        <v>244</v>
      </c>
      <c r="L115" s="1">
        <v>45986</v>
      </c>
      <c r="M115" t="s">
        <v>343</v>
      </c>
      <c r="N115" t="e" vm="69">
        <v>#VALUE!</v>
      </c>
      <c r="Q115" t="s">
        <v>776</v>
      </c>
      <c r="R115" s="1">
        <v>45981</v>
      </c>
      <c r="T115">
        <v>1</v>
      </c>
      <c r="U115">
        <v>1</v>
      </c>
      <c r="V115">
        <v>0</v>
      </c>
    </row>
    <row r="116" spans="1:22" x14ac:dyDescent="0.4">
      <c r="A116" t="s">
        <v>416</v>
      </c>
      <c r="D116" s="1">
        <v>45971</v>
      </c>
      <c r="E116" t="s">
        <v>417</v>
      </c>
      <c r="I116" t="s">
        <v>96</v>
      </c>
      <c r="J116" t="s">
        <v>402</v>
      </c>
      <c r="M116" t="s">
        <v>418</v>
      </c>
      <c r="N116" t="e" vm="11">
        <v>#VALUE!</v>
      </c>
      <c r="O116" t="s">
        <v>19</v>
      </c>
      <c r="Q116" t="s">
        <v>776</v>
      </c>
      <c r="R116" s="1">
        <v>45981</v>
      </c>
      <c r="T116">
        <v>1</v>
      </c>
      <c r="U116">
        <v>0</v>
      </c>
      <c r="V116">
        <v>1</v>
      </c>
    </row>
    <row r="117" spans="1:22" x14ac:dyDescent="0.4">
      <c r="A117" t="s">
        <v>432</v>
      </c>
      <c r="C117" t="s">
        <v>434</v>
      </c>
      <c r="D117" s="1">
        <v>45971</v>
      </c>
      <c r="E117" t="s">
        <v>15</v>
      </c>
      <c r="F117" t="s">
        <v>433</v>
      </c>
      <c r="G117">
        <v>1</v>
      </c>
      <c r="I117" t="s">
        <v>96</v>
      </c>
      <c r="J117" t="s">
        <v>402</v>
      </c>
      <c r="M117" t="s">
        <v>435</v>
      </c>
      <c r="N117" t="e" vm="70">
        <v>#VALUE!</v>
      </c>
      <c r="O117" t="s">
        <v>11</v>
      </c>
      <c r="Q117" t="s">
        <v>776</v>
      </c>
      <c r="R117" s="1">
        <v>45977</v>
      </c>
      <c r="T117">
        <v>1</v>
      </c>
      <c r="U117">
        <v>0</v>
      </c>
      <c r="V117">
        <v>0</v>
      </c>
    </row>
    <row r="118" spans="1:22" x14ac:dyDescent="0.4">
      <c r="A118" t="s">
        <v>492</v>
      </c>
      <c r="D118" s="1">
        <v>45971</v>
      </c>
      <c r="E118" t="s">
        <v>40</v>
      </c>
      <c r="F118" t="s">
        <v>494</v>
      </c>
      <c r="I118" t="s">
        <v>96</v>
      </c>
      <c r="J118" t="s">
        <v>402</v>
      </c>
      <c r="M118" s="17" t="s">
        <v>493</v>
      </c>
      <c r="N118" t="e" vm="39">
        <v>#VALUE!</v>
      </c>
      <c r="O118" t="s">
        <v>11</v>
      </c>
      <c r="Q118" t="s">
        <v>776</v>
      </c>
      <c r="R118" s="1">
        <v>45976</v>
      </c>
      <c r="T118">
        <v>1</v>
      </c>
      <c r="U118">
        <v>0</v>
      </c>
      <c r="V118">
        <v>0</v>
      </c>
    </row>
    <row r="119" spans="1:22" x14ac:dyDescent="0.4">
      <c r="A119" t="s">
        <v>384</v>
      </c>
      <c r="C119" t="s">
        <v>385</v>
      </c>
      <c r="D119" s="1">
        <v>45971</v>
      </c>
      <c r="E119" t="s">
        <v>15</v>
      </c>
      <c r="I119" t="s">
        <v>96</v>
      </c>
      <c r="J119" t="s">
        <v>402</v>
      </c>
      <c r="M119" t="s">
        <v>165</v>
      </c>
      <c r="N119" t="e" vm="70">
        <v>#VALUE!</v>
      </c>
      <c r="O119" t="s">
        <v>26</v>
      </c>
      <c r="Q119" t="s">
        <v>776</v>
      </c>
      <c r="R119" s="1">
        <v>45982</v>
      </c>
      <c r="T119">
        <v>1</v>
      </c>
      <c r="U119">
        <v>0</v>
      </c>
      <c r="V119">
        <v>0</v>
      </c>
    </row>
    <row r="120" spans="1:22" x14ac:dyDescent="0.4">
      <c r="A120" t="s">
        <v>670</v>
      </c>
      <c r="C120" t="s">
        <v>672</v>
      </c>
      <c r="D120" s="1">
        <v>45971</v>
      </c>
      <c r="E120" t="s">
        <v>669</v>
      </c>
      <c r="F120" t="s">
        <v>704</v>
      </c>
      <c r="H120" t="s">
        <v>674</v>
      </c>
      <c r="I120" t="s">
        <v>96</v>
      </c>
      <c r="J120" t="s">
        <v>402</v>
      </c>
      <c r="M120" t="s">
        <v>668</v>
      </c>
      <c r="N120" t="e" vm="67">
        <v>#VALUE!</v>
      </c>
      <c r="O120" t="s">
        <v>11</v>
      </c>
      <c r="Q120" t="s">
        <v>776</v>
      </c>
      <c r="R120" s="1">
        <v>45986</v>
      </c>
      <c r="T120">
        <v>1</v>
      </c>
      <c r="U120">
        <v>1</v>
      </c>
      <c r="V120">
        <v>1</v>
      </c>
    </row>
    <row r="121" spans="1:22" x14ac:dyDescent="0.4">
      <c r="A121" t="s">
        <v>276</v>
      </c>
      <c r="C121" t="s">
        <v>374</v>
      </c>
      <c r="D121" s="1">
        <v>45971</v>
      </c>
      <c r="E121" t="s">
        <v>15</v>
      </c>
      <c r="I121" t="s">
        <v>96</v>
      </c>
      <c r="J121" t="s">
        <v>402</v>
      </c>
      <c r="M121" t="s">
        <v>199</v>
      </c>
      <c r="N121" t="e" vm="41">
        <v>#VALUE!</v>
      </c>
      <c r="O121" t="s">
        <v>11</v>
      </c>
      <c r="Q121" t="s">
        <v>776</v>
      </c>
      <c r="R121" s="1">
        <v>45975</v>
      </c>
      <c r="T121">
        <v>1</v>
      </c>
      <c r="U121">
        <v>0</v>
      </c>
      <c r="V121">
        <v>1</v>
      </c>
    </row>
    <row r="122" spans="1:22" x14ac:dyDescent="0.4">
      <c r="A122" t="s">
        <v>430</v>
      </c>
      <c r="D122" s="1">
        <v>45971</v>
      </c>
      <c r="E122" t="s">
        <v>15</v>
      </c>
      <c r="I122" t="s">
        <v>96</v>
      </c>
      <c r="J122" t="s">
        <v>402</v>
      </c>
      <c r="M122" t="s">
        <v>431</v>
      </c>
      <c r="N122" t="e" vm="54">
        <v>#VALUE!</v>
      </c>
      <c r="O122" t="s">
        <v>11</v>
      </c>
      <c r="Q122" t="s">
        <v>776</v>
      </c>
      <c r="R122" s="1">
        <v>45974</v>
      </c>
      <c r="T122">
        <v>1</v>
      </c>
      <c r="U122">
        <v>0</v>
      </c>
      <c r="V122">
        <v>0</v>
      </c>
    </row>
    <row r="123" spans="1:22" x14ac:dyDescent="0.4">
      <c r="A123" t="s">
        <v>573</v>
      </c>
      <c r="C123" t="s">
        <v>576</v>
      </c>
      <c r="D123" s="1">
        <v>45971</v>
      </c>
      <c r="E123" t="s">
        <v>40</v>
      </c>
      <c r="F123" t="s">
        <v>574</v>
      </c>
      <c r="I123" t="s">
        <v>96</v>
      </c>
      <c r="J123" t="s">
        <v>402</v>
      </c>
      <c r="M123" t="s">
        <v>575</v>
      </c>
      <c r="N123" t="e" vm="23">
        <v>#VALUE!</v>
      </c>
      <c r="O123" t="s">
        <v>11</v>
      </c>
      <c r="Q123" t="s">
        <v>776</v>
      </c>
      <c r="R123" s="1">
        <v>45976</v>
      </c>
      <c r="T123">
        <v>1</v>
      </c>
      <c r="U123">
        <v>1</v>
      </c>
      <c r="V123">
        <v>1</v>
      </c>
    </row>
    <row r="124" spans="1:22" x14ac:dyDescent="0.4">
      <c r="A124" t="s">
        <v>657</v>
      </c>
      <c r="D124" s="1">
        <v>45971</v>
      </c>
      <c r="E124" t="s">
        <v>15</v>
      </c>
      <c r="I124" t="s">
        <v>96</v>
      </c>
      <c r="J124" t="s">
        <v>402</v>
      </c>
      <c r="M124" t="s">
        <v>656</v>
      </c>
      <c r="N124" t="e" vm="14">
        <v>#VALUE!</v>
      </c>
      <c r="O124" t="s">
        <v>11</v>
      </c>
      <c r="Q124" t="s">
        <v>776</v>
      </c>
      <c r="R124" s="1">
        <v>45982</v>
      </c>
      <c r="T124">
        <v>1</v>
      </c>
      <c r="U124">
        <v>0</v>
      </c>
      <c r="V124">
        <v>0</v>
      </c>
    </row>
    <row r="125" spans="1:22" x14ac:dyDescent="0.4">
      <c r="A125" t="s">
        <v>79</v>
      </c>
      <c r="D125" s="1">
        <v>45971</v>
      </c>
      <c r="E125" t="s">
        <v>81</v>
      </c>
      <c r="F125" t="s">
        <v>15</v>
      </c>
      <c r="H125" s="1"/>
      <c r="I125" t="s">
        <v>96</v>
      </c>
      <c r="J125" t="s">
        <v>402</v>
      </c>
      <c r="M125" s="2" t="s">
        <v>80</v>
      </c>
      <c r="N125" t="e" vm="69">
        <v>#VALUE!</v>
      </c>
      <c r="O125" t="s">
        <v>26</v>
      </c>
      <c r="P125" t="s">
        <v>18</v>
      </c>
      <c r="Q125" t="s">
        <v>776</v>
      </c>
      <c r="R125" s="1">
        <v>45976</v>
      </c>
      <c r="T125">
        <v>1</v>
      </c>
      <c r="U125">
        <v>0</v>
      </c>
      <c r="V125">
        <v>0</v>
      </c>
    </row>
    <row r="126" spans="1:22" x14ac:dyDescent="0.4">
      <c r="A126" t="s">
        <v>690</v>
      </c>
      <c r="D126" s="1">
        <v>45971</v>
      </c>
      <c r="E126" t="s">
        <v>15</v>
      </c>
      <c r="F126" t="s">
        <v>691</v>
      </c>
      <c r="I126" t="s">
        <v>96</v>
      </c>
      <c r="J126" t="s">
        <v>402</v>
      </c>
      <c r="M126" t="s">
        <v>689</v>
      </c>
      <c r="N126" t="e" vm="54">
        <v>#VALUE!</v>
      </c>
      <c r="O126" t="s">
        <v>11</v>
      </c>
      <c r="Q126" t="s">
        <v>776</v>
      </c>
      <c r="R126" s="1">
        <v>45984</v>
      </c>
      <c r="T126">
        <v>0</v>
      </c>
      <c r="U126">
        <v>0</v>
      </c>
      <c r="V126">
        <v>0</v>
      </c>
    </row>
    <row r="127" spans="1:22" x14ac:dyDescent="0.4">
      <c r="A127" t="s">
        <v>44</v>
      </c>
      <c r="D127" s="1">
        <v>45971</v>
      </c>
      <c r="E127" t="s">
        <v>15</v>
      </c>
      <c r="F127" t="s">
        <v>46</v>
      </c>
      <c r="G127">
        <v>1</v>
      </c>
      <c r="H127" s="1"/>
      <c r="I127" t="s">
        <v>96</v>
      </c>
      <c r="J127" t="s">
        <v>402</v>
      </c>
      <c r="M127" s="2" t="s">
        <v>45</v>
      </c>
      <c r="N127" t="e" vm="71">
        <v>#VALUE!</v>
      </c>
      <c r="O127" t="s">
        <v>11</v>
      </c>
      <c r="Q127" t="s">
        <v>776</v>
      </c>
      <c r="R127" s="1">
        <v>46010</v>
      </c>
      <c r="T127">
        <v>1</v>
      </c>
      <c r="U127">
        <v>0</v>
      </c>
      <c r="V127">
        <v>0</v>
      </c>
    </row>
    <row r="128" spans="1:22" x14ac:dyDescent="0.4">
      <c r="A128" t="s">
        <v>696</v>
      </c>
      <c r="D128" s="1">
        <v>45971</v>
      </c>
      <c r="E128" t="s">
        <v>15</v>
      </c>
      <c r="I128" t="s">
        <v>96</v>
      </c>
      <c r="J128" t="s">
        <v>402</v>
      </c>
      <c r="M128" t="s">
        <v>697</v>
      </c>
      <c r="N128" t="e" vm="46">
        <v>#VALUE!</v>
      </c>
      <c r="O128" t="s">
        <v>26</v>
      </c>
      <c r="Q128" t="s">
        <v>776</v>
      </c>
      <c r="R128" s="1">
        <v>45978</v>
      </c>
      <c r="T128">
        <v>1</v>
      </c>
      <c r="U128">
        <v>1</v>
      </c>
      <c r="V128">
        <v>0</v>
      </c>
    </row>
    <row r="129" spans="1:22" x14ac:dyDescent="0.4">
      <c r="A129" t="s">
        <v>29</v>
      </c>
      <c r="D129" s="1">
        <v>45971</v>
      </c>
      <c r="E129" t="s">
        <v>15</v>
      </c>
      <c r="F129" t="s">
        <v>15</v>
      </c>
      <c r="H129" s="1"/>
      <c r="I129" t="s">
        <v>96</v>
      </c>
      <c r="J129" t="s">
        <v>402</v>
      </c>
      <c r="M129" s="9" t="s">
        <v>30</v>
      </c>
      <c r="N129" t="e" vm="72">
        <v>#VALUE!</v>
      </c>
      <c r="O129" t="s">
        <v>11</v>
      </c>
      <c r="P129" t="s">
        <v>31</v>
      </c>
      <c r="Q129" t="s">
        <v>776</v>
      </c>
      <c r="R129" s="1">
        <v>45978</v>
      </c>
      <c r="T129">
        <v>1</v>
      </c>
      <c r="U129">
        <v>0</v>
      </c>
      <c r="V129">
        <v>0</v>
      </c>
    </row>
    <row r="130" spans="1:22" x14ac:dyDescent="0.4">
      <c r="A130" t="s">
        <v>616</v>
      </c>
      <c r="D130" s="1">
        <v>45971</v>
      </c>
      <c r="E130" t="s">
        <v>40</v>
      </c>
      <c r="F130" t="s">
        <v>615</v>
      </c>
      <c r="I130" t="s">
        <v>96</v>
      </c>
      <c r="J130" t="s">
        <v>402</v>
      </c>
      <c r="M130" t="s">
        <v>614</v>
      </c>
      <c r="N130" t="e" vm="42">
        <v>#VALUE!</v>
      </c>
      <c r="O130" t="s">
        <v>11</v>
      </c>
      <c r="Q130" t="s">
        <v>776</v>
      </c>
      <c r="R130" s="1">
        <v>46053</v>
      </c>
      <c r="T130">
        <v>1</v>
      </c>
      <c r="U130">
        <v>1</v>
      </c>
      <c r="V130">
        <v>1</v>
      </c>
    </row>
    <row r="131" spans="1:22" x14ac:dyDescent="0.4">
      <c r="A131" t="s">
        <v>322</v>
      </c>
      <c r="D131" s="1">
        <v>45971</v>
      </c>
      <c r="E131" t="s">
        <v>15</v>
      </c>
      <c r="H131" t="s">
        <v>323</v>
      </c>
      <c r="I131" t="s">
        <v>96</v>
      </c>
      <c r="J131" t="s">
        <v>402</v>
      </c>
      <c r="M131" t="s">
        <v>321</v>
      </c>
      <c r="N131" t="e" vm="41">
        <v>#VALUE!</v>
      </c>
      <c r="O131" t="s">
        <v>11</v>
      </c>
      <c r="Q131" t="s">
        <v>776</v>
      </c>
      <c r="R131" s="1">
        <v>45976</v>
      </c>
      <c r="T131">
        <v>1</v>
      </c>
      <c r="U131">
        <v>1</v>
      </c>
      <c r="V131">
        <v>1</v>
      </c>
    </row>
    <row r="132" spans="1:22" x14ac:dyDescent="0.4">
      <c r="A132" t="s">
        <v>289</v>
      </c>
      <c r="D132" s="1">
        <v>45971</v>
      </c>
      <c r="E132" t="s">
        <v>15</v>
      </c>
      <c r="I132" t="s">
        <v>96</v>
      </c>
      <c r="J132" t="s">
        <v>402</v>
      </c>
      <c r="M132" t="s">
        <v>290</v>
      </c>
      <c r="N132" t="e" vm="70">
        <v>#VALUE!</v>
      </c>
      <c r="O132" t="s">
        <v>11</v>
      </c>
      <c r="Q132" t="s">
        <v>776</v>
      </c>
      <c r="R132" s="1">
        <v>45989</v>
      </c>
      <c r="T132">
        <v>1</v>
      </c>
      <c r="U132">
        <v>0</v>
      </c>
      <c r="V132">
        <v>0</v>
      </c>
    </row>
    <row r="133" spans="1:22" x14ac:dyDescent="0.4">
      <c r="A133" t="s">
        <v>302</v>
      </c>
      <c r="D133" s="1">
        <v>45971</v>
      </c>
      <c r="E133" t="s">
        <v>15</v>
      </c>
      <c r="F133" t="s">
        <v>304</v>
      </c>
      <c r="I133" t="s">
        <v>96</v>
      </c>
      <c r="J133" t="s">
        <v>402</v>
      </c>
      <c r="M133" t="s">
        <v>303</v>
      </c>
      <c r="N133" t="e" vm="70">
        <v>#VALUE!</v>
      </c>
      <c r="O133" t="s">
        <v>11</v>
      </c>
      <c r="Q133" t="s">
        <v>776</v>
      </c>
      <c r="R133" s="1">
        <v>45980</v>
      </c>
      <c r="T133">
        <v>1</v>
      </c>
      <c r="U133">
        <v>0</v>
      </c>
      <c r="V133">
        <v>0</v>
      </c>
    </row>
    <row r="134" spans="1:22" x14ac:dyDescent="0.4">
      <c r="A134" t="s">
        <v>324</v>
      </c>
      <c r="D134" s="1">
        <v>45971</v>
      </c>
      <c r="E134" t="s">
        <v>40</v>
      </c>
      <c r="F134" t="s">
        <v>325</v>
      </c>
      <c r="I134" t="s">
        <v>96</v>
      </c>
      <c r="J134" t="s">
        <v>402</v>
      </c>
      <c r="M134" t="s">
        <v>83</v>
      </c>
      <c r="N134" t="e" vm="4">
        <v>#VALUE!</v>
      </c>
      <c r="Q134" t="s">
        <v>776</v>
      </c>
      <c r="R134" s="1">
        <v>45973</v>
      </c>
      <c r="T134">
        <v>1</v>
      </c>
      <c r="U134">
        <v>0</v>
      </c>
      <c r="V134">
        <v>0</v>
      </c>
    </row>
    <row r="135" spans="1:22" x14ac:dyDescent="0.4">
      <c r="A135" t="s">
        <v>629</v>
      </c>
      <c r="D135" s="1">
        <v>45971</v>
      </c>
      <c r="E135" t="s">
        <v>40</v>
      </c>
      <c r="F135" t="s">
        <v>631</v>
      </c>
      <c r="I135" t="s">
        <v>96</v>
      </c>
      <c r="J135" t="s">
        <v>402</v>
      </c>
      <c r="M135" t="s">
        <v>630</v>
      </c>
      <c r="N135" t="e" vm="73">
        <v>#VALUE!</v>
      </c>
      <c r="O135" t="s">
        <v>11</v>
      </c>
      <c r="Q135" t="s">
        <v>776</v>
      </c>
      <c r="R135" s="1">
        <v>45976</v>
      </c>
      <c r="T135">
        <v>1</v>
      </c>
      <c r="U135">
        <v>1</v>
      </c>
      <c r="V135">
        <v>1</v>
      </c>
    </row>
    <row r="136" spans="1:22" x14ac:dyDescent="0.4">
      <c r="A136" t="s">
        <v>209</v>
      </c>
      <c r="D136" s="1">
        <v>45971</v>
      </c>
      <c r="E136" t="s">
        <v>40</v>
      </c>
      <c r="I136" t="s">
        <v>96</v>
      </c>
      <c r="J136" t="s">
        <v>402</v>
      </c>
      <c r="M136" t="s">
        <v>208</v>
      </c>
      <c r="N136" t="e" vm="6">
        <v>#VALUE!</v>
      </c>
      <c r="O136" t="s">
        <v>11</v>
      </c>
      <c r="Q136" t="s">
        <v>776</v>
      </c>
      <c r="R136" s="1">
        <v>45991</v>
      </c>
      <c r="T136">
        <v>1</v>
      </c>
      <c r="U136">
        <v>0</v>
      </c>
      <c r="V136">
        <v>0</v>
      </c>
    </row>
    <row r="137" spans="1:22" x14ac:dyDescent="0.4">
      <c r="A137" t="s">
        <v>301</v>
      </c>
      <c r="D137" s="1">
        <v>45971</v>
      </c>
      <c r="E137" t="s">
        <v>15</v>
      </c>
      <c r="I137" t="s">
        <v>96</v>
      </c>
      <c r="J137" t="s">
        <v>402</v>
      </c>
      <c r="M137" t="s">
        <v>300</v>
      </c>
      <c r="N137" t="e" vm="74">
        <v>#VALUE!</v>
      </c>
      <c r="O137" t="s">
        <v>11</v>
      </c>
      <c r="Q137" t="s">
        <v>776</v>
      </c>
      <c r="R137" s="1">
        <v>45981</v>
      </c>
      <c r="T137">
        <v>1</v>
      </c>
      <c r="U137">
        <v>1</v>
      </c>
      <c r="V137">
        <v>1</v>
      </c>
    </row>
    <row r="138" spans="1:22" x14ac:dyDescent="0.4">
      <c r="A138" t="s">
        <v>306</v>
      </c>
      <c r="C138" t="s">
        <v>392</v>
      </c>
      <c r="D138" s="1">
        <v>45971</v>
      </c>
      <c r="E138" t="s">
        <v>15</v>
      </c>
      <c r="F138" t="s">
        <v>391</v>
      </c>
      <c r="H138" s="2" t="s">
        <v>307</v>
      </c>
      <c r="I138" t="s">
        <v>96</v>
      </c>
      <c r="J138" t="s">
        <v>402</v>
      </c>
      <c r="M138" t="s">
        <v>305</v>
      </c>
      <c r="N138" t="e" vm="74">
        <v>#VALUE!</v>
      </c>
      <c r="O138" t="s">
        <v>11</v>
      </c>
      <c r="Q138" t="s">
        <v>776</v>
      </c>
      <c r="R138" s="1">
        <v>45978</v>
      </c>
      <c r="T138">
        <v>1</v>
      </c>
      <c r="U138">
        <v>0</v>
      </c>
      <c r="V138">
        <v>1</v>
      </c>
    </row>
    <row r="139" spans="1:22" x14ac:dyDescent="0.4">
      <c r="A139" t="s">
        <v>245</v>
      </c>
      <c r="D139" s="1">
        <v>45971</v>
      </c>
      <c r="E139" t="s">
        <v>15</v>
      </c>
      <c r="I139" t="s">
        <v>96</v>
      </c>
      <c r="J139" t="s">
        <v>402</v>
      </c>
      <c r="M139" t="s">
        <v>246</v>
      </c>
      <c r="N139" t="e" vm="47">
        <v>#VALUE!</v>
      </c>
      <c r="O139" t="s">
        <v>26</v>
      </c>
      <c r="Q139" t="s">
        <v>776</v>
      </c>
      <c r="R139" s="1">
        <v>45977</v>
      </c>
      <c r="T139">
        <v>1</v>
      </c>
      <c r="U139">
        <v>0</v>
      </c>
      <c r="V139">
        <v>0</v>
      </c>
    </row>
    <row r="140" spans="1:22" x14ac:dyDescent="0.4">
      <c r="A140" t="s">
        <v>320</v>
      </c>
      <c r="D140" s="1">
        <v>45971</v>
      </c>
      <c r="E140" t="s">
        <v>15</v>
      </c>
      <c r="I140" t="s">
        <v>96</v>
      </c>
      <c r="J140" t="s">
        <v>402</v>
      </c>
      <c r="M140" t="s">
        <v>319</v>
      </c>
      <c r="N140" t="e" vm="53">
        <v>#VALUE!</v>
      </c>
      <c r="O140" t="s">
        <v>11</v>
      </c>
      <c r="Q140" t="s">
        <v>776</v>
      </c>
      <c r="R140" s="1">
        <v>45976</v>
      </c>
      <c r="T140">
        <v>1</v>
      </c>
      <c r="U140">
        <v>0</v>
      </c>
      <c r="V140">
        <v>0</v>
      </c>
    </row>
    <row r="141" spans="1:22" x14ac:dyDescent="0.4">
      <c r="A141" t="s">
        <v>109</v>
      </c>
      <c r="D141" s="1">
        <v>45971</v>
      </c>
      <c r="E141" t="s">
        <v>40</v>
      </c>
      <c r="F141" t="s">
        <v>150</v>
      </c>
      <c r="H141" s="1"/>
      <c r="I141" t="s">
        <v>96</v>
      </c>
      <c r="J141" t="s">
        <v>402</v>
      </c>
      <c r="M141" s="2" t="s">
        <v>110</v>
      </c>
      <c r="N141" t="e" vm="1">
        <v>#VALUE!</v>
      </c>
      <c r="O141" t="s">
        <v>11</v>
      </c>
      <c r="Q141" t="s">
        <v>776</v>
      </c>
      <c r="R141" s="1">
        <v>45976</v>
      </c>
      <c r="T141">
        <v>1</v>
      </c>
      <c r="U141">
        <v>0</v>
      </c>
      <c r="V141">
        <v>1</v>
      </c>
    </row>
    <row r="142" spans="1:22" x14ac:dyDescent="0.4">
      <c r="A142" t="s">
        <v>360</v>
      </c>
      <c r="C142" t="s">
        <v>361</v>
      </c>
      <c r="D142" s="1">
        <v>45971</v>
      </c>
      <c r="E142" t="s">
        <v>40</v>
      </c>
      <c r="I142" t="s">
        <v>96</v>
      </c>
      <c r="J142" t="s">
        <v>402</v>
      </c>
      <c r="M142" t="s">
        <v>359</v>
      </c>
      <c r="N142" t="e" vm="75">
        <v>#VALUE!</v>
      </c>
      <c r="O142" t="s">
        <v>11</v>
      </c>
      <c r="Q142" t="s">
        <v>776</v>
      </c>
      <c r="R142" s="1">
        <v>45982</v>
      </c>
      <c r="T142">
        <v>1</v>
      </c>
      <c r="U142">
        <v>0</v>
      </c>
      <c r="V142">
        <v>0</v>
      </c>
    </row>
    <row r="143" spans="1:22" x14ac:dyDescent="0.4">
      <c r="A143" t="s">
        <v>356</v>
      </c>
      <c r="D143" s="1">
        <v>45971</v>
      </c>
      <c r="E143" t="s">
        <v>358</v>
      </c>
      <c r="I143" t="s">
        <v>96</v>
      </c>
      <c r="J143" t="s">
        <v>402</v>
      </c>
      <c r="M143" t="s">
        <v>354</v>
      </c>
      <c r="N143" t="e" vm="20">
        <v>#VALUE!</v>
      </c>
      <c r="O143" t="s">
        <v>11</v>
      </c>
      <c r="Q143" t="s">
        <v>776</v>
      </c>
      <c r="R143" s="1">
        <v>45976</v>
      </c>
      <c r="T143">
        <v>1</v>
      </c>
      <c r="U143">
        <v>1</v>
      </c>
      <c r="V143">
        <v>1</v>
      </c>
    </row>
    <row r="144" spans="1:22" x14ac:dyDescent="0.4">
      <c r="A144" t="s">
        <v>348</v>
      </c>
      <c r="C144" t="s">
        <v>351</v>
      </c>
      <c r="D144" s="1">
        <v>45971</v>
      </c>
      <c r="E144" t="s">
        <v>350</v>
      </c>
      <c r="I144" t="s">
        <v>96</v>
      </c>
      <c r="J144" t="s">
        <v>402</v>
      </c>
      <c r="M144" t="s">
        <v>349</v>
      </c>
      <c r="N144" t="e" vm="17">
        <v>#VALUE!</v>
      </c>
      <c r="O144" t="s">
        <v>11</v>
      </c>
      <c r="Q144" t="s">
        <v>776</v>
      </c>
      <c r="R144" s="1">
        <v>45975</v>
      </c>
      <c r="T144">
        <v>1</v>
      </c>
      <c r="U144">
        <v>0</v>
      </c>
      <c r="V144">
        <v>1</v>
      </c>
    </row>
    <row r="145" spans="1:22" x14ac:dyDescent="0.4">
      <c r="A145" t="s">
        <v>286</v>
      </c>
      <c r="D145" s="1">
        <v>45971</v>
      </c>
      <c r="E145" t="s">
        <v>15</v>
      </c>
      <c r="I145" t="s">
        <v>96</v>
      </c>
      <c r="J145" t="s">
        <v>402</v>
      </c>
      <c r="M145" t="s">
        <v>285</v>
      </c>
      <c r="N145" t="e" vm="45">
        <v>#VALUE!</v>
      </c>
      <c r="O145" t="s">
        <v>26</v>
      </c>
      <c r="Q145" t="s">
        <v>776</v>
      </c>
      <c r="R145" s="1">
        <v>45981</v>
      </c>
      <c r="T145">
        <v>1</v>
      </c>
      <c r="U145">
        <v>0</v>
      </c>
      <c r="V145">
        <v>0</v>
      </c>
    </row>
    <row r="146" spans="1:22" x14ac:dyDescent="0.4">
      <c r="A146" t="s">
        <v>298</v>
      </c>
      <c r="D146" s="1">
        <v>45971</v>
      </c>
      <c r="E146" t="s">
        <v>15</v>
      </c>
      <c r="H146" t="s">
        <v>299</v>
      </c>
      <c r="I146" t="s">
        <v>96</v>
      </c>
      <c r="J146" t="s">
        <v>402</v>
      </c>
      <c r="M146" t="s">
        <v>297</v>
      </c>
      <c r="N146" t="e" vm="76">
        <v>#VALUE!</v>
      </c>
      <c r="O146" t="s">
        <v>11</v>
      </c>
      <c r="Q146" t="s">
        <v>776</v>
      </c>
      <c r="R146" s="1">
        <v>45981</v>
      </c>
      <c r="T146">
        <v>1</v>
      </c>
      <c r="U146">
        <v>1</v>
      </c>
      <c r="V146">
        <v>1</v>
      </c>
    </row>
    <row r="147" spans="1:22" x14ac:dyDescent="0.4">
      <c r="A147" t="s">
        <v>506</v>
      </c>
      <c r="D147" s="1">
        <v>45971</v>
      </c>
      <c r="E147" t="s">
        <v>504</v>
      </c>
      <c r="I147" t="s">
        <v>96</v>
      </c>
      <c r="J147" t="s">
        <v>402</v>
      </c>
      <c r="M147" t="s">
        <v>505</v>
      </c>
      <c r="N147" t="e" vm="17">
        <v>#VALUE!</v>
      </c>
      <c r="O147" t="s">
        <v>11</v>
      </c>
      <c r="Q147" t="s">
        <v>776</v>
      </c>
      <c r="R147" s="1">
        <v>45975</v>
      </c>
      <c r="T147">
        <v>1</v>
      </c>
      <c r="U147">
        <v>1</v>
      </c>
      <c r="V147">
        <v>1</v>
      </c>
    </row>
    <row r="148" spans="1:22" x14ac:dyDescent="0.4">
      <c r="A148" t="s">
        <v>649</v>
      </c>
      <c r="C148" t="s">
        <v>653</v>
      </c>
      <c r="D148" s="1">
        <v>45971</v>
      </c>
      <c r="E148" t="s">
        <v>15</v>
      </c>
      <c r="I148" t="s">
        <v>96</v>
      </c>
      <c r="J148" t="s">
        <v>402</v>
      </c>
      <c r="M148" t="s">
        <v>652</v>
      </c>
      <c r="N148" t="e" vm="77">
        <v>#VALUE!</v>
      </c>
      <c r="Q148" t="s">
        <v>776</v>
      </c>
      <c r="R148" s="1">
        <v>45982</v>
      </c>
      <c r="T148">
        <v>1</v>
      </c>
      <c r="U148">
        <v>0</v>
      </c>
      <c r="V148">
        <v>0</v>
      </c>
    </row>
    <row r="149" spans="1:22" x14ac:dyDescent="0.4">
      <c r="A149" t="s">
        <v>510</v>
      </c>
      <c r="C149" t="s">
        <v>512</v>
      </c>
      <c r="D149" s="1">
        <v>45971</v>
      </c>
      <c r="E149" t="s">
        <v>511</v>
      </c>
      <c r="H149">
        <v>1</v>
      </c>
      <c r="I149" t="s">
        <v>96</v>
      </c>
      <c r="J149" t="s">
        <v>402</v>
      </c>
      <c r="M149" t="s">
        <v>513</v>
      </c>
      <c r="N149" t="e" vm="78">
        <v>#VALUE!</v>
      </c>
      <c r="O149" t="s">
        <v>11</v>
      </c>
      <c r="Q149" t="s">
        <v>776</v>
      </c>
      <c r="R149" s="1">
        <v>45976</v>
      </c>
      <c r="T149">
        <v>1</v>
      </c>
      <c r="U149">
        <v>0</v>
      </c>
      <c r="V149">
        <v>0</v>
      </c>
    </row>
    <row r="150" spans="1:22" x14ac:dyDescent="0.4">
      <c r="A150" t="s">
        <v>35</v>
      </c>
      <c r="D150" s="1">
        <v>45971</v>
      </c>
      <c r="F150" t="s">
        <v>47</v>
      </c>
      <c r="G150">
        <v>1</v>
      </c>
      <c r="H150" s="1"/>
      <c r="I150" t="s">
        <v>96</v>
      </c>
      <c r="J150" t="s">
        <v>402</v>
      </c>
      <c r="K150" t="s">
        <v>309</v>
      </c>
      <c r="L150" s="1">
        <v>45976</v>
      </c>
      <c r="M150" s="2" t="s">
        <v>36</v>
      </c>
      <c r="N150" t="e" vm="63">
        <v>#VALUE!</v>
      </c>
      <c r="O150" t="s">
        <v>37</v>
      </c>
      <c r="Q150" t="s">
        <v>776</v>
      </c>
      <c r="R150" s="1">
        <v>45971</v>
      </c>
      <c r="T150">
        <v>1</v>
      </c>
      <c r="U150">
        <v>1</v>
      </c>
      <c r="V150">
        <v>0</v>
      </c>
    </row>
    <row r="151" spans="1:22" x14ac:dyDescent="0.4">
      <c r="A151" t="s">
        <v>739</v>
      </c>
      <c r="C151" t="s">
        <v>745</v>
      </c>
      <c r="D151" s="1">
        <v>45971</v>
      </c>
      <c r="E151" t="s">
        <v>740</v>
      </c>
      <c r="I151" t="s">
        <v>23</v>
      </c>
      <c r="J151" t="s">
        <v>402</v>
      </c>
      <c r="M151" t="s">
        <v>741</v>
      </c>
      <c r="N151" t="e" vm="29">
        <v>#VALUE!</v>
      </c>
      <c r="O151" t="s">
        <v>26</v>
      </c>
      <c r="Q151" t="s">
        <v>776</v>
      </c>
      <c r="R151" s="1">
        <v>45979</v>
      </c>
      <c r="T151">
        <v>1</v>
      </c>
      <c r="U151">
        <v>0</v>
      </c>
      <c r="V151">
        <v>0</v>
      </c>
    </row>
    <row r="152" spans="1:22" x14ac:dyDescent="0.4">
      <c r="A152" t="s">
        <v>747</v>
      </c>
      <c r="D152" s="1">
        <v>45971</v>
      </c>
      <c r="E152" s="2" t="s">
        <v>749</v>
      </c>
      <c r="I152" t="s">
        <v>23</v>
      </c>
      <c r="J152" t="s">
        <v>402</v>
      </c>
      <c r="M152" t="s">
        <v>748</v>
      </c>
      <c r="N152" t="e" vm="79">
        <v>#VALUE!</v>
      </c>
      <c r="O152" t="s">
        <v>11</v>
      </c>
      <c r="Q152" t="s">
        <v>776</v>
      </c>
      <c r="R152" s="1">
        <v>45982</v>
      </c>
      <c r="T152">
        <v>1</v>
      </c>
      <c r="U152">
        <v>0</v>
      </c>
      <c r="V152">
        <v>0</v>
      </c>
    </row>
    <row r="153" spans="1:22" x14ac:dyDescent="0.4">
      <c r="A153" s="4" t="s">
        <v>164</v>
      </c>
      <c r="D153" s="1">
        <v>45976</v>
      </c>
      <c r="E153" t="s">
        <v>15</v>
      </c>
      <c r="G153">
        <v>2</v>
      </c>
      <c r="H153" s="7" t="s">
        <v>166</v>
      </c>
      <c r="I153" t="s">
        <v>96</v>
      </c>
      <c r="J153" t="s">
        <v>402</v>
      </c>
      <c r="K153" t="s">
        <v>244</v>
      </c>
      <c r="L153" s="1">
        <v>45986</v>
      </c>
      <c r="M153" s="2" t="s">
        <v>165</v>
      </c>
      <c r="N153" t="e" vm="80">
        <v>#VALUE!</v>
      </c>
      <c r="O153" t="s">
        <v>11</v>
      </c>
      <c r="Q153" t="s">
        <v>776</v>
      </c>
      <c r="R153" s="1">
        <v>45982</v>
      </c>
      <c r="T153">
        <v>1</v>
      </c>
      <c r="U153">
        <v>0</v>
      </c>
      <c r="V153">
        <v>0</v>
      </c>
    </row>
    <row r="154" spans="1:22" x14ac:dyDescent="0.4">
      <c r="A154" s="4" t="s">
        <v>138</v>
      </c>
      <c r="D154" s="1">
        <v>45976</v>
      </c>
      <c r="E154" t="s">
        <v>15</v>
      </c>
      <c r="G154">
        <v>1</v>
      </c>
      <c r="I154" t="s">
        <v>96</v>
      </c>
      <c r="J154" t="s">
        <v>402</v>
      </c>
      <c r="K154" t="s">
        <v>244</v>
      </c>
      <c r="L154" s="1">
        <v>45986</v>
      </c>
      <c r="M154" s="2" t="s">
        <v>139</v>
      </c>
      <c r="N154" t="e" vm="77">
        <v>#VALUE!</v>
      </c>
      <c r="O154" t="s">
        <v>11</v>
      </c>
      <c r="Q154" t="s">
        <v>776</v>
      </c>
      <c r="R154" s="1">
        <v>45986</v>
      </c>
      <c r="T154">
        <v>1</v>
      </c>
      <c r="U154">
        <v>1</v>
      </c>
      <c r="V154">
        <v>1</v>
      </c>
    </row>
    <row r="155" spans="1:22" x14ac:dyDescent="0.4">
      <c r="A155" s="4" t="s">
        <v>140</v>
      </c>
      <c r="C155" t="s">
        <v>633</v>
      </c>
      <c r="D155" s="1">
        <v>45976</v>
      </c>
      <c r="E155" t="s">
        <v>15</v>
      </c>
      <c r="G155">
        <v>2</v>
      </c>
      <c r="I155" t="s">
        <v>96</v>
      </c>
      <c r="J155" t="s">
        <v>402</v>
      </c>
      <c r="K155" t="s">
        <v>244</v>
      </c>
      <c r="L155" s="1">
        <v>45986</v>
      </c>
      <c r="M155" s="2" t="s">
        <v>141</v>
      </c>
      <c r="N155" t="e" vm="77">
        <v>#VALUE!</v>
      </c>
      <c r="O155" t="s">
        <v>11</v>
      </c>
      <c r="Q155" t="s">
        <v>776</v>
      </c>
      <c r="R155" s="1">
        <v>45989</v>
      </c>
      <c r="T155">
        <v>1</v>
      </c>
      <c r="U155">
        <v>0</v>
      </c>
      <c r="V155">
        <v>0</v>
      </c>
    </row>
    <row r="156" spans="1:22" x14ac:dyDescent="0.4">
      <c r="A156" t="s">
        <v>560</v>
      </c>
      <c r="D156" s="1">
        <v>45976</v>
      </c>
      <c r="E156" t="s">
        <v>40</v>
      </c>
      <c r="I156" t="s">
        <v>96</v>
      </c>
      <c r="J156" t="s">
        <v>402</v>
      </c>
      <c r="M156" t="s">
        <v>559</v>
      </c>
      <c r="N156" t="e" vm="28">
        <v>#VALUE!</v>
      </c>
      <c r="O156" t="s">
        <v>11</v>
      </c>
      <c r="Q156" t="s">
        <v>776</v>
      </c>
      <c r="R156" s="1">
        <v>46053</v>
      </c>
      <c r="T156">
        <v>1</v>
      </c>
      <c r="U156">
        <v>1</v>
      </c>
      <c r="V156">
        <v>1</v>
      </c>
    </row>
    <row r="157" spans="1:22" x14ac:dyDescent="0.4">
      <c r="A157" t="s">
        <v>693</v>
      </c>
      <c r="C157" t="s">
        <v>695</v>
      </c>
      <c r="D157" s="1">
        <v>45976</v>
      </c>
      <c r="E157" t="s">
        <v>15</v>
      </c>
      <c r="I157" t="s">
        <v>96</v>
      </c>
      <c r="J157" t="s">
        <v>402</v>
      </c>
      <c r="M157" t="s">
        <v>694</v>
      </c>
      <c r="N157" t="e" vm="81">
        <v>#VALUE!</v>
      </c>
      <c r="O157" t="s">
        <v>11</v>
      </c>
      <c r="Q157" t="s">
        <v>776</v>
      </c>
      <c r="R157" s="1">
        <v>45984</v>
      </c>
      <c r="T157">
        <v>1</v>
      </c>
      <c r="U157">
        <v>0</v>
      </c>
      <c r="V157">
        <v>0</v>
      </c>
    </row>
    <row r="158" spans="1:22" x14ac:dyDescent="0.4">
      <c r="A158" t="s">
        <v>525</v>
      </c>
      <c r="D158" s="1">
        <v>45976</v>
      </c>
      <c r="E158" t="s">
        <v>526</v>
      </c>
      <c r="I158" t="s">
        <v>96</v>
      </c>
      <c r="J158" t="s">
        <v>402</v>
      </c>
      <c r="M158" t="s">
        <v>527</v>
      </c>
      <c r="N158" t="e" vm="40">
        <v>#VALUE!</v>
      </c>
      <c r="O158" t="s">
        <v>11</v>
      </c>
      <c r="Q158" t="s">
        <v>776</v>
      </c>
      <c r="R158" s="1">
        <v>46081</v>
      </c>
      <c r="T158">
        <v>1</v>
      </c>
      <c r="U158">
        <v>0</v>
      </c>
      <c r="V158">
        <v>0</v>
      </c>
    </row>
    <row r="159" spans="1:22" x14ac:dyDescent="0.4">
      <c r="A159" t="s">
        <v>531</v>
      </c>
      <c r="C159" t="s">
        <v>532</v>
      </c>
      <c r="D159" s="1">
        <v>45976</v>
      </c>
      <c r="E159" t="s">
        <v>533</v>
      </c>
      <c r="I159" t="s">
        <v>96</v>
      </c>
      <c r="J159" t="s">
        <v>402</v>
      </c>
      <c r="M159" t="s">
        <v>534</v>
      </c>
      <c r="N159" t="e" vm="28">
        <v>#VALUE!</v>
      </c>
      <c r="O159" t="s">
        <v>11</v>
      </c>
      <c r="Q159" t="s">
        <v>776</v>
      </c>
      <c r="R159" s="1">
        <v>46082</v>
      </c>
      <c r="T159">
        <v>1</v>
      </c>
      <c r="U159">
        <v>0</v>
      </c>
      <c r="V159">
        <v>1</v>
      </c>
    </row>
    <row r="160" spans="1:22" x14ac:dyDescent="0.4">
      <c r="A160" t="s">
        <v>635</v>
      </c>
      <c r="D160" s="1">
        <v>45976</v>
      </c>
      <c r="E160" t="s">
        <v>40</v>
      </c>
      <c r="F160" t="s">
        <v>580</v>
      </c>
      <c r="I160" t="s">
        <v>96</v>
      </c>
      <c r="J160" t="s">
        <v>402</v>
      </c>
      <c r="M160" t="s">
        <v>581</v>
      </c>
      <c r="N160" t="e" vm="20">
        <v>#VALUE!</v>
      </c>
      <c r="O160" t="s">
        <v>11</v>
      </c>
      <c r="Q160" t="s">
        <v>776</v>
      </c>
      <c r="R160" s="1">
        <v>45976</v>
      </c>
      <c r="T160">
        <v>1</v>
      </c>
      <c r="U160">
        <v>0</v>
      </c>
      <c r="V160">
        <v>1</v>
      </c>
    </row>
    <row r="161" spans="1:22" x14ac:dyDescent="0.4">
      <c r="A161" t="s">
        <v>594</v>
      </c>
      <c r="D161" s="1">
        <v>45976</v>
      </c>
      <c r="E161" t="s">
        <v>40</v>
      </c>
      <c r="F161" t="s">
        <v>595</v>
      </c>
      <c r="I161" t="s">
        <v>96</v>
      </c>
      <c r="J161" t="s">
        <v>402</v>
      </c>
      <c r="M161" t="s">
        <v>593</v>
      </c>
      <c r="N161" t="e" vm="82">
        <v>#VALUE!</v>
      </c>
      <c r="O161" t="s">
        <v>11</v>
      </c>
      <c r="Q161" t="s">
        <v>776</v>
      </c>
      <c r="R161" s="1">
        <v>45991</v>
      </c>
      <c r="T161">
        <v>1</v>
      </c>
      <c r="U161">
        <v>1</v>
      </c>
      <c r="V161">
        <v>1</v>
      </c>
    </row>
    <row r="162" spans="1:22" x14ac:dyDescent="0.4">
      <c r="A162" t="s">
        <v>458</v>
      </c>
      <c r="D162" s="1">
        <v>45976</v>
      </c>
      <c r="E162" t="s">
        <v>40</v>
      </c>
      <c r="F162" t="s">
        <v>459</v>
      </c>
      <c r="I162" t="s">
        <v>96</v>
      </c>
      <c r="J162" t="s">
        <v>402</v>
      </c>
      <c r="M162" t="s">
        <v>460</v>
      </c>
      <c r="N162" t="e" vm="83">
        <v>#VALUE!</v>
      </c>
      <c r="O162" t="s">
        <v>11</v>
      </c>
      <c r="Q162" t="s">
        <v>776</v>
      </c>
      <c r="R162" s="1">
        <v>45985</v>
      </c>
      <c r="T162">
        <v>1</v>
      </c>
      <c r="U162">
        <v>1</v>
      </c>
      <c r="V162">
        <v>1</v>
      </c>
    </row>
    <row r="163" spans="1:22" x14ac:dyDescent="0.4">
      <c r="A163" t="s">
        <v>107</v>
      </c>
      <c r="D163" s="1">
        <v>45976</v>
      </c>
      <c r="E163" t="s">
        <v>15</v>
      </c>
      <c r="H163" s="1"/>
      <c r="I163" t="s">
        <v>96</v>
      </c>
      <c r="J163" t="s">
        <v>402</v>
      </c>
      <c r="M163" t="s">
        <v>108</v>
      </c>
      <c r="N163" t="e" vm="13">
        <v>#VALUE!</v>
      </c>
      <c r="O163" t="s">
        <v>11</v>
      </c>
      <c r="Q163" t="s">
        <v>776</v>
      </c>
      <c r="R163" s="1">
        <v>45981</v>
      </c>
      <c r="T163">
        <v>1</v>
      </c>
      <c r="U163">
        <v>0</v>
      </c>
      <c r="V163">
        <v>0</v>
      </c>
    </row>
    <row r="164" spans="1:22" x14ac:dyDescent="0.4">
      <c r="A164" t="s">
        <v>557</v>
      </c>
      <c r="D164" s="1">
        <v>45976</v>
      </c>
      <c r="E164" t="s">
        <v>40</v>
      </c>
      <c r="I164" t="s">
        <v>96</v>
      </c>
      <c r="J164" t="s">
        <v>402</v>
      </c>
      <c r="M164" t="s">
        <v>558</v>
      </c>
      <c r="N164" t="e" vm="84">
        <v>#VALUE!</v>
      </c>
      <c r="O164" t="s">
        <v>11</v>
      </c>
      <c r="Q164" t="s">
        <v>776</v>
      </c>
      <c r="R164" s="1">
        <v>46022</v>
      </c>
      <c r="T164">
        <v>1</v>
      </c>
      <c r="U164">
        <v>0</v>
      </c>
      <c r="V164">
        <v>0</v>
      </c>
    </row>
    <row r="165" spans="1:22" x14ac:dyDescent="0.4">
      <c r="A165" t="s">
        <v>119</v>
      </c>
      <c r="D165" s="1">
        <v>45976</v>
      </c>
      <c r="E165" t="s">
        <v>15</v>
      </c>
      <c r="F165" t="s">
        <v>120</v>
      </c>
      <c r="I165" t="s">
        <v>96</v>
      </c>
      <c r="J165" t="s">
        <v>402</v>
      </c>
      <c r="L165" s="1"/>
      <c r="M165" s="2" t="s">
        <v>118</v>
      </c>
      <c r="N165" t="e" vm="25">
        <v>#VALUE!</v>
      </c>
      <c r="O165" t="s">
        <v>11</v>
      </c>
      <c r="Q165" t="s">
        <v>776</v>
      </c>
      <c r="R165" s="1">
        <v>45988</v>
      </c>
      <c r="T165">
        <v>1</v>
      </c>
      <c r="U165">
        <v>0</v>
      </c>
      <c r="V165">
        <v>0</v>
      </c>
    </row>
    <row r="166" spans="1:22" x14ac:dyDescent="0.4">
      <c r="A166" s="4" t="s">
        <v>687</v>
      </c>
      <c r="D166" s="1">
        <v>45976</v>
      </c>
      <c r="E166" t="s">
        <v>15</v>
      </c>
      <c r="I166" t="s">
        <v>96</v>
      </c>
      <c r="J166" t="s">
        <v>402</v>
      </c>
      <c r="K166" t="s">
        <v>244</v>
      </c>
      <c r="L166" s="1">
        <v>45986</v>
      </c>
      <c r="M166" t="s">
        <v>688</v>
      </c>
      <c r="N166" t="e" vm="45">
        <v>#VALUE!</v>
      </c>
      <c r="O166" t="s">
        <v>11</v>
      </c>
      <c r="Q166" t="s">
        <v>776</v>
      </c>
      <c r="R166" s="1">
        <v>45984</v>
      </c>
      <c r="T166">
        <v>1</v>
      </c>
      <c r="U166">
        <v>0</v>
      </c>
      <c r="V166">
        <v>0</v>
      </c>
    </row>
    <row r="167" spans="1:22" x14ac:dyDescent="0.4">
      <c r="A167" t="s">
        <v>380</v>
      </c>
      <c r="D167" s="1">
        <v>45976</v>
      </c>
      <c r="E167" t="s">
        <v>15</v>
      </c>
      <c r="I167" t="s">
        <v>96</v>
      </c>
      <c r="J167" t="s">
        <v>402</v>
      </c>
      <c r="M167" t="s">
        <v>379</v>
      </c>
      <c r="N167" t="e" vm="29">
        <v>#VALUE!</v>
      </c>
      <c r="O167" t="s">
        <v>11</v>
      </c>
      <c r="Q167" t="s">
        <v>776</v>
      </c>
      <c r="R167" s="1">
        <v>45985</v>
      </c>
      <c r="T167">
        <v>1</v>
      </c>
      <c r="U167">
        <v>0</v>
      </c>
      <c r="V167">
        <v>0</v>
      </c>
    </row>
    <row r="168" spans="1:22" x14ac:dyDescent="0.4">
      <c r="A168" t="s">
        <v>551</v>
      </c>
      <c r="C168" t="s">
        <v>552</v>
      </c>
      <c r="D168" s="1">
        <v>45976</v>
      </c>
      <c r="E168" t="s">
        <v>40</v>
      </c>
      <c r="F168" t="s">
        <v>553</v>
      </c>
      <c r="I168" t="s">
        <v>96</v>
      </c>
      <c r="J168" t="s">
        <v>402</v>
      </c>
      <c r="M168" t="s">
        <v>550</v>
      </c>
      <c r="N168" t="e" vm="28">
        <v>#VALUE!</v>
      </c>
      <c r="O168" t="s">
        <v>11</v>
      </c>
      <c r="Q168" t="s">
        <v>776</v>
      </c>
      <c r="R168" s="1">
        <v>45688</v>
      </c>
      <c r="T168">
        <v>1</v>
      </c>
      <c r="U168">
        <v>0</v>
      </c>
      <c r="V168">
        <v>1</v>
      </c>
    </row>
    <row r="169" spans="1:22" x14ac:dyDescent="0.4">
      <c r="A169" s="4" t="s">
        <v>698</v>
      </c>
      <c r="B169" s="19"/>
      <c r="C169" t="s">
        <v>701</v>
      </c>
      <c r="D169" s="1">
        <v>45981</v>
      </c>
      <c r="E169" t="s">
        <v>15</v>
      </c>
      <c r="F169" s="2" t="s">
        <v>699</v>
      </c>
      <c r="I169" t="s">
        <v>96</v>
      </c>
      <c r="J169" t="s">
        <v>402</v>
      </c>
      <c r="K169" t="s">
        <v>244</v>
      </c>
      <c r="L169" s="1">
        <v>45986</v>
      </c>
      <c r="M169" t="s">
        <v>700</v>
      </c>
      <c r="N169" t="e" vm="81">
        <v>#VALUE!</v>
      </c>
      <c r="O169" t="s">
        <v>11</v>
      </c>
      <c r="Q169" t="s">
        <v>776</v>
      </c>
      <c r="R169" s="1">
        <v>45986</v>
      </c>
      <c r="T169">
        <v>1</v>
      </c>
      <c r="U169">
        <v>0</v>
      </c>
      <c r="V169">
        <v>0</v>
      </c>
    </row>
    <row r="170" spans="1:22" x14ac:dyDescent="0.4">
      <c r="A170" s="4" t="s">
        <v>658</v>
      </c>
      <c r="C170" t="s">
        <v>659</v>
      </c>
      <c r="D170" s="1">
        <v>45981</v>
      </c>
      <c r="E170" t="s">
        <v>15</v>
      </c>
      <c r="G170">
        <v>3</v>
      </c>
      <c r="H170" s="2" t="s">
        <v>660</v>
      </c>
      <c r="I170" t="s">
        <v>96</v>
      </c>
      <c r="J170" t="s">
        <v>402</v>
      </c>
      <c r="K170" t="s">
        <v>244</v>
      </c>
      <c r="L170" s="1">
        <v>45992</v>
      </c>
      <c r="M170" t="s">
        <v>661</v>
      </c>
      <c r="N170" t="e" vm="47">
        <v>#VALUE!</v>
      </c>
      <c r="O170" t="s">
        <v>26</v>
      </c>
      <c r="Q170" t="s">
        <v>776</v>
      </c>
      <c r="R170" s="1">
        <v>45992</v>
      </c>
      <c r="T170">
        <v>1</v>
      </c>
      <c r="U170">
        <v>0</v>
      </c>
      <c r="V170">
        <v>0</v>
      </c>
    </row>
    <row r="171" spans="1:22" x14ac:dyDescent="0.4">
      <c r="A171" s="4" t="s">
        <v>636</v>
      </c>
      <c r="C171" t="s">
        <v>639</v>
      </c>
      <c r="D171" s="1">
        <v>45981</v>
      </c>
      <c r="E171" t="s">
        <v>637</v>
      </c>
      <c r="I171" t="s">
        <v>96</v>
      </c>
      <c r="J171" t="s">
        <v>402</v>
      </c>
      <c r="K171" t="s">
        <v>244</v>
      </c>
      <c r="L171" s="1">
        <v>45992</v>
      </c>
      <c r="M171" t="s">
        <v>638</v>
      </c>
      <c r="N171" t="e" vm="85">
        <v>#VALUE!</v>
      </c>
      <c r="O171" t="s">
        <v>26</v>
      </c>
      <c r="Q171" t="s">
        <v>776</v>
      </c>
      <c r="R171" s="1">
        <v>45992</v>
      </c>
      <c r="T171">
        <v>1</v>
      </c>
      <c r="U171">
        <v>0</v>
      </c>
      <c r="V171">
        <v>1</v>
      </c>
    </row>
    <row r="172" spans="1:22" x14ac:dyDescent="0.4">
      <c r="A172" s="4" t="s">
        <v>157</v>
      </c>
      <c r="D172" s="1">
        <v>45981</v>
      </c>
      <c r="E172" t="s">
        <v>15</v>
      </c>
      <c r="G172">
        <v>1</v>
      </c>
      <c r="I172" t="s">
        <v>96</v>
      </c>
      <c r="J172" t="s">
        <v>402</v>
      </c>
      <c r="K172" t="s">
        <v>244</v>
      </c>
      <c r="L172" s="1">
        <v>45992</v>
      </c>
      <c r="M172" s="2" t="s">
        <v>158</v>
      </c>
      <c r="N172" t="e" vm="54">
        <v>#VALUE!</v>
      </c>
      <c r="O172" t="s">
        <v>26</v>
      </c>
      <c r="Q172" t="s">
        <v>776</v>
      </c>
      <c r="R172" s="1">
        <v>45992</v>
      </c>
      <c r="T172">
        <v>1</v>
      </c>
      <c r="U172">
        <v>1</v>
      </c>
      <c r="V172">
        <v>0</v>
      </c>
    </row>
    <row r="173" spans="1:22" x14ac:dyDescent="0.4">
      <c r="A173" s="4" t="s">
        <v>153</v>
      </c>
      <c r="D173" s="1">
        <v>45981</v>
      </c>
      <c r="E173" t="s">
        <v>15</v>
      </c>
      <c r="G173">
        <v>1</v>
      </c>
      <c r="H173" s="7" t="s">
        <v>155</v>
      </c>
      <c r="I173" t="s">
        <v>96</v>
      </c>
      <c r="J173" t="s">
        <v>402</v>
      </c>
      <c r="K173" t="s">
        <v>244</v>
      </c>
      <c r="L173" s="1">
        <v>45992</v>
      </c>
      <c r="M173" s="2" t="s">
        <v>154</v>
      </c>
      <c r="N173" t="e" vm="54">
        <v>#VALUE!</v>
      </c>
      <c r="O173" t="s">
        <v>26</v>
      </c>
      <c r="Q173" t="s">
        <v>776</v>
      </c>
      <c r="R173" s="1">
        <v>45991</v>
      </c>
      <c r="T173">
        <v>1</v>
      </c>
      <c r="U173">
        <v>1</v>
      </c>
      <c r="V173">
        <v>0</v>
      </c>
    </row>
    <row r="174" spans="1:22" x14ac:dyDescent="0.4">
      <c r="A174" s="4" t="s">
        <v>675</v>
      </c>
      <c r="D174" s="1">
        <v>45981</v>
      </c>
      <c r="E174" t="s">
        <v>15</v>
      </c>
      <c r="I174" t="s">
        <v>96</v>
      </c>
      <c r="J174" t="s">
        <v>402</v>
      </c>
      <c r="K174" t="s">
        <v>244</v>
      </c>
      <c r="L174" s="1">
        <v>45992</v>
      </c>
      <c r="M174" t="s">
        <v>676</v>
      </c>
      <c r="N174" t="e" vm="54">
        <v>#VALUE!</v>
      </c>
      <c r="O174" t="s">
        <v>11</v>
      </c>
      <c r="Q174" t="s">
        <v>776</v>
      </c>
      <c r="R174" s="1">
        <v>45991</v>
      </c>
      <c r="T174">
        <v>1</v>
      </c>
      <c r="U174">
        <v>0</v>
      </c>
      <c r="V174">
        <v>0</v>
      </c>
    </row>
    <row r="175" spans="1:22" x14ac:dyDescent="0.4">
      <c r="A175" t="s">
        <v>423</v>
      </c>
      <c r="D175" s="1">
        <v>45981</v>
      </c>
      <c r="E175" t="s">
        <v>425</v>
      </c>
      <c r="F175" t="s">
        <v>424</v>
      </c>
      <c r="I175" t="s">
        <v>96</v>
      </c>
      <c r="J175" t="s">
        <v>402</v>
      </c>
      <c r="M175" t="s">
        <v>426</v>
      </c>
      <c r="N175" t="e" vm="38">
        <v>#VALUE!</v>
      </c>
      <c r="O175" t="s">
        <v>11</v>
      </c>
      <c r="Q175" t="s">
        <v>776</v>
      </c>
      <c r="R175" s="1">
        <v>45992</v>
      </c>
      <c r="T175">
        <v>1</v>
      </c>
      <c r="U175">
        <v>1</v>
      </c>
      <c r="V175">
        <v>1</v>
      </c>
    </row>
    <row r="176" spans="1:22" x14ac:dyDescent="0.4">
      <c r="A176" s="4" t="s">
        <v>292</v>
      </c>
      <c r="D176" s="1">
        <v>45981</v>
      </c>
      <c r="E176" t="s">
        <v>15</v>
      </c>
      <c r="H176" t="s">
        <v>293</v>
      </c>
      <c r="I176" t="s">
        <v>96</v>
      </c>
      <c r="J176" t="s">
        <v>402</v>
      </c>
      <c r="K176" t="s">
        <v>244</v>
      </c>
      <c r="L176" s="1">
        <v>45992</v>
      </c>
      <c r="M176" t="s">
        <v>291</v>
      </c>
      <c r="N176" t="e" vm="25">
        <v>#VALUE!</v>
      </c>
      <c r="O176" t="s">
        <v>11</v>
      </c>
      <c r="Q176" t="s">
        <v>776</v>
      </c>
      <c r="R176" s="1">
        <v>45989</v>
      </c>
      <c r="T176">
        <v>1</v>
      </c>
      <c r="U176">
        <v>0</v>
      </c>
      <c r="V176">
        <v>0</v>
      </c>
    </row>
    <row r="177" spans="1:22" x14ac:dyDescent="0.4">
      <c r="A177" s="4" t="s">
        <v>238</v>
      </c>
      <c r="D177" s="1">
        <v>45981</v>
      </c>
      <c r="E177" t="s">
        <v>40</v>
      </c>
      <c r="F177" s="2" t="s">
        <v>240</v>
      </c>
      <c r="I177" t="s">
        <v>96</v>
      </c>
      <c r="J177" t="s">
        <v>402</v>
      </c>
      <c r="K177" t="s">
        <v>244</v>
      </c>
      <c r="L177" s="1">
        <v>45992</v>
      </c>
      <c r="M177" t="s">
        <v>239</v>
      </c>
      <c r="N177" t="e" vm="86">
        <v>#VALUE!</v>
      </c>
      <c r="O177" t="s">
        <v>11</v>
      </c>
      <c r="P177" t="s">
        <v>64</v>
      </c>
      <c r="Q177" t="s">
        <v>776</v>
      </c>
      <c r="R177" s="1">
        <v>45992</v>
      </c>
      <c r="T177">
        <v>1</v>
      </c>
      <c r="U177">
        <v>0</v>
      </c>
      <c r="V177">
        <v>0</v>
      </c>
    </row>
    <row r="178" spans="1:22" x14ac:dyDescent="0.4">
      <c r="A178" t="s">
        <v>500</v>
      </c>
      <c r="D178" s="1">
        <v>45981</v>
      </c>
      <c r="E178" t="s">
        <v>40</v>
      </c>
      <c r="G178">
        <v>1</v>
      </c>
      <c r="I178" t="s">
        <v>96</v>
      </c>
      <c r="J178" t="s">
        <v>402</v>
      </c>
      <c r="M178" t="s">
        <v>501</v>
      </c>
      <c r="N178" t="e" vm="86">
        <v>#VALUE!</v>
      </c>
      <c r="O178" t="s">
        <v>11</v>
      </c>
      <c r="Q178" t="s">
        <v>776</v>
      </c>
      <c r="R178" s="1">
        <v>45997</v>
      </c>
      <c r="T178">
        <v>1</v>
      </c>
      <c r="U178">
        <v>0</v>
      </c>
      <c r="V178">
        <v>0</v>
      </c>
    </row>
    <row r="179" spans="1:22" x14ac:dyDescent="0.4">
      <c r="A179" s="4" t="s">
        <v>578</v>
      </c>
      <c r="D179" s="1">
        <v>45981</v>
      </c>
      <c r="E179" t="s">
        <v>40</v>
      </c>
      <c r="F179" t="s">
        <v>579</v>
      </c>
      <c r="I179" t="s">
        <v>96</v>
      </c>
      <c r="J179" t="s">
        <v>402</v>
      </c>
      <c r="K179" t="s">
        <v>244</v>
      </c>
      <c r="L179" s="1">
        <v>45992</v>
      </c>
      <c r="M179" t="s">
        <v>577</v>
      </c>
      <c r="N179" t="e" vm="68">
        <v>#VALUE!</v>
      </c>
      <c r="O179" t="s">
        <v>11</v>
      </c>
      <c r="Q179" t="s">
        <v>776</v>
      </c>
      <c r="R179" s="1">
        <v>45992</v>
      </c>
      <c r="T179">
        <v>1</v>
      </c>
      <c r="U179">
        <v>1</v>
      </c>
      <c r="V179">
        <v>1</v>
      </c>
    </row>
    <row r="180" spans="1:22" x14ac:dyDescent="0.4">
      <c r="A180" t="s">
        <v>642</v>
      </c>
      <c r="C180" t="s">
        <v>641</v>
      </c>
      <c r="D180" s="1">
        <v>45981</v>
      </c>
      <c r="E180" t="s">
        <v>643</v>
      </c>
      <c r="I180" t="s">
        <v>96</v>
      </c>
      <c r="J180" t="s">
        <v>402</v>
      </c>
      <c r="M180" t="s">
        <v>640</v>
      </c>
      <c r="N180" t="e" vm="65">
        <v>#VALUE!</v>
      </c>
      <c r="O180" t="s">
        <v>11</v>
      </c>
      <c r="Q180" t="s">
        <v>776</v>
      </c>
      <c r="R180" s="1">
        <v>46022</v>
      </c>
      <c r="T180">
        <v>1</v>
      </c>
      <c r="U180">
        <v>0</v>
      </c>
      <c r="V180">
        <v>0</v>
      </c>
    </row>
    <row r="181" spans="1:22" x14ac:dyDescent="0.4">
      <c r="A181" s="4" t="s">
        <v>582</v>
      </c>
      <c r="C181" t="s">
        <v>585</v>
      </c>
      <c r="D181" s="1">
        <v>45981</v>
      </c>
      <c r="E181" t="s">
        <v>40</v>
      </c>
      <c r="F181" t="s">
        <v>583</v>
      </c>
      <c r="I181" t="s">
        <v>96</v>
      </c>
      <c r="J181" t="s">
        <v>402</v>
      </c>
      <c r="K181" t="s">
        <v>244</v>
      </c>
      <c r="L181" s="1">
        <v>45992</v>
      </c>
      <c r="M181" t="s">
        <v>584</v>
      </c>
      <c r="N181" t="e" vm="82">
        <v>#VALUE!</v>
      </c>
      <c r="O181" t="s">
        <v>11</v>
      </c>
      <c r="Q181" t="s">
        <v>776</v>
      </c>
      <c r="R181" s="1">
        <v>45991</v>
      </c>
      <c r="T181">
        <v>1</v>
      </c>
      <c r="U181">
        <v>1</v>
      </c>
      <c r="V181">
        <v>1</v>
      </c>
    </row>
    <row r="182" spans="1:22" x14ac:dyDescent="0.4">
      <c r="A182" t="s">
        <v>266</v>
      </c>
      <c r="D182" s="1">
        <v>45981</v>
      </c>
      <c r="E182" t="s">
        <v>15</v>
      </c>
      <c r="I182" t="s">
        <v>96</v>
      </c>
      <c r="J182" t="s">
        <v>402</v>
      </c>
      <c r="M182" t="s">
        <v>265</v>
      </c>
      <c r="N182" t="e" vm="76">
        <v>#VALUE!</v>
      </c>
      <c r="O182" t="s">
        <v>26</v>
      </c>
      <c r="Q182" t="s">
        <v>776</v>
      </c>
      <c r="R182" s="1">
        <v>45992</v>
      </c>
      <c r="T182">
        <v>1</v>
      </c>
      <c r="U182">
        <v>1</v>
      </c>
      <c r="V182">
        <v>0</v>
      </c>
    </row>
    <row r="183" spans="1:22" x14ac:dyDescent="0.4">
      <c r="A183" t="s">
        <v>589</v>
      </c>
      <c r="C183" t="s">
        <v>592</v>
      </c>
      <c r="D183" s="1">
        <v>45981</v>
      </c>
      <c r="E183" t="s">
        <v>40</v>
      </c>
      <c r="F183" t="s">
        <v>590</v>
      </c>
      <c r="I183" t="s">
        <v>23</v>
      </c>
      <c r="J183" t="s">
        <v>402</v>
      </c>
      <c r="M183" t="s">
        <v>591</v>
      </c>
      <c r="N183" t="e" vm="82">
        <v>#VALUE!</v>
      </c>
      <c r="O183" t="s">
        <v>11</v>
      </c>
      <c r="Q183" t="s">
        <v>776</v>
      </c>
      <c r="R183" s="1">
        <v>45992</v>
      </c>
      <c r="T183">
        <v>1</v>
      </c>
      <c r="U183">
        <v>0</v>
      </c>
      <c r="V183">
        <v>1</v>
      </c>
    </row>
    <row r="184" spans="1:22" x14ac:dyDescent="0.4">
      <c r="A184" t="s">
        <v>587</v>
      </c>
      <c r="D184" s="1">
        <v>45981</v>
      </c>
      <c r="E184" t="s">
        <v>40</v>
      </c>
      <c r="F184" t="s">
        <v>588</v>
      </c>
      <c r="I184" t="s">
        <v>23</v>
      </c>
      <c r="J184" t="s">
        <v>402</v>
      </c>
      <c r="M184" t="s">
        <v>586</v>
      </c>
      <c r="N184" t="e" vm="82">
        <v>#VALUE!</v>
      </c>
      <c r="O184" t="s">
        <v>11</v>
      </c>
      <c r="Q184" t="s">
        <v>776</v>
      </c>
      <c r="R184" s="1">
        <v>46006</v>
      </c>
      <c r="T184">
        <v>1</v>
      </c>
      <c r="U184">
        <v>0</v>
      </c>
      <c r="V184">
        <v>1</v>
      </c>
    </row>
    <row r="185" spans="1:22" x14ac:dyDescent="0.4">
      <c r="A185" t="s">
        <v>448</v>
      </c>
      <c r="C185" t="s">
        <v>450</v>
      </c>
      <c r="D185" s="1">
        <v>45981</v>
      </c>
      <c r="E185" t="s">
        <v>40</v>
      </c>
      <c r="F185" t="s">
        <v>449</v>
      </c>
      <c r="I185" t="s">
        <v>96</v>
      </c>
      <c r="J185" t="s">
        <v>402</v>
      </c>
      <c r="M185" t="s">
        <v>451</v>
      </c>
      <c r="N185" t="e" vm="42">
        <v>#VALUE!</v>
      </c>
      <c r="O185" t="s">
        <v>11</v>
      </c>
      <c r="Q185" t="s">
        <v>776</v>
      </c>
      <c r="R185" s="1">
        <v>46003</v>
      </c>
      <c r="T185">
        <v>1</v>
      </c>
      <c r="U185">
        <v>0</v>
      </c>
      <c r="V185">
        <v>1</v>
      </c>
    </row>
    <row r="186" spans="1:22" x14ac:dyDescent="0.4">
      <c r="A186" t="s">
        <v>250</v>
      </c>
      <c r="D186" s="1">
        <v>45981</v>
      </c>
      <c r="E186" t="s">
        <v>15</v>
      </c>
      <c r="H186" s="8" t="s">
        <v>251</v>
      </c>
      <c r="I186" t="s">
        <v>96</v>
      </c>
      <c r="J186" t="s">
        <v>402</v>
      </c>
      <c r="M186" t="s">
        <v>249</v>
      </c>
      <c r="N186" t="e" vm="87">
        <v>#VALUE!</v>
      </c>
      <c r="O186" t="s">
        <v>26</v>
      </c>
      <c r="Q186" t="s">
        <v>776</v>
      </c>
      <c r="R186" s="1">
        <v>46006</v>
      </c>
      <c r="T186">
        <v>1</v>
      </c>
      <c r="U186">
        <v>0</v>
      </c>
      <c r="V186">
        <v>0</v>
      </c>
    </row>
    <row r="187" spans="1:22" x14ac:dyDescent="0.4">
      <c r="A187" t="s">
        <v>682</v>
      </c>
      <c r="D187" s="1">
        <v>45981</v>
      </c>
      <c r="E187" t="s">
        <v>15</v>
      </c>
      <c r="I187" t="s">
        <v>23</v>
      </c>
      <c r="J187" t="s">
        <v>402</v>
      </c>
      <c r="M187" t="s">
        <v>683</v>
      </c>
      <c r="N187" t="e" vm="45">
        <v>#VALUE!</v>
      </c>
      <c r="O187" t="s">
        <v>26</v>
      </c>
      <c r="Q187" t="s">
        <v>776</v>
      </c>
      <c r="R187" s="1">
        <v>45991</v>
      </c>
      <c r="T187">
        <v>1</v>
      </c>
      <c r="U187">
        <v>1</v>
      </c>
      <c r="V187">
        <v>0</v>
      </c>
    </row>
    <row r="188" spans="1:22" x14ac:dyDescent="0.4">
      <c r="A188" t="s">
        <v>600</v>
      </c>
      <c r="C188" t="s">
        <v>602</v>
      </c>
      <c r="D188" s="1">
        <v>45981</v>
      </c>
      <c r="E188" t="s">
        <v>40</v>
      </c>
      <c r="F188" t="s">
        <v>603</v>
      </c>
      <c r="I188" t="s">
        <v>96</v>
      </c>
      <c r="J188" t="s">
        <v>402</v>
      </c>
      <c r="M188" t="s">
        <v>601</v>
      </c>
      <c r="N188" t="e" vm="1">
        <v>#VALUE!</v>
      </c>
      <c r="Q188" t="s">
        <v>776</v>
      </c>
      <c r="R188" s="1">
        <v>45992</v>
      </c>
    </row>
    <row r="189" spans="1:22" x14ac:dyDescent="0.4">
      <c r="A189" t="s">
        <v>644</v>
      </c>
      <c r="C189" t="s">
        <v>647</v>
      </c>
      <c r="D189" s="1">
        <v>45981</v>
      </c>
      <c r="E189" t="s">
        <v>645</v>
      </c>
      <c r="I189" t="s">
        <v>23</v>
      </c>
      <c r="J189" t="s">
        <v>402</v>
      </c>
      <c r="L189" s="1"/>
      <c r="M189" t="s">
        <v>646</v>
      </c>
      <c r="N189" t="e" vm="88">
        <v>#VALUE!</v>
      </c>
      <c r="O189" t="s">
        <v>11</v>
      </c>
      <c r="Q189" t="s">
        <v>776</v>
      </c>
      <c r="R189" s="1">
        <v>45992</v>
      </c>
      <c r="T189">
        <v>1</v>
      </c>
      <c r="U189">
        <v>0</v>
      </c>
      <c r="V189">
        <v>0</v>
      </c>
    </row>
    <row r="190" spans="1:22" x14ac:dyDescent="0.4">
      <c r="A190" s="4" t="s">
        <v>408</v>
      </c>
      <c r="D190" s="1">
        <v>45981</v>
      </c>
      <c r="E190" s="2" t="s">
        <v>409</v>
      </c>
      <c r="F190" s="2" t="s">
        <v>410</v>
      </c>
      <c r="H190" t="s">
        <v>411</v>
      </c>
      <c r="I190" t="s">
        <v>96</v>
      </c>
      <c r="J190" t="s">
        <v>402</v>
      </c>
      <c r="K190" t="s">
        <v>244</v>
      </c>
      <c r="L190" s="1">
        <v>45992</v>
      </c>
      <c r="M190" t="s">
        <v>108</v>
      </c>
      <c r="N190" t="e" vm="86">
        <v>#VALUE!</v>
      </c>
      <c r="O190" t="s">
        <v>11</v>
      </c>
      <c r="Q190" t="s">
        <v>776</v>
      </c>
      <c r="R190" s="1">
        <v>45991</v>
      </c>
      <c r="T190">
        <v>1</v>
      </c>
      <c r="U190">
        <v>1</v>
      </c>
      <c r="V190">
        <v>0</v>
      </c>
    </row>
    <row r="191" spans="1:22" x14ac:dyDescent="0.4">
      <c r="A191" t="s">
        <v>606</v>
      </c>
      <c r="D191" s="1">
        <v>45981</v>
      </c>
      <c r="E191" t="s">
        <v>40</v>
      </c>
      <c r="F191" t="s">
        <v>607</v>
      </c>
      <c r="I191" t="s">
        <v>23</v>
      </c>
      <c r="J191" t="s">
        <v>402</v>
      </c>
      <c r="M191" t="s">
        <v>605</v>
      </c>
      <c r="N191" t="e" vm="17">
        <v>#VALUE!</v>
      </c>
      <c r="O191" t="s">
        <v>11</v>
      </c>
      <c r="Q191" t="s">
        <v>776</v>
      </c>
      <c r="R191" s="1">
        <v>45989</v>
      </c>
      <c r="T191">
        <v>1</v>
      </c>
      <c r="U191">
        <v>1</v>
      </c>
      <c r="V191">
        <v>1</v>
      </c>
    </row>
    <row r="192" spans="1:22" x14ac:dyDescent="0.4">
      <c r="A192" t="s">
        <v>259</v>
      </c>
      <c r="D192" s="1">
        <v>45981</v>
      </c>
      <c r="E192" t="s">
        <v>15</v>
      </c>
      <c r="I192" t="s">
        <v>96</v>
      </c>
      <c r="J192" t="s">
        <v>402</v>
      </c>
      <c r="M192" t="s">
        <v>258</v>
      </c>
      <c r="N192" t="e" vm="54">
        <v>#VALUE!</v>
      </c>
      <c r="Q192" t="s">
        <v>776</v>
      </c>
      <c r="R192" s="1">
        <v>45998</v>
      </c>
      <c r="T192">
        <v>1</v>
      </c>
      <c r="U192">
        <v>0</v>
      </c>
      <c r="V192">
        <v>0</v>
      </c>
    </row>
    <row r="193" spans="1:22" x14ac:dyDescent="0.4">
      <c r="A193" t="s">
        <v>677</v>
      </c>
      <c r="C193" t="s">
        <v>678</v>
      </c>
      <c r="D193" s="1">
        <v>45981</v>
      </c>
      <c r="E193" t="s">
        <v>15</v>
      </c>
      <c r="I193" t="s">
        <v>23</v>
      </c>
      <c r="J193" t="s">
        <v>402</v>
      </c>
      <c r="M193" t="s">
        <v>287</v>
      </c>
      <c r="N193" t="e" vm="76">
        <v>#VALUE!</v>
      </c>
      <c r="O193" t="s">
        <v>26</v>
      </c>
      <c r="Q193" t="s">
        <v>776</v>
      </c>
      <c r="R193" s="1">
        <v>45991</v>
      </c>
      <c r="T193">
        <v>1</v>
      </c>
      <c r="U193">
        <v>1</v>
      </c>
      <c r="V193">
        <v>1</v>
      </c>
    </row>
    <row r="194" spans="1:22" x14ac:dyDescent="0.4">
      <c r="A194" t="s">
        <v>288</v>
      </c>
      <c r="D194" s="1">
        <v>45981</v>
      </c>
      <c r="E194" t="s">
        <v>15</v>
      </c>
      <c r="I194" t="s">
        <v>96</v>
      </c>
      <c r="J194" t="s">
        <v>402</v>
      </c>
      <c r="M194" t="s">
        <v>287</v>
      </c>
      <c r="N194" t="e" vm="76">
        <v>#VALUE!</v>
      </c>
      <c r="O194" t="s">
        <v>11</v>
      </c>
      <c r="Q194" t="s">
        <v>776</v>
      </c>
      <c r="R194" s="1">
        <v>45991</v>
      </c>
      <c r="T194">
        <v>1</v>
      </c>
      <c r="U194">
        <v>1</v>
      </c>
      <c r="V194">
        <v>1</v>
      </c>
    </row>
    <row r="195" spans="1:22" x14ac:dyDescent="0.4">
      <c r="A195" t="s">
        <v>412</v>
      </c>
      <c r="D195" s="1">
        <v>45981</v>
      </c>
      <c r="E195" t="s">
        <v>413</v>
      </c>
      <c r="I195" t="s">
        <v>96</v>
      </c>
      <c r="J195" t="s">
        <v>402</v>
      </c>
      <c r="M195" t="s">
        <v>102</v>
      </c>
      <c r="N195" t="e" vm="54">
        <v>#VALUE!</v>
      </c>
      <c r="O195" t="s">
        <v>11</v>
      </c>
      <c r="Q195" t="s">
        <v>776</v>
      </c>
      <c r="R195" s="1">
        <v>45984</v>
      </c>
      <c r="T195">
        <v>1</v>
      </c>
      <c r="U195">
        <v>0</v>
      </c>
      <c r="V195">
        <v>0</v>
      </c>
    </row>
    <row r="196" spans="1:22" x14ac:dyDescent="0.4">
      <c r="A196" t="s">
        <v>382</v>
      </c>
      <c r="D196" s="1">
        <v>45981</v>
      </c>
      <c r="E196" t="s">
        <v>15</v>
      </c>
      <c r="I196" t="s">
        <v>96</v>
      </c>
      <c r="J196" t="s">
        <v>402</v>
      </c>
      <c r="M196" t="s">
        <v>383</v>
      </c>
      <c r="N196" t="e" vm="76">
        <v>#VALUE!</v>
      </c>
      <c r="Q196" t="s">
        <v>776</v>
      </c>
      <c r="R196" s="1">
        <v>45985</v>
      </c>
      <c r="T196">
        <v>1</v>
      </c>
      <c r="U196">
        <v>0</v>
      </c>
      <c r="V196">
        <v>0</v>
      </c>
    </row>
    <row r="197" spans="1:22" x14ac:dyDescent="0.4">
      <c r="A197" t="s">
        <v>481</v>
      </c>
      <c r="D197" s="1">
        <v>45981</v>
      </c>
      <c r="E197" t="s">
        <v>40</v>
      </c>
      <c r="F197" t="s">
        <v>482</v>
      </c>
      <c r="I197" t="s">
        <v>96</v>
      </c>
      <c r="J197" t="s">
        <v>402</v>
      </c>
      <c r="M197" t="s">
        <v>483</v>
      </c>
      <c r="N197" t="e" vm="89">
        <v>#VALUE!</v>
      </c>
      <c r="O197" t="s">
        <v>486</v>
      </c>
      <c r="Q197" t="s">
        <v>776</v>
      </c>
      <c r="R197" s="1">
        <v>45688</v>
      </c>
      <c r="T197">
        <v>1</v>
      </c>
      <c r="U197">
        <v>1</v>
      </c>
      <c r="V197">
        <v>1</v>
      </c>
    </row>
    <row r="198" spans="1:22" x14ac:dyDescent="0.4">
      <c r="A198" t="s">
        <v>377</v>
      </c>
      <c r="D198" s="1">
        <v>45981</v>
      </c>
      <c r="E198" s="2" t="s">
        <v>378</v>
      </c>
      <c r="I198" t="s">
        <v>96</v>
      </c>
      <c r="J198" t="s">
        <v>402</v>
      </c>
      <c r="M198" t="s">
        <v>376</v>
      </c>
      <c r="N198" t="e" vm="29">
        <v>#VALUE!</v>
      </c>
      <c r="O198" t="s">
        <v>26</v>
      </c>
      <c r="Q198" t="s">
        <v>776</v>
      </c>
      <c r="R198" s="1">
        <v>45991</v>
      </c>
      <c r="T198">
        <v>1</v>
      </c>
      <c r="U198">
        <v>0</v>
      </c>
      <c r="V198">
        <v>0</v>
      </c>
    </row>
    <row r="199" spans="1:22" x14ac:dyDescent="0.4">
      <c r="A199" s="4" t="s">
        <v>679</v>
      </c>
      <c r="D199" s="1">
        <v>45981</v>
      </c>
      <c r="E199" t="s">
        <v>15</v>
      </c>
      <c r="H199" t="s">
        <v>681</v>
      </c>
      <c r="I199" t="s">
        <v>23</v>
      </c>
      <c r="J199" t="s">
        <v>402</v>
      </c>
      <c r="M199" t="s">
        <v>680</v>
      </c>
      <c r="N199" t="e" vm="41">
        <v>#VALUE!</v>
      </c>
      <c r="O199" t="s">
        <v>11</v>
      </c>
      <c r="Q199" t="s">
        <v>776</v>
      </c>
      <c r="R199" s="1">
        <v>45991</v>
      </c>
      <c r="T199">
        <v>1</v>
      </c>
      <c r="U199">
        <v>0</v>
      </c>
      <c r="V199">
        <v>0</v>
      </c>
    </row>
    <row r="200" spans="1:22" x14ac:dyDescent="0.4">
      <c r="A200" t="s">
        <v>665</v>
      </c>
      <c r="D200" s="1">
        <v>45981</v>
      </c>
      <c r="E200" t="s">
        <v>15</v>
      </c>
      <c r="I200" t="s">
        <v>23</v>
      </c>
      <c r="J200" t="s">
        <v>402</v>
      </c>
      <c r="M200" t="s">
        <v>666</v>
      </c>
      <c r="N200" t="e" vm="90">
        <v>#VALUE!</v>
      </c>
      <c r="Q200" t="s">
        <v>776</v>
      </c>
      <c r="R200" s="1">
        <v>45992</v>
      </c>
      <c r="T200">
        <v>1</v>
      </c>
      <c r="U200">
        <v>0</v>
      </c>
      <c r="V200">
        <v>0</v>
      </c>
    </row>
    <row r="201" spans="1:22" x14ac:dyDescent="0.4">
      <c r="A201" t="s">
        <v>260</v>
      </c>
      <c r="D201" s="1">
        <v>45981</v>
      </c>
      <c r="E201" t="s">
        <v>15</v>
      </c>
      <c r="H201" t="s">
        <v>262</v>
      </c>
      <c r="I201" t="s">
        <v>96</v>
      </c>
      <c r="J201" t="s">
        <v>402</v>
      </c>
      <c r="M201" t="s">
        <v>261</v>
      </c>
      <c r="N201" t="e" vm="90">
        <v>#VALUE!</v>
      </c>
      <c r="Q201" t="s">
        <v>776</v>
      </c>
      <c r="R201" s="1">
        <v>45994</v>
      </c>
      <c r="T201">
        <v>1</v>
      </c>
      <c r="U201">
        <v>0</v>
      </c>
      <c r="V201">
        <v>0</v>
      </c>
    </row>
    <row r="202" spans="1:22" x14ac:dyDescent="0.4">
      <c r="A202" t="s">
        <v>497</v>
      </c>
      <c r="D202" s="1">
        <v>45981</v>
      </c>
      <c r="E202" t="s">
        <v>40</v>
      </c>
      <c r="F202" t="s">
        <v>498</v>
      </c>
      <c r="I202" t="s">
        <v>96</v>
      </c>
      <c r="J202" t="s">
        <v>402</v>
      </c>
      <c r="M202" t="s">
        <v>499</v>
      </c>
      <c r="N202" t="e" vm="91">
        <v>#VALUE!</v>
      </c>
      <c r="O202" t="s">
        <v>11</v>
      </c>
      <c r="Q202" t="s">
        <v>776</v>
      </c>
      <c r="R202" s="1">
        <v>46022</v>
      </c>
      <c r="T202">
        <v>1</v>
      </c>
      <c r="U202">
        <v>1</v>
      </c>
      <c r="V202">
        <v>1</v>
      </c>
    </row>
    <row r="203" spans="1:22" x14ac:dyDescent="0.4">
      <c r="A203" t="s">
        <v>572</v>
      </c>
      <c r="D203" s="1">
        <v>45981</v>
      </c>
      <c r="E203" t="s">
        <v>40</v>
      </c>
      <c r="I203" t="s">
        <v>23</v>
      </c>
      <c r="J203" t="s">
        <v>402</v>
      </c>
      <c r="M203" t="s">
        <v>571</v>
      </c>
      <c r="N203" t="e" vm="92">
        <v>#VALUE!</v>
      </c>
      <c r="O203" t="s">
        <v>11</v>
      </c>
      <c r="Q203" t="s">
        <v>776</v>
      </c>
      <c r="R203" s="1">
        <v>45992</v>
      </c>
      <c r="T203">
        <v>1</v>
      </c>
      <c r="U203">
        <v>1</v>
      </c>
      <c r="V203">
        <v>1</v>
      </c>
    </row>
    <row r="204" spans="1:22" x14ac:dyDescent="0.4">
      <c r="A204" t="s">
        <v>707</v>
      </c>
      <c r="C204" t="s">
        <v>706</v>
      </c>
      <c r="D204" s="1">
        <v>45981</v>
      </c>
      <c r="E204" t="s">
        <v>15</v>
      </c>
      <c r="F204" s="2" t="s">
        <v>708</v>
      </c>
      <c r="I204" t="s">
        <v>23</v>
      </c>
      <c r="J204" t="s">
        <v>402</v>
      </c>
      <c r="M204" t="s">
        <v>705</v>
      </c>
      <c r="N204" t="e" vm="93">
        <v>#VALUE!</v>
      </c>
      <c r="O204" t="s">
        <v>26</v>
      </c>
      <c r="Q204" t="s">
        <v>776</v>
      </c>
      <c r="R204" s="1">
        <v>45992</v>
      </c>
      <c r="T204">
        <v>1</v>
      </c>
      <c r="U204">
        <v>0</v>
      </c>
      <c r="V204">
        <v>0</v>
      </c>
    </row>
    <row r="205" spans="1:22" x14ac:dyDescent="0.4">
      <c r="A205" t="s">
        <v>254</v>
      </c>
      <c r="D205" s="1">
        <v>45981</v>
      </c>
      <c r="E205" t="s">
        <v>15</v>
      </c>
      <c r="I205" t="s">
        <v>96</v>
      </c>
      <c r="J205" t="s">
        <v>402</v>
      </c>
      <c r="M205" t="s">
        <v>253</v>
      </c>
      <c r="N205" t="e" vm="94">
        <v>#VALUE!</v>
      </c>
      <c r="O205" t="s">
        <v>11</v>
      </c>
      <c r="Q205" t="s">
        <v>776</v>
      </c>
      <c r="R205" s="1">
        <v>46022</v>
      </c>
      <c r="T205">
        <v>1</v>
      </c>
      <c r="U205">
        <v>0</v>
      </c>
      <c r="V205">
        <v>0</v>
      </c>
    </row>
    <row r="206" spans="1:22" x14ac:dyDescent="0.4">
      <c r="A206" t="s">
        <v>204</v>
      </c>
      <c r="D206" s="1">
        <v>45981</v>
      </c>
      <c r="E206" t="s">
        <v>40</v>
      </c>
      <c r="I206" t="s">
        <v>96</v>
      </c>
      <c r="J206" t="s">
        <v>402</v>
      </c>
      <c r="M206" s="2" t="s">
        <v>205</v>
      </c>
      <c r="N206" t="e" vm="6">
        <v>#VALUE!</v>
      </c>
      <c r="Q206" t="s">
        <v>776</v>
      </c>
      <c r="R206" s="1">
        <v>46053</v>
      </c>
      <c r="T206">
        <v>1</v>
      </c>
      <c r="U206">
        <v>0</v>
      </c>
      <c r="V206">
        <v>0</v>
      </c>
    </row>
    <row r="207" spans="1:22" x14ac:dyDescent="0.4">
      <c r="A207" s="4" t="s">
        <v>338</v>
      </c>
      <c r="D207" s="1">
        <v>45981</v>
      </c>
      <c r="E207" t="s">
        <v>40</v>
      </c>
      <c r="I207" t="s">
        <v>96</v>
      </c>
      <c r="J207" t="s">
        <v>402</v>
      </c>
      <c r="K207" t="s">
        <v>244</v>
      </c>
      <c r="L207" s="1">
        <v>45992</v>
      </c>
      <c r="M207" t="s">
        <v>339</v>
      </c>
      <c r="N207" t="e" vm="77">
        <v>#VALUE!</v>
      </c>
      <c r="O207" t="s">
        <v>11</v>
      </c>
      <c r="Q207" t="s">
        <v>776</v>
      </c>
      <c r="R207" s="1">
        <v>45661</v>
      </c>
      <c r="T207">
        <v>1</v>
      </c>
      <c r="U207">
        <v>0</v>
      </c>
      <c r="V207">
        <v>0</v>
      </c>
    </row>
    <row r="208" spans="1:22" x14ac:dyDescent="0.4">
      <c r="A208" t="s">
        <v>648</v>
      </c>
      <c r="D208" s="1">
        <v>45981</v>
      </c>
      <c r="E208" s="2" t="s">
        <v>650</v>
      </c>
      <c r="I208" t="s">
        <v>23</v>
      </c>
      <c r="J208" t="s">
        <v>402</v>
      </c>
      <c r="M208" t="s">
        <v>651</v>
      </c>
      <c r="N208" t="e" vm="11">
        <v>#VALUE!</v>
      </c>
      <c r="Q208" t="s">
        <v>776</v>
      </c>
      <c r="R208" s="1">
        <v>45991</v>
      </c>
      <c r="T208">
        <v>1</v>
      </c>
      <c r="U208">
        <v>0</v>
      </c>
      <c r="V208">
        <v>0</v>
      </c>
    </row>
    <row r="209" spans="1:22" x14ac:dyDescent="0.4">
      <c r="A209" t="s">
        <v>475</v>
      </c>
      <c r="D209" s="1">
        <v>45981</v>
      </c>
      <c r="E209" t="s">
        <v>40</v>
      </c>
      <c r="F209" t="s">
        <v>476</v>
      </c>
      <c r="I209" t="s">
        <v>96</v>
      </c>
      <c r="J209" t="s">
        <v>402</v>
      </c>
      <c r="M209" t="s">
        <v>477</v>
      </c>
      <c r="N209" t="e" vm="92">
        <v>#VALUE!</v>
      </c>
      <c r="O209" t="s">
        <v>11</v>
      </c>
      <c r="Q209" t="s">
        <v>776</v>
      </c>
      <c r="R209" s="1">
        <v>45996</v>
      </c>
      <c r="T209">
        <v>1</v>
      </c>
      <c r="U209">
        <v>1</v>
      </c>
      <c r="V209">
        <v>1</v>
      </c>
    </row>
    <row r="210" spans="1:22" x14ac:dyDescent="0.4">
      <c r="A210" t="s">
        <v>267</v>
      </c>
      <c r="D210" s="1">
        <v>45981</v>
      </c>
      <c r="E210" t="s">
        <v>15</v>
      </c>
      <c r="G210">
        <v>1</v>
      </c>
      <c r="I210" t="s">
        <v>96</v>
      </c>
      <c r="J210" t="s">
        <v>402</v>
      </c>
      <c r="M210" t="s">
        <v>268</v>
      </c>
      <c r="N210" t="e" vm="95">
        <v>#VALUE!</v>
      </c>
      <c r="O210" t="s">
        <v>11</v>
      </c>
      <c r="Q210" t="s">
        <v>776</v>
      </c>
      <c r="R210" s="1">
        <v>45991</v>
      </c>
      <c r="T210">
        <v>1</v>
      </c>
      <c r="U210">
        <v>0</v>
      </c>
      <c r="V210">
        <v>0</v>
      </c>
    </row>
    <row r="211" spans="1:22" x14ac:dyDescent="0.4">
      <c r="A211" t="s">
        <v>353</v>
      </c>
      <c r="D211" s="1">
        <v>45981</v>
      </c>
      <c r="E211" t="s">
        <v>40</v>
      </c>
      <c r="I211" t="s">
        <v>96</v>
      </c>
      <c r="J211" t="s">
        <v>402</v>
      </c>
      <c r="M211" t="s">
        <v>352</v>
      </c>
      <c r="N211" t="e" vm="96">
        <v>#VALUE!</v>
      </c>
      <c r="O211" t="s">
        <v>11</v>
      </c>
      <c r="Q211" t="s">
        <v>776</v>
      </c>
      <c r="R211" s="1">
        <v>45987</v>
      </c>
      <c r="T211">
        <v>1</v>
      </c>
      <c r="U211">
        <v>0</v>
      </c>
      <c r="V211">
        <v>1</v>
      </c>
    </row>
    <row r="212" spans="1:22" x14ac:dyDescent="0.4">
      <c r="A212" t="s">
        <v>283</v>
      </c>
      <c r="D212" s="1">
        <v>45981</v>
      </c>
      <c r="E212" t="s">
        <v>15</v>
      </c>
      <c r="I212" t="s">
        <v>96</v>
      </c>
      <c r="J212" t="s">
        <v>402</v>
      </c>
      <c r="M212" t="s">
        <v>284</v>
      </c>
      <c r="N212" t="e" vm="97">
        <v>#VALUE!</v>
      </c>
      <c r="Q212" t="s">
        <v>776</v>
      </c>
      <c r="R212" s="1">
        <v>45991</v>
      </c>
      <c r="T212">
        <v>1</v>
      </c>
      <c r="U212">
        <v>0</v>
      </c>
      <c r="V212">
        <v>0</v>
      </c>
    </row>
    <row r="213" spans="1:22" x14ac:dyDescent="0.4">
      <c r="A213" t="s">
        <v>281</v>
      </c>
      <c r="D213" s="1">
        <v>45981</v>
      </c>
      <c r="E213" t="s">
        <v>15</v>
      </c>
      <c r="I213" t="s">
        <v>96</v>
      </c>
      <c r="J213" t="s">
        <v>402</v>
      </c>
      <c r="M213" t="s">
        <v>282</v>
      </c>
      <c r="N213" t="e" vm="75">
        <v>#VALUE!</v>
      </c>
      <c r="Q213" t="s">
        <v>776</v>
      </c>
      <c r="R213" s="1">
        <v>45991</v>
      </c>
      <c r="T213">
        <v>1</v>
      </c>
      <c r="U213">
        <v>0</v>
      </c>
      <c r="V213">
        <v>0</v>
      </c>
    </row>
    <row r="214" spans="1:22" x14ac:dyDescent="0.4">
      <c r="A214" t="s">
        <v>684</v>
      </c>
      <c r="C214" t="s">
        <v>686</v>
      </c>
      <c r="D214" s="1">
        <v>45981</v>
      </c>
      <c r="E214" t="s">
        <v>15</v>
      </c>
      <c r="I214" t="s">
        <v>23</v>
      </c>
      <c r="J214" t="s">
        <v>402</v>
      </c>
      <c r="M214" t="s">
        <v>685</v>
      </c>
      <c r="N214" t="e" vm="29">
        <v>#VALUE!</v>
      </c>
      <c r="Q214" t="s">
        <v>776</v>
      </c>
      <c r="R214" s="1">
        <v>45985</v>
      </c>
      <c r="T214">
        <v>1</v>
      </c>
      <c r="U214">
        <v>0</v>
      </c>
      <c r="V214">
        <v>0</v>
      </c>
    </row>
    <row r="215" spans="1:22" x14ac:dyDescent="0.4">
      <c r="A215" t="s">
        <v>295</v>
      </c>
      <c r="D215" s="1">
        <v>45981</v>
      </c>
      <c r="E215" t="s">
        <v>15</v>
      </c>
      <c r="H215" s="2" t="s">
        <v>296</v>
      </c>
      <c r="I215" t="s">
        <v>96</v>
      </c>
      <c r="J215" t="s">
        <v>402</v>
      </c>
      <c r="M215" t="s">
        <v>294</v>
      </c>
      <c r="N215" t="e" vm="60">
        <v>#VALUE!</v>
      </c>
      <c r="O215" t="s">
        <v>11</v>
      </c>
      <c r="P215" t="s">
        <v>64</v>
      </c>
      <c r="Q215" t="s">
        <v>776</v>
      </c>
      <c r="R215" s="1">
        <v>45989</v>
      </c>
      <c r="T215">
        <v>1</v>
      </c>
      <c r="U215">
        <v>0</v>
      </c>
      <c r="V215">
        <v>0</v>
      </c>
    </row>
    <row r="216" spans="1:22" x14ac:dyDescent="0.4">
      <c r="A216" t="s">
        <v>375</v>
      </c>
      <c r="D216" s="1">
        <v>45981</v>
      </c>
      <c r="E216" t="s">
        <v>15</v>
      </c>
      <c r="G216">
        <v>1</v>
      </c>
      <c r="H216" t="s">
        <v>248</v>
      </c>
      <c r="I216" t="s">
        <v>96</v>
      </c>
      <c r="J216" t="s">
        <v>402</v>
      </c>
      <c r="M216" t="s">
        <v>247</v>
      </c>
      <c r="N216" t="e" vm="74">
        <v>#VALUE!</v>
      </c>
      <c r="O216" t="s">
        <v>11</v>
      </c>
      <c r="Q216" t="s">
        <v>776</v>
      </c>
      <c r="R216" s="1">
        <v>46045</v>
      </c>
      <c r="T216">
        <v>1</v>
      </c>
      <c r="U216">
        <v>0</v>
      </c>
      <c r="V216">
        <v>0</v>
      </c>
    </row>
    <row r="217" spans="1:22" x14ac:dyDescent="0.4">
      <c r="A217" t="s">
        <v>728</v>
      </c>
      <c r="D217" s="1">
        <v>45981</v>
      </c>
      <c r="E217" t="s">
        <v>729</v>
      </c>
      <c r="I217" t="s">
        <v>23</v>
      </c>
      <c r="J217" t="s">
        <v>402</v>
      </c>
      <c r="M217" t="s">
        <v>730</v>
      </c>
      <c r="N217" t="e" vm="23">
        <v>#VALUE!</v>
      </c>
      <c r="O217" t="s">
        <v>11</v>
      </c>
      <c r="Q217" t="s">
        <v>776</v>
      </c>
      <c r="R217" s="1">
        <v>45991</v>
      </c>
      <c r="T217">
        <v>1</v>
      </c>
      <c r="U217">
        <v>0</v>
      </c>
      <c r="V217">
        <v>1</v>
      </c>
    </row>
    <row r="218" spans="1:22" x14ac:dyDescent="0.4">
      <c r="A218" t="s">
        <v>731</v>
      </c>
      <c r="C218" t="s">
        <v>734</v>
      </c>
      <c r="D218" s="1">
        <v>45981</v>
      </c>
      <c r="E218" t="s">
        <v>15</v>
      </c>
      <c r="F218" t="s">
        <v>733</v>
      </c>
      <c r="I218" t="s">
        <v>23</v>
      </c>
      <c r="J218" t="s">
        <v>402</v>
      </c>
      <c r="M218" s="2" t="s">
        <v>732</v>
      </c>
      <c r="N218" t="e" vm="29">
        <v>#VALUE!</v>
      </c>
      <c r="O218" t="s">
        <v>11</v>
      </c>
      <c r="Q218" t="s">
        <v>776</v>
      </c>
      <c r="R218" s="1">
        <v>45987</v>
      </c>
      <c r="T218">
        <v>1</v>
      </c>
      <c r="U218">
        <v>1</v>
      </c>
      <c r="V218">
        <v>1</v>
      </c>
    </row>
    <row r="219" spans="1:22" x14ac:dyDescent="0.4">
      <c r="A219" t="s">
        <v>735</v>
      </c>
      <c r="C219" t="s">
        <v>738</v>
      </c>
      <c r="D219" s="1">
        <v>45981</v>
      </c>
      <c r="E219" t="s">
        <v>736</v>
      </c>
      <c r="I219" t="s">
        <v>23</v>
      </c>
      <c r="J219" t="s">
        <v>402</v>
      </c>
      <c r="M219" t="s">
        <v>737</v>
      </c>
      <c r="N219" t="e" vm="45">
        <v>#VALUE!</v>
      </c>
      <c r="Q219" t="s">
        <v>776</v>
      </c>
      <c r="R219" s="1">
        <v>45985</v>
      </c>
      <c r="T219">
        <v>1</v>
      </c>
      <c r="U219">
        <v>1</v>
      </c>
      <c r="V219">
        <v>0</v>
      </c>
    </row>
    <row r="220" spans="1:22" x14ac:dyDescent="0.4">
      <c r="A220" t="s">
        <v>537</v>
      </c>
      <c r="D220" s="1">
        <v>45986</v>
      </c>
      <c r="E220" t="s">
        <v>40</v>
      </c>
      <c r="I220" t="s">
        <v>23</v>
      </c>
      <c r="J220" t="s">
        <v>402</v>
      </c>
      <c r="M220" t="s">
        <v>538</v>
      </c>
      <c r="N220" t="e" vm="23">
        <v>#VALUE!</v>
      </c>
      <c r="O220" t="s">
        <v>11</v>
      </c>
      <c r="Q220" t="s">
        <v>776</v>
      </c>
      <c r="R220" s="1">
        <v>46022</v>
      </c>
      <c r="T220">
        <v>1</v>
      </c>
      <c r="U220">
        <v>1</v>
      </c>
      <c r="V220">
        <v>1</v>
      </c>
    </row>
    <row r="221" spans="1:22" x14ac:dyDescent="0.4">
      <c r="A221" t="s">
        <v>717</v>
      </c>
      <c r="D221" s="1">
        <v>45986</v>
      </c>
      <c r="E221" t="s">
        <v>15</v>
      </c>
      <c r="I221" t="s">
        <v>23</v>
      </c>
      <c r="J221" t="s">
        <v>402</v>
      </c>
      <c r="M221" t="s">
        <v>716</v>
      </c>
      <c r="N221" t="e" vm="60">
        <v>#VALUE!</v>
      </c>
      <c r="O221" t="s">
        <v>11</v>
      </c>
      <c r="Q221" t="s">
        <v>776</v>
      </c>
      <c r="R221" s="1">
        <v>45992</v>
      </c>
      <c r="T221">
        <v>1</v>
      </c>
      <c r="U221">
        <v>0</v>
      </c>
      <c r="V221">
        <v>0</v>
      </c>
    </row>
    <row r="222" spans="1:22" x14ac:dyDescent="0.4">
      <c r="A222" t="s">
        <v>544</v>
      </c>
      <c r="D222" s="1">
        <v>45986</v>
      </c>
      <c r="E222" t="s">
        <v>543</v>
      </c>
      <c r="I222" t="s">
        <v>23</v>
      </c>
      <c r="J222" t="s">
        <v>402</v>
      </c>
      <c r="M222" t="s">
        <v>542</v>
      </c>
      <c r="N222" t="e" vm="8">
        <v>#VALUE!</v>
      </c>
      <c r="O222" t="s">
        <v>11</v>
      </c>
      <c r="Q222" t="s">
        <v>776</v>
      </c>
      <c r="R222" s="1">
        <v>45992</v>
      </c>
      <c r="T222">
        <v>1</v>
      </c>
      <c r="U222">
        <v>0</v>
      </c>
      <c r="V222">
        <v>0</v>
      </c>
    </row>
    <row r="223" spans="1:22" x14ac:dyDescent="0.4">
      <c r="A223" t="s">
        <v>521</v>
      </c>
      <c r="D223" s="1">
        <v>45986</v>
      </c>
      <c r="E223" t="s">
        <v>40</v>
      </c>
      <c r="I223" t="s">
        <v>23</v>
      </c>
      <c r="J223" t="s">
        <v>402</v>
      </c>
      <c r="M223" t="s">
        <v>520</v>
      </c>
      <c r="N223" t="e" vm="26">
        <v>#VALUE!</v>
      </c>
      <c r="O223" t="s">
        <v>26</v>
      </c>
      <c r="Q223" t="s">
        <v>776</v>
      </c>
      <c r="R223" s="1">
        <v>45991</v>
      </c>
      <c r="T223">
        <v>1</v>
      </c>
      <c r="U223">
        <v>1</v>
      </c>
      <c r="V223">
        <v>0</v>
      </c>
    </row>
    <row r="224" spans="1:22" x14ac:dyDescent="0.4">
      <c r="A224" s="4" t="s">
        <v>710</v>
      </c>
      <c r="C224" t="s">
        <v>711</v>
      </c>
      <c r="D224" s="1">
        <v>45986</v>
      </c>
      <c r="E224" t="s">
        <v>15</v>
      </c>
      <c r="I224" t="s">
        <v>23</v>
      </c>
      <c r="J224" t="s">
        <v>402</v>
      </c>
      <c r="M224" t="s">
        <v>709</v>
      </c>
      <c r="N224" t="e" vm="60">
        <v>#VALUE!</v>
      </c>
      <c r="O224" t="s">
        <v>11</v>
      </c>
      <c r="Q224" t="s">
        <v>776</v>
      </c>
      <c r="R224" s="1">
        <v>46006</v>
      </c>
      <c r="T224">
        <v>1</v>
      </c>
      <c r="U224">
        <v>0</v>
      </c>
      <c r="V224">
        <v>0</v>
      </c>
    </row>
    <row r="225" spans="1:22" x14ac:dyDescent="0.4">
      <c r="A225" t="s">
        <v>355</v>
      </c>
      <c r="D225" s="1">
        <v>45986</v>
      </c>
      <c r="E225" t="s">
        <v>357</v>
      </c>
      <c r="I225" t="s">
        <v>23</v>
      </c>
      <c r="J225" t="s">
        <v>402</v>
      </c>
      <c r="M225" t="s">
        <v>354</v>
      </c>
      <c r="N225" t="e" vm="20">
        <v>#VALUE!</v>
      </c>
      <c r="O225" t="s">
        <v>11</v>
      </c>
      <c r="Q225" t="s">
        <v>776</v>
      </c>
      <c r="R225" s="1">
        <v>46006</v>
      </c>
      <c r="T225">
        <v>1</v>
      </c>
      <c r="U225">
        <v>1</v>
      </c>
      <c r="V225">
        <v>1</v>
      </c>
    </row>
    <row r="226" spans="1:22" x14ac:dyDescent="0.4">
      <c r="A226" t="s">
        <v>744</v>
      </c>
      <c r="C226" t="s">
        <v>746</v>
      </c>
      <c r="D226" s="1">
        <v>45986</v>
      </c>
      <c r="E226" t="s">
        <v>743</v>
      </c>
      <c r="I226" t="s">
        <v>23</v>
      </c>
      <c r="J226" t="s">
        <v>402</v>
      </c>
      <c r="M226" t="s">
        <v>742</v>
      </c>
      <c r="N226" t="e" vm="29">
        <v>#VALUE!</v>
      </c>
      <c r="O226" t="s">
        <v>26</v>
      </c>
      <c r="Q226" t="s">
        <v>776</v>
      </c>
      <c r="R226" s="1">
        <v>45992</v>
      </c>
      <c r="T226">
        <v>1</v>
      </c>
      <c r="U226">
        <v>0</v>
      </c>
      <c r="V226">
        <v>0</v>
      </c>
    </row>
    <row r="227" spans="1:22" x14ac:dyDescent="0.4">
      <c r="A227" t="s">
        <v>751</v>
      </c>
      <c r="D227" s="1">
        <v>45986</v>
      </c>
      <c r="E227" t="s">
        <v>15</v>
      </c>
      <c r="I227" t="s">
        <v>23</v>
      </c>
      <c r="J227" t="s">
        <v>402</v>
      </c>
      <c r="M227" t="s">
        <v>750</v>
      </c>
      <c r="N227" t="e" vm="47">
        <v>#VALUE!</v>
      </c>
      <c r="Q227" t="s">
        <v>776</v>
      </c>
      <c r="R227" s="1">
        <v>46082</v>
      </c>
      <c r="T227">
        <v>1</v>
      </c>
      <c r="U227">
        <v>0</v>
      </c>
      <c r="V227">
        <v>1</v>
      </c>
    </row>
    <row r="228" spans="1:22" x14ac:dyDescent="0.4">
      <c r="A228" t="s">
        <v>752</v>
      </c>
      <c r="D228" s="1">
        <v>45986</v>
      </c>
      <c r="E228" t="s">
        <v>15</v>
      </c>
      <c r="I228" t="s">
        <v>23</v>
      </c>
      <c r="J228" t="s">
        <v>402</v>
      </c>
      <c r="M228" t="s">
        <v>753</v>
      </c>
      <c r="N228" t="e" vm="70">
        <v>#VALUE!</v>
      </c>
      <c r="O228" t="s">
        <v>11</v>
      </c>
      <c r="Q228" t="s">
        <v>776</v>
      </c>
      <c r="R228" s="1">
        <v>46053</v>
      </c>
      <c r="T228">
        <v>1</v>
      </c>
      <c r="U228">
        <v>0</v>
      </c>
      <c r="V228">
        <v>0</v>
      </c>
    </row>
    <row r="229" spans="1:22" x14ac:dyDescent="0.4">
      <c r="A229" s="4" t="s">
        <v>755</v>
      </c>
      <c r="C229" t="s">
        <v>764</v>
      </c>
      <c r="D229" s="1">
        <v>45986</v>
      </c>
      <c r="E229" t="s">
        <v>15</v>
      </c>
      <c r="G229">
        <v>2</v>
      </c>
      <c r="I229" t="s">
        <v>23</v>
      </c>
      <c r="J229" t="s">
        <v>402</v>
      </c>
      <c r="K229" t="s">
        <v>244</v>
      </c>
      <c r="L229" s="1">
        <v>45992</v>
      </c>
      <c r="M229" t="s">
        <v>754</v>
      </c>
      <c r="N229" t="e" vm="45">
        <v>#VALUE!</v>
      </c>
      <c r="O229" t="s">
        <v>26</v>
      </c>
      <c r="Q229" t="s">
        <v>776</v>
      </c>
      <c r="R229" s="1">
        <v>46053</v>
      </c>
      <c r="T229">
        <v>1</v>
      </c>
      <c r="U229">
        <v>0</v>
      </c>
      <c r="V229">
        <v>0</v>
      </c>
    </row>
    <row r="230" spans="1:22" x14ac:dyDescent="0.4">
      <c r="A230" t="s">
        <v>756</v>
      </c>
      <c r="D230" s="1">
        <v>45986</v>
      </c>
      <c r="E230" t="s">
        <v>15</v>
      </c>
      <c r="I230" t="s">
        <v>23</v>
      </c>
      <c r="J230" t="s">
        <v>402</v>
      </c>
      <c r="M230" t="s">
        <v>757</v>
      </c>
      <c r="N230" t="e" vm="68">
        <v>#VALUE!</v>
      </c>
      <c r="O230" t="s">
        <v>26</v>
      </c>
      <c r="Q230" t="s">
        <v>776</v>
      </c>
      <c r="R230" s="1">
        <v>45991</v>
      </c>
      <c r="T230">
        <v>1</v>
      </c>
      <c r="U230">
        <v>0</v>
      </c>
      <c r="V230">
        <v>0</v>
      </c>
    </row>
    <row r="231" spans="1:22" x14ac:dyDescent="0.4">
      <c r="A231" s="4" t="s">
        <v>758</v>
      </c>
      <c r="D231" s="1">
        <v>45986</v>
      </c>
      <c r="E231" t="s">
        <v>15</v>
      </c>
      <c r="I231" t="s">
        <v>23</v>
      </c>
      <c r="J231" t="s">
        <v>402</v>
      </c>
      <c r="K231" t="s">
        <v>244</v>
      </c>
      <c r="L231" s="1">
        <v>45992</v>
      </c>
      <c r="M231" t="s">
        <v>759</v>
      </c>
      <c r="N231" t="e" vm="25">
        <v>#VALUE!</v>
      </c>
      <c r="O231" t="s">
        <v>11</v>
      </c>
      <c r="Q231" t="s">
        <v>776</v>
      </c>
      <c r="R231" s="1">
        <v>46003</v>
      </c>
      <c r="T231">
        <v>1</v>
      </c>
      <c r="U231">
        <v>1</v>
      </c>
      <c r="V231">
        <v>1</v>
      </c>
    </row>
    <row r="232" spans="1:22" x14ac:dyDescent="0.4">
      <c r="A232" s="4" t="s">
        <v>760</v>
      </c>
      <c r="D232" s="1">
        <v>45986</v>
      </c>
      <c r="E232" t="s">
        <v>15</v>
      </c>
      <c r="I232" t="s">
        <v>23</v>
      </c>
      <c r="J232" t="s">
        <v>402</v>
      </c>
      <c r="M232" t="s">
        <v>761</v>
      </c>
      <c r="N232" t="e" vm="76">
        <v>#VALUE!</v>
      </c>
      <c r="O232" t="s">
        <v>26</v>
      </c>
      <c r="Q232" t="s">
        <v>776</v>
      </c>
      <c r="R232" s="1">
        <v>45991</v>
      </c>
      <c r="T232">
        <v>1</v>
      </c>
      <c r="U232">
        <v>0</v>
      </c>
      <c r="V232">
        <v>0</v>
      </c>
    </row>
    <row r="233" spans="1:22" x14ac:dyDescent="0.4">
      <c r="A233" s="4" t="s">
        <v>763</v>
      </c>
      <c r="D233" s="1">
        <v>45986</v>
      </c>
      <c r="E233" t="s">
        <v>15</v>
      </c>
      <c r="I233" t="s">
        <v>23</v>
      </c>
      <c r="J233" t="s">
        <v>402</v>
      </c>
      <c r="M233" t="s">
        <v>762</v>
      </c>
      <c r="N233" t="e" vm="98">
        <v>#VALUE!</v>
      </c>
      <c r="O233" t="s">
        <v>26</v>
      </c>
      <c r="Q233" t="s">
        <v>776</v>
      </c>
      <c r="R233" s="1">
        <v>45993</v>
      </c>
      <c r="T233">
        <v>1</v>
      </c>
      <c r="U233">
        <v>0</v>
      </c>
      <c r="V233">
        <v>0</v>
      </c>
    </row>
    <row r="234" spans="1:22" x14ac:dyDescent="0.4">
      <c r="A234" s="4" t="s">
        <v>765</v>
      </c>
      <c r="D234" s="1">
        <v>45986</v>
      </c>
      <c r="E234" t="s">
        <v>15</v>
      </c>
      <c r="G234">
        <v>1</v>
      </c>
      <c r="I234" t="s">
        <v>23</v>
      </c>
      <c r="J234" t="s">
        <v>402</v>
      </c>
      <c r="K234" t="s">
        <v>244</v>
      </c>
      <c r="L234" s="1">
        <v>45992</v>
      </c>
      <c r="M234" t="s">
        <v>766</v>
      </c>
      <c r="N234" t="e" vm="94">
        <v>#VALUE!</v>
      </c>
      <c r="O234" t="s">
        <v>11</v>
      </c>
      <c r="Q234" t="s">
        <v>776</v>
      </c>
      <c r="R234" s="1">
        <v>45992</v>
      </c>
      <c r="T234">
        <v>1</v>
      </c>
      <c r="U234">
        <v>0</v>
      </c>
      <c r="V234">
        <v>0</v>
      </c>
    </row>
    <row r="235" spans="1:22" x14ac:dyDescent="0.4">
      <c r="A235" s="4" t="s">
        <v>767</v>
      </c>
      <c r="C235" t="s">
        <v>769</v>
      </c>
      <c r="D235" s="1">
        <v>45986</v>
      </c>
      <c r="E235" t="s">
        <v>15</v>
      </c>
      <c r="G235">
        <v>3</v>
      </c>
      <c r="H235" t="s">
        <v>768</v>
      </c>
      <c r="I235" t="s">
        <v>23</v>
      </c>
      <c r="J235" t="s">
        <v>402</v>
      </c>
      <c r="K235" t="s">
        <v>244</v>
      </c>
      <c r="L235" s="1">
        <v>45992</v>
      </c>
      <c r="M235" t="s">
        <v>291</v>
      </c>
      <c r="N235" t="e" vm="25">
        <v>#VALUE!</v>
      </c>
      <c r="O235" t="s">
        <v>26</v>
      </c>
      <c r="Q235" t="s">
        <v>776</v>
      </c>
      <c r="R235" s="1">
        <v>45992</v>
      </c>
      <c r="T235">
        <v>1</v>
      </c>
      <c r="U235">
        <v>0</v>
      </c>
      <c r="V235">
        <v>0</v>
      </c>
    </row>
    <row r="236" spans="1:22" x14ac:dyDescent="0.4">
      <c r="A236" s="4" t="s">
        <v>771</v>
      </c>
      <c r="C236" t="s">
        <v>773</v>
      </c>
      <c r="D236" s="1">
        <v>45986</v>
      </c>
      <c r="E236" t="s">
        <v>15</v>
      </c>
      <c r="I236" t="s">
        <v>23</v>
      </c>
      <c r="J236" t="s">
        <v>402</v>
      </c>
      <c r="K236" t="s">
        <v>244</v>
      </c>
      <c r="L236" s="1">
        <v>45992</v>
      </c>
      <c r="M236" t="s">
        <v>772</v>
      </c>
      <c r="N236" t="e" vm="68">
        <v>#VALUE!</v>
      </c>
      <c r="O236" t="s">
        <v>11</v>
      </c>
      <c r="Q236" t="s">
        <v>776</v>
      </c>
      <c r="R236" s="1">
        <v>45989</v>
      </c>
      <c r="T236">
        <v>1</v>
      </c>
      <c r="U236">
        <v>0</v>
      </c>
      <c r="V236">
        <v>0</v>
      </c>
    </row>
    <row r="237" spans="1:22" x14ac:dyDescent="0.4">
      <c r="A237" t="s">
        <v>414</v>
      </c>
      <c r="D237" s="1">
        <v>45992</v>
      </c>
      <c r="E237" t="s">
        <v>40</v>
      </c>
      <c r="I237" t="s">
        <v>23</v>
      </c>
      <c r="J237" t="s">
        <v>402</v>
      </c>
      <c r="M237" t="s">
        <v>415</v>
      </c>
      <c r="N237" t="e" vm="99">
        <v>#VALUE!</v>
      </c>
      <c r="O237" t="s">
        <v>26</v>
      </c>
      <c r="Q237" t="s">
        <v>776</v>
      </c>
      <c r="R237" s="1">
        <v>45688</v>
      </c>
      <c r="T237">
        <v>1</v>
      </c>
      <c r="U237">
        <v>1</v>
      </c>
      <c r="V237">
        <v>0</v>
      </c>
    </row>
    <row r="238" spans="1:22" x14ac:dyDescent="0.4">
      <c r="A238" t="s">
        <v>655</v>
      </c>
      <c r="D238" s="1">
        <v>45992</v>
      </c>
      <c r="E238" t="s">
        <v>15</v>
      </c>
      <c r="I238" t="s">
        <v>23</v>
      </c>
      <c r="J238" t="s">
        <v>402</v>
      </c>
      <c r="M238" t="s">
        <v>654</v>
      </c>
      <c r="N238" t="e" vm="100">
        <v>#VALUE!</v>
      </c>
      <c r="O238" t="s">
        <v>11</v>
      </c>
      <c r="Q238" t="s">
        <v>776</v>
      </c>
      <c r="R238" s="1">
        <v>46006</v>
      </c>
      <c r="T238">
        <v>1</v>
      </c>
      <c r="U238">
        <v>0</v>
      </c>
      <c r="V238">
        <v>0</v>
      </c>
    </row>
    <row r="239" spans="1:22" x14ac:dyDescent="0.4">
      <c r="A239" t="s">
        <v>613</v>
      </c>
      <c r="D239" s="1">
        <v>45992</v>
      </c>
      <c r="E239" t="s">
        <v>15</v>
      </c>
      <c r="I239" t="s">
        <v>23</v>
      </c>
      <c r="J239" t="s">
        <v>402</v>
      </c>
      <c r="M239" t="s">
        <v>612</v>
      </c>
      <c r="N239" t="e" vm="100">
        <v>#VALUE!</v>
      </c>
      <c r="O239" t="s">
        <v>11</v>
      </c>
      <c r="Q239" t="s">
        <v>776</v>
      </c>
      <c r="R239" s="1">
        <v>46006</v>
      </c>
      <c r="T239">
        <v>1</v>
      </c>
      <c r="U239">
        <v>1</v>
      </c>
      <c r="V239">
        <v>1</v>
      </c>
    </row>
    <row r="240" spans="1:22" x14ac:dyDescent="0.4">
      <c r="A240" s="4" t="s">
        <v>714</v>
      </c>
      <c r="D240" s="1">
        <v>45992</v>
      </c>
      <c r="E240" t="s">
        <v>15</v>
      </c>
      <c r="F240" t="s">
        <v>713</v>
      </c>
      <c r="H240" s="2" t="s">
        <v>715</v>
      </c>
      <c r="I240" t="s">
        <v>23</v>
      </c>
      <c r="J240" t="s">
        <v>402</v>
      </c>
      <c r="M240" t="s">
        <v>712</v>
      </c>
      <c r="N240" t="e" vm="101">
        <v>#VALUE!</v>
      </c>
      <c r="O240" t="s">
        <v>11</v>
      </c>
      <c r="Q240" t="s">
        <v>776</v>
      </c>
      <c r="R240" s="1">
        <v>46040</v>
      </c>
      <c r="T240">
        <v>1</v>
      </c>
      <c r="U240">
        <v>0</v>
      </c>
      <c r="V240">
        <v>0</v>
      </c>
    </row>
    <row r="241" spans="1:22" x14ac:dyDescent="0.4">
      <c r="A241" t="s">
        <v>568</v>
      </c>
      <c r="D241" s="1">
        <v>45992</v>
      </c>
      <c r="E241" t="s">
        <v>569</v>
      </c>
      <c r="I241" t="s">
        <v>23</v>
      </c>
      <c r="J241" t="s">
        <v>402</v>
      </c>
      <c r="M241" t="s">
        <v>570</v>
      </c>
      <c r="N241" t="e" vm="1">
        <v>#VALUE!</v>
      </c>
      <c r="Q241" t="s">
        <v>776</v>
      </c>
      <c r="R241" s="1">
        <v>46053</v>
      </c>
      <c r="T241">
        <v>0</v>
      </c>
      <c r="U241">
        <v>0</v>
      </c>
      <c r="V241">
        <v>0</v>
      </c>
    </row>
    <row r="242" spans="1:22" x14ac:dyDescent="0.4">
      <c r="A242" t="s">
        <v>662</v>
      </c>
      <c r="D242" s="1">
        <v>46011</v>
      </c>
      <c r="E242" t="s">
        <v>15</v>
      </c>
      <c r="H242" t="s">
        <v>664</v>
      </c>
      <c r="I242" t="s">
        <v>23</v>
      </c>
      <c r="J242" t="s">
        <v>402</v>
      </c>
      <c r="M242" t="s">
        <v>663</v>
      </c>
      <c r="N242" t="e" vm="45">
        <v>#VALUE!</v>
      </c>
      <c r="O242" t="s">
        <v>26</v>
      </c>
      <c r="Q242" t="s">
        <v>776</v>
      </c>
      <c r="R242" s="1">
        <v>46037</v>
      </c>
      <c r="T242">
        <v>1</v>
      </c>
      <c r="U242">
        <v>0</v>
      </c>
      <c r="V242">
        <v>0</v>
      </c>
    </row>
    <row r="243" spans="1:22" x14ac:dyDescent="0.4">
      <c r="A243" t="s">
        <v>722</v>
      </c>
      <c r="C243" t="s">
        <v>723</v>
      </c>
      <c r="D243" s="1">
        <v>46016</v>
      </c>
      <c r="E243" t="s">
        <v>15</v>
      </c>
      <c r="F243" t="s">
        <v>721</v>
      </c>
      <c r="I243" t="s">
        <v>23</v>
      </c>
      <c r="J243" t="s">
        <v>402</v>
      </c>
      <c r="M243" t="s">
        <v>720</v>
      </c>
      <c r="N243" t="e" vm="68">
        <v>#VALUE!</v>
      </c>
      <c r="O243" t="s">
        <v>26</v>
      </c>
      <c r="Q243" t="s">
        <v>776</v>
      </c>
      <c r="R243" s="1">
        <v>45992</v>
      </c>
      <c r="T243">
        <v>1</v>
      </c>
      <c r="U243">
        <v>0</v>
      </c>
      <c r="V243">
        <v>0</v>
      </c>
    </row>
    <row r="244" spans="1:22" x14ac:dyDescent="0.4">
      <c r="A244" t="s">
        <v>719</v>
      </c>
      <c r="D244" s="1">
        <v>46016</v>
      </c>
      <c r="E244" t="s">
        <v>15</v>
      </c>
      <c r="I244" t="s">
        <v>23</v>
      </c>
      <c r="J244" t="s">
        <v>402</v>
      </c>
      <c r="M244" t="s">
        <v>718</v>
      </c>
      <c r="N244" t="e" vm="45">
        <v>#VALUE!</v>
      </c>
      <c r="O244" t="s">
        <v>11</v>
      </c>
      <c r="Q244" t="s">
        <v>776</v>
      </c>
      <c r="R244" s="1">
        <v>45996</v>
      </c>
      <c r="T244">
        <v>1</v>
      </c>
      <c r="U244">
        <v>0</v>
      </c>
      <c r="V244">
        <v>0</v>
      </c>
    </row>
    <row r="245" spans="1:22" x14ac:dyDescent="0.4">
      <c r="A245" t="s">
        <v>528</v>
      </c>
      <c r="C245" t="s">
        <v>178</v>
      </c>
      <c r="D245" s="1">
        <v>46023</v>
      </c>
      <c r="E245" t="s">
        <v>529</v>
      </c>
      <c r="I245" t="s">
        <v>23</v>
      </c>
      <c r="J245" t="s">
        <v>402</v>
      </c>
      <c r="M245" t="s">
        <v>530</v>
      </c>
      <c r="N245" t="e" vm="102">
        <v>#VALUE!</v>
      </c>
      <c r="O245" t="s">
        <v>19</v>
      </c>
      <c r="Q245" t="s">
        <v>776</v>
      </c>
      <c r="R245" s="1">
        <v>46041</v>
      </c>
      <c r="T245">
        <v>1</v>
      </c>
      <c r="U245">
        <v>0</v>
      </c>
      <c r="V245">
        <v>1</v>
      </c>
    </row>
    <row r="246" spans="1:22" x14ac:dyDescent="0.4">
      <c r="A246" t="s">
        <v>564</v>
      </c>
      <c r="D246" s="1">
        <v>46023</v>
      </c>
      <c r="E246" t="s">
        <v>565</v>
      </c>
      <c r="I246" t="s">
        <v>96</v>
      </c>
      <c r="J246" t="s">
        <v>402</v>
      </c>
      <c r="M246" t="s">
        <v>566</v>
      </c>
      <c r="N246" t="e" vm="103">
        <v>#VALUE!</v>
      </c>
      <c r="O246" t="s">
        <v>26</v>
      </c>
      <c r="Q246" t="s">
        <v>776</v>
      </c>
      <c r="R246" s="1">
        <v>45664</v>
      </c>
      <c r="T246">
        <v>1</v>
      </c>
      <c r="U246">
        <v>0</v>
      </c>
      <c r="V246">
        <v>0</v>
      </c>
    </row>
    <row r="247" spans="1:22" x14ac:dyDescent="0.4">
      <c r="A247" t="s">
        <v>255</v>
      </c>
      <c r="E247" t="s">
        <v>15</v>
      </c>
      <c r="F247" s="2" t="s">
        <v>257</v>
      </c>
      <c r="I247" t="s">
        <v>96</v>
      </c>
      <c r="J247" t="s">
        <v>402</v>
      </c>
      <c r="M247" t="s">
        <v>256</v>
      </c>
      <c r="N247" t="e" vm="35">
        <v>#VALUE!</v>
      </c>
      <c r="O247" t="s">
        <v>11</v>
      </c>
      <c r="Q247" t="s">
        <v>776</v>
      </c>
      <c r="T247">
        <v>0</v>
      </c>
      <c r="U247">
        <v>0</v>
      </c>
      <c r="V247">
        <v>0</v>
      </c>
    </row>
  </sheetData>
  <autoFilter ref="A1:V19" xr:uid="{F7772053-9363-CA4A-A53F-040B7C700753}">
    <sortState xmlns:xlrd2="http://schemas.microsoft.com/office/spreadsheetml/2017/richdata2" ref="A2:V247">
      <sortCondition ref="D1:D19"/>
    </sortState>
  </autoFilter>
  <conditionalFormatting sqref="A1:B208 A210:B1048576">
    <cfRule type="duplicateValues" dxfId="167" priority="14"/>
  </conditionalFormatting>
  <conditionalFormatting sqref="A2:B22">
    <cfRule type="duplicateValues" dxfId="166" priority="15"/>
  </conditionalFormatting>
  <conditionalFormatting sqref="A61:B61">
    <cfRule type="duplicateValues" dxfId="165" priority="13"/>
  </conditionalFormatting>
  <conditionalFormatting sqref="I1:I1048576">
    <cfRule type="containsText" dxfId="164" priority="6" operator="containsText" text="closed">
      <formula>NOT(ISERROR(SEARCH("closed",I1)))</formula>
    </cfRule>
    <cfRule type="containsText" dxfId="163" priority="7" operator="containsText" text="abandoned">
      <formula>NOT(ISERROR(SEARCH("abandoned",I1)))</formula>
    </cfRule>
    <cfRule type="containsText" dxfId="162" priority="9" operator="containsText" text="late app">
      <formula>NOT(ISERROR(SEARCH("late app",I1)))</formula>
    </cfRule>
  </conditionalFormatting>
  <conditionalFormatting sqref="I2:L223 O78:O80 O83:O89 O92:O112 O115:O124 O126:O181 R136 R153 R159 R166 R173 R178 O183:O205 O208:O211 O213:O218 O220:O233 I224:K224 R225 I225:L1048576 O235:O237 O239:O247 I1:J1">
    <cfRule type="containsText" dxfId="161" priority="12" operator="containsText" text="completed">
      <formula>NOT(ISERROR(SEARCH("completed",I1)))</formula>
    </cfRule>
  </conditionalFormatting>
  <conditionalFormatting sqref="J1:J1048576">
    <cfRule type="containsText" dxfId="160" priority="1" operator="containsText" text="no news">
      <formula>NOT(ISERROR(SEARCH("no news",J1)))</formula>
    </cfRule>
    <cfRule type="containsText" dxfId="159" priority="2" operator="containsText" text="offer">
      <formula>NOT(ISERROR(SEARCH("offer",J1)))</formula>
    </cfRule>
    <cfRule type="containsText" dxfId="158" priority="3" operator="containsText" text="fly out">
      <formula>NOT(ISERROR(SEARCH("fly out",J1)))</formula>
    </cfRule>
    <cfRule type="containsText" dxfId="157" priority="4" operator="containsText" text="interview">
      <formula>NOT(ISERROR(SEARCH("interview",J1)))</formula>
    </cfRule>
    <cfRule type="containsText" dxfId="156" priority="5" operator="containsText" text="rejected">
      <formula>NOT(ISERROR(SEARCH("rejected",J1)))</formula>
    </cfRule>
  </conditionalFormatting>
  <conditionalFormatting sqref="K1:L223 O78:O80 O83:O89 O92:O112 O115:O124 O126:O181 R136 R153 R159 R166 R173 R178 O183:O205 O208:O211 O213:O218 O220:O233 K224 R225 K225:L1048576 O235:O237 O239:O247">
    <cfRule type="containsText" dxfId="155" priority="10" operator="containsText" text="NO">
      <formula>NOT(ISERROR(SEARCH("NO",K1)))</formula>
    </cfRule>
    <cfRule type="containsText" dxfId="154" priority="11" operator="containsText" text="YES">
      <formula>NOT(ISERROR(SEARCH("YES",K1)))</formula>
    </cfRule>
  </conditionalFormatting>
  <hyperlinks>
    <hyperlink ref="M3" r:id="rId1" xr:uid="{2FD67E99-97D4-6F4F-9C23-F094A4E233EB}"/>
    <hyperlink ref="M4" r:id="rId2" xr:uid="{C466BD2C-2D71-FD47-B267-C9470B42EAAE}"/>
    <hyperlink ref="M100" r:id="rId3" xr:uid="{7E4575FB-8BA7-8343-9270-E933C2CF052A}"/>
    <hyperlink ref="M129" r:id="rId4" xr:uid="{7DE2DCC0-6910-AF4A-ADA1-2F0A7CE7A46A}"/>
    <hyperlink ref="M75" r:id="rId5" xr:uid="{9F5721B0-AA94-954A-B077-53D294EE0006}"/>
    <hyperlink ref="F75" r:id="rId6" xr:uid="{E9AC54D1-D414-9A4A-8F10-99810DECDF26}"/>
    <hyperlink ref="M150" r:id="rId7" xr:uid="{3DA7C680-99C0-9744-A5E3-8B70509CE1C7}"/>
    <hyperlink ref="M8" r:id="rId8" xr:uid="{F2E0FCCF-BB13-0240-931E-487798981CC9}"/>
    <hyperlink ref="M127" r:id="rId9" xr:uid="{DF00AD54-0273-B54C-B9CE-46119BBDF932}"/>
    <hyperlink ref="M6" r:id="rId10" display="American Uiversity" xr:uid="{4368F24E-5E4F-B944-AB45-4045D2296D5A}"/>
    <hyperlink ref="M5" r:id="rId11" display="American Uiversity" xr:uid="{0B28A4E3-9367-5B4E-821E-8878EF62879B}"/>
    <hyperlink ref="S8" r:id="rId12" xr:uid="{F8BB08B3-A5E4-0244-9B87-74DC5560EA9C}"/>
    <hyperlink ref="M52" r:id="rId13" xr:uid="{1A802253-386D-0248-869E-8A0EA127D432}"/>
    <hyperlink ref="M51" r:id="rId14" xr:uid="{D10E5030-47DD-F84B-A85A-CB7F9EEF20B4}"/>
    <hyperlink ref="M10" r:id="rId15" xr:uid="{AF10C3AC-DC3E-8F4B-A325-8137F8872365}"/>
    <hyperlink ref="M9" r:id="rId16" xr:uid="{DAADFE53-28FB-BF47-B382-1AE9637B0AC9}"/>
    <hyperlink ref="M50" r:id="rId17" xr:uid="{055B8A95-C64C-8344-8D9A-88ADC3E4C5A7}"/>
    <hyperlink ref="M101" r:id="rId18" xr:uid="{557D8143-61B7-124A-9EC7-930988E1B3DE}"/>
    <hyperlink ref="M35" r:id="rId19" xr:uid="{0B9459D2-C194-B546-B890-EDF488B5E508}"/>
    <hyperlink ref="M7" r:id="rId20" xr:uid="{3E8CCC0C-C03D-0642-8D93-6D5E4E29B155}"/>
    <hyperlink ref="M125" r:id="rId21" xr:uid="{360892F0-CC7D-924A-95AF-9E897ECEE570}"/>
    <hyperlink ref="M13" r:id="rId22" xr:uid="{0D66B73F-990C-044A-BA9A-C5887E710F92}"/>
    <hyperlink ref="M103" r:id="rId23" xr:uid="{79C92412-1EFA-834C-AE35-D77CA8C36A12}"/>
    <hyperlink ref="M105" r:id="rId24" xr:uid="{DAE0AF5F-F94A-294E-86E2-555898BF42FB}"/>
    <hyperlink ref="M92" r:id="rId25" xr:uid="{8E758C4D-96FF-B44B-AE0D-70D6A17B4A4D}"/>
    <hyperlink ref="M76" r:id="rId26" xr:uid="{B2DCF82F-FDBE-B54E-A0A8-BB5059FDE3DE}"/>
    <hyperlink ref="M15" r:id="rId27" xr:uid="{5CDD97D8-5C25-5D42-AA6C-3EFD455D0937}"/>
    <hyperlink ref="M14" r:id="rId28" xr:uid="{4C952912-61F2-7F48-A61F-8171FB512E69}"/>
    <hyperlink ref="S12" r:id="rId29" xr:uid="{97F45FF5-AD7B-2143-9F53-5C46956B35CE}"/>
    <hyperlink ref="F12" r:id="rId30" xr:uid="{3CBBC435-61F9-034D-A9A0-B71AD9A7CCE6}"/>
    <hyperlink ref="M55" r:id="rId31" xr:uid="{115DEFD3-6759-7C49-87C4-663720AFC0F3}"/>
    <hyperlink ref="M73" r:id="rId32" xr:uid="{B568129A-4C88-5D42-B367-90B46CA6E8A2}"/>
    <hyperlink ref="M165" r:id="rId33" xr:uid="{F3D886C1-081B-8F41-85EF-4C299E91BBDA}"/>
    <hyperlink ref="M38" r:id="rId34" xr:uid="{14B04134-DF47-DA43-BB43-BA8C1185A50E}"/>
    <hyperlink ref="M37" r:id="rId35" display="https://www.upf.edu/" xr:uid="{F90D7817-7AA8-1C4B-8992-6FF849FBECCA}"/>
    <hyperlink ref="H7" r:id="rId36" display="mailto:ferran.mane@urv.cat" xr:uid="{DFACBA33-6641-9A4D-B406-DC2FCC993612}"/>
    <hyperlink ref="M110" r:id="rId37" xr:uid="{EFED1D5F-B3C8-6445-899D-122DB5B26298}"/>
    <hyperlink ref="M111" r:id="rId38" xr:uid="{6E0CC17F-E103-7C43-850C-F0FC0B9A5278}"/>
    <hyperlink ref="M109" r:id="rId39" xr:uid="{58693CCE-AFC3-AF44-BB76-62CF466ED6EA}"/>
    <hyperlink ref="M36" r:id="rId40" xr:uid="{FC0BA615-15C1-F64A-BC32-60929732DD9E}"/>
    <hyperlink ref="M154" r:id="rId41" xr:uid="{14CF4841-2A37-9044-AE5B-371378C8D3B9}"/>
    <hyperlink ref="M155" r:id="rId42" xr:uid="{2E048D46-3518-2C4A-B061-479244E61709}"/>
    <hyperlink ref="M18" r:id="rId43" xr:uid="{BA26908B-8596-4249-946E-03161834E8E5}"/>
    <hyperlink ref="M56" r:id="rId44" xr:uid="{00B6A218-D9E8-3D4A-B0D7-CBDFA98EE6F3}"/>
    <hyperlink ref="E9" r:id="rId45" xr:uid="{8C412634-0F9A-E946-9A3F-CA7F4E73C3AB}"/>
    <hyperlink ref="M141" r:id="rId46" xr:uid="{1E1C35FB-7434-7842-A803-7D382F52F333}"/>
    <hyperlink ref="M28" r:id="rId47" xr:uid="{62B1AEBF-C899-0A4B-9923-A135752FBB1C}"/>
    <hyperlink ref="E6" r:id="rId48" xr:uid="{13514A0D-2C0E-5340-8AA2-077046FFB755}"/>
    <hyperlink ref="E51" r:id="rId49" xr:uid="{DE8E5F09-1A02-F148-8539-188D3ED5C9F4}"/>
    <hyperlink ref="E50" r:id="rId50" xr:uid="{84827B93-5057-1D4A-AD4E-C9D52677D58A}"/>
    <hyperlink ref="M173" r:id="rId51" location="/admin" xr:uid="{23CE2AD2-6E21-4241-978C-EFA7C5825B0A}"/>
    <hyperlink ref="H173"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M172" r:id="rId53" xr:uid="{7C2D96E2-AEFB-4140-A2EF-40B86E5741B1}"/>
    <hyperlink ref="M24" r:id="rId54" xr:uid="{35FAF041-CBFF-8A48-A4B3-B97381C00102}"/>
    <hyperlink ref="M94" r:id="rId55" xr:uid="{2D03A0F6-26F5-B24A-B91A-14D38A06B992}"/>
    <hyperlink ref="F94" r:id="rId56" display="https://academicjobsonline.org/ajo/jobs/30626" xr:uid="{46416258-D6E3-7B41-9A73-A9A4F4E6BB34}"/>
    <hyperlink ref="M153" r:id="rId57" xr:uid="{FEED16DA-CB82-0044-943C-358B6551EC5E}"/>
    <hyperlink ref="H153" r:id="rId58" display="mailto:a.gorbenko@ucl.co.uk" xr:uid="{5772A23E-5235-304E-A5C1-05CB3DAB9BFC}"/>
    <hyperlink ref="M23" r:id="rId59" xr:uid="{0F06344E-50D3-B54E-8250-7516D4B03802}"/>
    <hyperlink ref="F23" r:id="rId60" xr:uid="{B72DD765-9030-AC4B-9C6A-C3E6C6D825B0}"/>
    <hyperlink ref="M20" r:id="rId61" xr:uid="{521B9389-25EE-AC42-8631-0602B790BC9F}"/>
    <hyperlink ref="M19" r:id="rId62" xr:uid="{101CF9F0-3B9F-7741-9A08-0F724B9DFBAD}"/>
    <hyperlink ref="F19" r:id="rId63" xr:uid="{A1E87546-ABB3-B843-AEF8-C1E11BCA894E}"/>
    <hyperlink ref="M43" r:id="rId64" xr:uid="{CB47483F-A82F-854C-A1D3-484A5DDC11BF}"/>
    <hyperlink ref="M45" r:id="rId65" xr:uid="{7A6E251E-DB12-EA4C-BA94-B3B44FE73253}"/>
    <hyperlink ref="M41" r:id="rId66" xr:uid="{7C154F49-4A52-6A48-A99D-F3C3751ADC20}"/>
    <hyperlink ref="M69" r:id="rId67" xr:uid="{11631E55-FA21-864F-B682-18A03075BFEE}"/>
    <hyperlink ref="M61" r:id="rId68" xr:uid="{28BB29AB-D632-9C44-9739-DFD6875CA62C}"/>
    <hyperlink ref="F61" r:id="rId69" xr:uid="{70571E5D-37F6-864A-9EAB-DAEF5B46CD8B}"/>
    <hyperlink ref="M70" r:id="rId70" xr:uid="{DFCE3DEC-01C3-7D49-925B-BEFD13BC818A}"/>
    <hyperlink ref="F70" r:id="rId71" xr:uid="{DD5D337B-2CFC-8F41-A89C-2D8D571940BA}"/>
    <hyperlink ref="M62" r:id="rId72" xr:uid="{EA24C43B-23D8-4E4B-9DD8-AAD27BA385E7}"/>
    <hyperlink ref="M72" r:id="rId73" xr:uid="{8E7D4522-E2CE-7043-9079-1CE2F950B085}"/>
    <hyperlink ref="E13" r:id="rId74" xr:uid="{4517EA95-990E-DE45-A804-67126FDDD4C3}"/>
    <hyperlink ref="M27" r:id="rId75" xr:uid="{91C6A3A0-FE50-5B4F-8B20-8B6496F16211}"/>
    <hyperlink ref="M206" r:id="rId76" xr:uid="{5721E0FE-84BD-D943-BC9A-5350183D9688}"/>
    <hyperlink ref="M47" r:id="rId77" xr:uid="{FE7182CC-AEDE-E142-B842-B2FE5C063CCE}"/>
    <hyperlink ref="M21" r:id="rId78" xr:uid="{694E8A95-02AE-9249-91C7-1102518BA774}"/>
    <hyperlink ref="M17" r:id="rId79" xr:uid="{9A9A6BC9-B330-7842-A78C-4DCC88F5E19F}"/>
    <hyperlink ref="M32" r:id="rId80" xr:uid="{928CABEF-4FA6-E646-8140-7B6E43F8FB96}"/>
    <hyperlink ref="F177" r:id="rId81" xr:uid="{82BF1574-A6C6-1641-9FFE-615861E401FD}"/>
    <hyperlink ref="F247" r:id="rId82" xr:uid="{3562807E-7FDA-F046-BA03-5DDD43072DB7}"/>
    <hyperlink ref="H215" r:id="rId83" display="mailto:ivanpaya@ua.es" xr:uid="{DEFB77A5-E57F-714C-BAB9-56DE82BA0B2E}"/>
    <hyperlink ref="H138" r:id="rId84" display="mailto:ari.hyytinen@hanken.fi" xr:uid="{7777B12A-FD99-4A43-A14B-A15661B760DC}"/>
    <hyperlink ref="H115" r:id="rId85" display="mailto:peter.haan@fu-berlin.de" xr:uid="{3D1A69ED-8F06-1246-B586-201CB349DB62}"/>
    <hyperlink ref="E198" r:id="rId86" xr:uid="{C3771F9C-84FC-7A41-9911-ED3B01799C9C}"/>
    <hyperlink ref="E190" r:id="rId87" xr:uid="{A2B41E48-AA17-FE45-B67C-A5398A81BF2D}"/>
    <hyperlink ref="F190" r:id="rId88" xr:uid="{D2EC3FFA-793B-E54C-B216-5D503F8901AE}"/>
    <hyperlink ref="E57" r:id="rId89" xr:uid="{A30F6415-AE46-5540-B683-ED472CE378B6}"/>
    <hyperlink ref="F60" r:id="rId90" xr:uid="{F44B5BBE-5828-6740-B73D-EFF8E8646AE0}"/>
    <hyperlink ref="E22" r:id="rId91" xr:uid="{8166B827-50E4-644E-A453-5F1CFFE18AAB}"/>
    <hyperlink ref="F25" r:id="rId92" xr:uid="{CE88CF57-77B5-1E49-888D-C53C88BC7BE5}"/>
    <hyperlink ref="E208" r:id="rId93" xr:uid="{1038528D-03E5-437B-A0C6-EA3911052C09}"/>
    <hyperlink ref="H170" r:id="rId94" display="https://elliottash.com/" xr:uid="{00E7B1FA-3490-4C02-A813-67E9093D5D0E}"/>
    <hyperlink ref="F169" r:id="rId95" display="https://www.wu.ac.at/karriere/jobportal/jobs/auf-post-doc-level" xr:uid="{A778646A-D094-492C-BF18-75555D8C4DDB}"/>
    <hyperlink ref="F204" r:id="rId96" xr:uid="{628F4BC8-D030-40FF-BA42-034F08229A4F}"/>
    <hyperlink ref="H240" r:id="rId97" display="mailto:ondrej.krcal@econ.muni.cz" xr:uid="{EDDEB1E6-5767-4FFB-A0AE-57A909D04E81}"/>
    <hyperlink ref="M218" r:id="rId98" display="https://www.ovgu.de/unimagdeburg/en/" xr:uid="{BCB3935D-2B6D-4090-86F5-762D762ED0E3}"/>
    <hyperlink ref="E152" r:id="rId99" xr:uid="{550520C0-1E25-41CD-9AEE-9A3C4D7D328C}"/>
  </hyperlinks>
  <pageMargins left="0.7" right="0.7" top="0.75" bottom="0.75" header="0.3" footer="0.3"/>
  <pageSetup orientation="portrait" horizontalDpi="300" verticalDpi="300" r:id="rId1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220"/>
  <sheetViews>
    <sheetView topLeftCell="A210" zoomScale="208" workbookViewId="0">
      <selection activeCell="C215" sqref="C215"/>
    </sheetView>
  </sheetViews>
  <sheetFormatPr defaultColWidth="10.6640625" defaultRowHeight="16" x14ac:dyDescent="0.4"/>
  <cols>
    <col min="1" max="1" width="32.83203125" customWidth="1"/>
    <col min="2" max="2" width="14.1640625" customWidth="1"/>
    <col min="3" max="3" width="21" customWidth="1"/>
  </cols>
  <sheetData>
    <row r="1" spans="1:3" s="3" customFormat="1" ht="21" x14ac:dyDescent="0.5">
      <c r="A1" s="3" t="s">
        <v>4</v>
      </c>
      <c r="B1" s="3" t="s">
        <v>5</v>
      </c>
      <c r="C1" s="3" t="s">
        <v>6</v>
      </c>
    </row>
    <row r="2" spans="1:3" x14ac:dyDescent="0.4">
      <c r="A2" s="1">
        <v>45930</v>
      </c>
      <c r="C2" t="s">
        <v>69</v>
      </c>
    </row>
    <row r="3" spans="1:3" x14ac:dyDescent="0.4">
      <c r="A3" s="1">
        <v>45931</v>
      </c>
      <c r="C3" t="s">
        <v>76</v>
      </c>
    </row>
    <row r="4" spans="1:3" x14ac:dyDescent="0.4">
      <c r="A4" s="1">
        <v>45944</v>
      </c>
      <c r="B4" t="s">
        <v>7</v>
      </c>
      <c r="C4" t="s">
        <v>97</v>
      </c>
    </row>
    <row r="5" spans="1:3" x14ac:dyDescent="0.4">
      <c r="A5" s="1">
        <v>45944</v>
      </c>
      <c r="B5" t="s">
        <v>17</v>
      </c>
      <c r="C5" t="s">
        <v>97</v>
      </c>
    </row>
    <row r="6" spans="1:3" x14ac:dyDescent="0.4">
      <c r="A6" s="1">
        <v>45944</v>
      </c>
      <c r="C6" t="s">
        <v>121</v>
      </c>
    </row>
    <row r="7" spans="1:3" x14ac:dyDescent="0.4">
      <c r="A7" s="1">
        <v>45945</v>
      </c>
      <c r="C7" t="s">
        <v>175</v>
      </c>
    </row>
    <row r="8" spans="1:3" x14ac:dyDescent="0.4">
      <c r="A8" s="1">
        <v>45945</v>
      </c>
      <c r="B8" t="s">
        <v>77</v>
      </c>
      <c r="C8" t="s">
        <v>97</v>
      </c>
    </row>
    <row r="9" spans="1:3" x14ac:dyDescent="0.4">
      <c r="A9" s="1">
        <v>45946</v>
      </c>
      <c r="C9" t="s">
        <v>174</v>
      </c>
    </row>
    <row r="10" spans="1:3" x14ac:dyDescent="0.4">
      <c r="A10" s="1">
        <v>45946</v>
      </c>
      <c r="B10" t="s">
        <v>48</v>
      </c>
      <c r="C10" t="s">
        <v>97</v>
      </c>
    </row>
    <row r="11" spans="1:3" x14ac:dyDescent="0.4">
      <c r="A11" s="1">
        <v>45946</v>
      </c>
      <c r="B11" t="s">
        <v>54</v>
      </c>
      <c r="C11" t="s">
        <v>97</v>
      </c>
    </row>
    <row r="12" spans="1:3" x14ac:dyDescent="0.4">
      <c r="A12" s="1">
        <v>45946</v>
      </c>
      <c r="B12" t="s">
        <v>56</v>
      </c>
      <c r="C12" t="s">
        <v>97</v>
      </c>
    </row>
    <row r="13" spans="1:3" x14ac:dyDescent="0.4">
      <c r="A13" s="1">
        <v>45946</v>
      </c>
      <c r="B13" t="s">
        <v>142</v>
      </c>
      <c r="C13" t="s">
        <v>97</v>
      </c>
    </row>
    <row r="14" spans="1:3" x14ac:dyDescent="0.4">
      <c r="A14" s="1">
        <v>45946</v>
      </c>
      <c r="B14" t="s">
        <v>101</v>
      </c>
      <c r="C14" t="s">
        <v>97</v>
      </c>
    </row>
    <row r="15" spans="1:3" x14ac:dyDescent="0.4">
      <c r="A15" s="1">
        <v>45947</v>
      </c>
      <c r="B15" t="s">
        <v>82</v>
      </c>
      <c r="C15" t="s">
        <v>97</v>
      </c>
    </row>
    <row r="16" spans="1:3" x14ac:dyDescent="0.4">
      <c r="A16" s="1">
        <v>45947</v>
      </c>
      <c r="B16" t="s">
        <v>33</v>
      </c>
      <c r="C16" t="s">
        <v>97</v>
      </c>
    </row>
    <row r="17" spans="1:3" x14ac:dyDescent="0.4">
      <c r="A17" s="1">
        <v>45947</v>
      </c>
      <c r="B17" t="s">
        <v>66</v>
      </c>
      <c r="C17" t="s">
        <v>97</v>
      </c>
    </row>
    <row r="18" spans="1:3" x14ac:dyDescent="0.4">
      <c r="A18" s="1">
        <v>45947</v>
      </c>
      <c r="B18" t="s">
        <v>112</v>
      </c>
      <c r="C18" t="s">
        <v>97</v>
      </c>
    </row>
    <row r="19" spans="1:3" x14ac:dyDescent="0.4">
      <c r="A19" s="1">
        <v>45947</v>
      </c>
      <c r="B19" t="s">
        <v>195</v>
      </c>
      <c r="C19" t="s">
        <v>97</v>
      </c>
    </row>
    <row r="20" spans="1:3" x14ac:dyDescent="0.4">
      <c r="A20" s="1">
        <v>45947</v>
      </c>
      <c r="C20" t="s">
        <v>174</v>
      </c>
    </row>
    <row r="21" spans="1:3" x14ac:dyDescent="0.4">
      <c r="A21" s="1">
        <v>45947</v>
      </c>
      <c r="B21" t="s">
        <v>176</v>
      </c>
      <c r="C21" t="s">
        <v>97</v>
      </c>
    </row>
    <row r="22" spans="1:3" x14ac:dyDescent="0.4">
      <c r="A22" s="1">
        <v>45947</v>
      </c>
      <c r="B22" t="s">
        <v>105</v>
      </c>
      <c r="C22" t="s">
        <v>97</v>
      </c>
    </row>
    <row r="23" spans="1:3" x14ac:dyDescent="0.4">
      <c r="A23" s="1">
        <v>45947</v>
      </c>
      <c r="B23" t="s">
        <v>181</v>
      </c>
      <c r="C23" t="s">
        <v>97</v>
      </c>
    </row>
    <row r="24" spans="1:3" x14ac:dyDescent="0.4">
      <c r="A24" s="1">
        <v>45947</v>
      </c>
      <c r="B24" t="s">
        <v>167</v>
      </c>
      <c r="C24" t="s">
        <v>97</v>
      </c>
    </row>
    <row r="25" spans="1:3" x14ac:dyDescent="0.4">
      <c r="A25" s="1">
        <v>45947</v>
      </c>
      <c r="B25" s="5" t="s">
        <v>184</v>
      </c>
      <c r="C25" t="s">
        <v>97</v>
      </c>
    </row>
    <row r="26" spans="1:3" x14ac:dyDescent="0.4">
      <c r="A26" s="1">
        <v>45948</v>
      </c>
      <c r="C26" t="s">
        <v>236</v>
      </c>
    </row>
    <row r="27" spans="1:3" x14ac:dyDescent="0.4">
      <c r="A27" s="1">
        <v>45948</v>
      </c>
      <c r="B27" t="s">
        <v>225</v>
      </c>
      <c r="C27" t="s">
        <v>97</v>
      </c>
    </row>
    <row r="28" spans="1:3" x14ac:dyDescent="0.4">
      <c r="A28" s="1">
        <v>45948</v>
      </c>
      <c r="B28" t="s">
        <v>224</v>
      </c>
      <c r="C28" t="s">
        <v>97</v>
      </c>
    </row>
    <row r="29" spans="1:3" x14ac:dyDescent="0.4">
      <c r="A29" s="1">
        <v>45948</v>
      </c>
      <c r="B29" t="s">
        <v>202</v>
      </c>
      <c r="C29" t="s">
        <v>97</v>
      </c>
    </row>
    <row r="30" spans="1:3" x14ac:dyDescent="0.4">
      <c r="A30" s="1">
        <v>45948</v>
      </c>
      <c r="B30" t="s">
        <v>212</v>
      </c>
      <c r="C30" t="s">
        <v>97</v>
      </c>
    </row>
    <row r="31" spans="1:3" x14ac:dyDescent="0.4">
      <c r="A31" s="1">
        <v>45948</v>
      </c>
      <c r="B31" t="s">
        <v>219</v>
      </c>
      <c r="C31" t="s">
        <v>97</v>
      </c>
    </row>
    <row r="32" spans="1:3" x14ac:dyDescent="0.4">
      <c r="A32" s="1">
        <v>45948</v>
      </c>
      <c r="B32" t="s">
        <v>222</v>
      </c>
      <c r="C32" t="s">
        <v>97</v>
      </c>
    </row>
    <row r="33" spans="1:3" x14ac:dyDescent="0.4">
      <c r="A33" s="1">
        <v>45948</v>
      </c>
      <c r="B33" t="s">
        <v>187</v>
      </c>
      <c r="C33" t="s">
        <v>97</v>
      </c>
    </row>
    <row r="34" spans="1:3" x14ac:dyDescent="0.4">
      <c r="A34" s="1">
        <v>45948</v>
      </c>
      <c r="B34" t="s">
        <v>189</v>
      </c>
      <c r="C34" t="s">
        <v>97</v>
      </c>
    </row>
    <row r="35" spans="1:3" x14ac:dyDescent="0.4">
      <c r="A35" s="1">
        <v>45948</v>
      </c>
      <c r="B35" t="s">
        <v>191</v>
      </c>
      <c r="C35" t="s">
        <v>241</v>
      </c>
    </row>
    <row r="36" spans="1:3" x14ac:dyDescent="0.4">
      <c r="A36" s="1">
        <v>45948</v>
      </c>
      <c r="B36" t="s">
        <v>74</v>
      </c>
      <c r="C36" t="s">
        <v>242</v>
      </c>
    </row>
    <row r="37" spans="1:3" x14ac:dyDescent="0.4">
      <c r="A37" s="1">
        <v>45949</v>
      </c>
      <c r="B37" t="s">
        <v>255</v>
      </c>
      <c r="C37" t="s">
        <v>97</v>
      </c>
    </row>
    <row r="38" spans="1:3" x14ac:dyDescent="0.4">
      <c r="A38" s="1">
        <v>45949</v>
      </c>
      <c r="B38" t="s">
        <v>191</v>
      </c>
      <c r="C38" t="s">
        <v>97</v>
      </c>
    </row>
    <row r="39" spans="1:3" x14ac:dyDescent="0.4">
      <c r="A39" s="1">
        <v>45949</v>
      </c>
      <c r="C39" t="s">
        <v>269</v>
      </c>
    </row>
    <row r="40" spans="1:3" x14ac:dyDescent="0.4">
      <c r="A40" s="1">
        <v>45949</v>
      </c>
      <c r="B40" t="s">
        <v>87</v>
      </c>
      <c r="C40" t="s">
        <v>97</v>
      </c>
    </row>
    <row r="41" spans="1:3" x14ac:dyDescent="0.4">
      <c r="A41" s="1">
        <v>45949</v>
      </c>
      <c r="B41" t="s">
        <v>159</v>
      </c>
      <c r="C41" t="s">
        <v>97</v>
      </c>
    </row>
    <row r="42" spans="1:3" x14ac:dyDescent="0.4">
      <c r="A42" s="1">
        <v>45949</v>
      </c>
      <c r="B42" t="s">
        <v>183</v>
      </c>
      <c r="C42" t="s">
        <v>97</v>
      </c>
    </row>
    <row r="43" spans="1:3" x14ac:dyDescent="0.4">
      <c r="A43" s="1">
        <v>45949</v>
      </c>
      <c r="B43" t="s">
        <v>207</v>
      </c>
      <c r="C43" t="s">
        <v>97</v>
      </c>
    </row>
    <row r="44" spans="1:3" x14ac:dyDescent="0.4">
      <c r="A44" s="1">
        <v>45949</v>
      </c>
      <c r="B44" t="s">
        <v>214</v>
      </c>
      <c r="C44" t="s">
        <v>97</v>
      </c>
    </row>
    <row r="45" spans="1:3" x14ac:dyDescent="0.4">
      <c r="A45" s="1">
        <v>45949</v>
      </c>
      <c r="B45" t="s">
        <v>216</v>
      </c>
      <c r="C45" t="s">
        <v>241</v>
      </c>
    </row>
    <row r="46" spans="1:3" x14ac:dyDescent="0.4">
      <c r="A46" s="1">
        <v>45949</v>
      </c>
      <c r="B46" t="s">
        <v>234</v>
      </c>
      <c r="C46" t="s">
        <v>97</v>
      </c>
    </row>
    <row r="47" spans="1:3" x14ac:dyDescent="0.4">
      <c r="A47" s="1">
        <v>45950</v>
      </c>
      <c r="C47" t="s">
        <v>308</v>
      </c>
    </row>
    <row r="48" spans="1:3" x14ac:dyDescent="0.4">
      <c r="A48" s="1">
        <v>45950</v>
      </c>
      <c r="B48" t="s">
        <v>198</v>
      </c>
      <c r="C48" t="s">
        <v>97</v>
      </c>
    </row>
    <row r="49" spans="1:3" x14ac:dyDescent="0.4">
      <c r="A49" s="1">
        <v>45950</v>
      </c>
      <c r="B49" t="s">
        <v>216</v>
      </c>
      <c r="C49" t="s">
        <v>97</v>
      </c>
    </row>
    <row r="50" spans="1:3" x14ac:dyDescent="0.4">
      <c r="A50" s="1">
        <v>45950</v>
      </c>
      <c r="B50" t="s">
        <v>161</v>
      </c>
      <c r="C50" t="s">
        <v>241</v>
      </c>
    </row>
    <row r="51" spans="1:3" x14ac:dyDescent="0.4">
      <c r="A51" s="1">
        <v>45950</v>
      </c>
      <c r="B51" t="s">
        <v>35</v>
      </c>
      <c r="C51" t="s">
        <v>97</v>
      </c>
    </row>
    <row r="52" spans="1:3" x14ac:dyDescent="0.4">
      <c r="A52" s="1">
        <v>45950</v>
      </c>
      <c r="B52" t="s">
        <v>44</v>
      </c>
      <c r="C52" t="s">
        <v>97</v>
      </c>
    </row>
    <row r="53" spans="1:3" x14ac:dyDescent="0.4">
      <c r="A53" s="1">
        <v>45951</v>
      </c>
      <c r="B53" t="s">
        <v>161</v>
      </c>
      <c r="C53" t="s">
        <v>97</v>
      </c>
    </row>
    <row r="54" spans="1:3" x14ac:dyDescent="0.4">
      <c r="A54" s="1">
        <v>45951</v>
      </c>
      <c r="C54" t="s">
        <v>336</v>
      </c>
    </row>
    <row r="55" spans="1:3" x14ac:dyDescent="0.4">
      <c r="A55" s="1">
        <v>45951</v>
      </c>
      <c r="B55" t="s">
        <v>125</v>
      </c>
      <c r="C55" t="s">
        <v>97</v>
      </c>
    </row>
    <row r="56" spans="1:3" x14ac:dyDescent="0.4">
      <c r="A56" s="1">
        <v>45951</v>
      </c>
      <c r="B56" t="s">
        <v>74</v>
      </c>
      <c r="C56" t="s">
        <v>97</v>
      </c>
    </row>
    <row r="57" spans="1:3" x14ac:dyDescent="0.4">
      <c r="A57" s="1">
        <v>45951</v>
      </c>
      <c r="B57" t="s">
        <v>122</v>
      </c>
      <c r="C57" t="s">
        <v>97</v>
      </c>
    </row>
    <row r="58" spans="1:3" x14ac:dyDescent="0.4">
      <c r="A58" s="1">
        <v>45951</v>
      </c>
      <c r="B58" t="s">
        <v>311</v>
      </c>
      <c r="C58" t="s">
        <v>97</v>
      </c>
    </row>
    <row r="59" spans="1:3" x14ac:dyDescent="0.4">
      <c r="A59" s="1">
        <v>45951</v>
      </c>
      <c r="B59" t="s">
        <v>314</v>
      </c>
      <c r="C59" t="s">
        <v>97</v>
      </c>
    </row>
    <row r="60" spans="1:3" x14ac:dyDescent="0.4">
      <c r="A60" s="1">
        <v>45951</v>
      </c>
      <c r="B60" t="s">
        <v>317</v>
      </c>
      <c r="C60" t="s">
        <v>97</v>
      </c>
    </row>
    <row r="61" spans="1:3" x14ac:dyDescent="0.4">
      <c r="A61" s="1">
        <v>45951</v>
      </c>
      <c r="B61" t="s">
        <v>327</v>
      </c>
      <c r="C61" t="s">
        <v>97</v>
      </c>
    </row>
    <row r="62" spans="1:3" x14ac:dyDescent="0.4">
      <c r="A62" s="1">
        <v>45951</v>
      </c>
      <c r="B62" t="s">
        <v>329</v>
      </c>
      <c r="C62" t="s">
        <v>97</v>
      </c>
    </row>
    <row r="63" spans="1:3" x14ac:dyDescent="0.4">
      <c r="A63" s="1">
        <v>45951</v>
      </c>
      <c r="B63" t="s">
        <v>331</v>
      </c>
      <c r="C63" t="s">
        <v>97</v>
      </c>
    </row>
    <row r="64" spans="1:3" x14ac:dyDescent="0.4">
      <c r="A64" s="1">
        <v>45951</v>
      </c>
      <c r="B64" t="s">
        <v>334</v>
      </c>
      <c r="C64" t="s">
        <v>97</v>
      </c>
    </row>
    <row r="65" spans="1:3" x14ac:dyDescent="0.4">
      <c r="A65" s="1">
        <v>45952</v>
      </c>
      <c r="C65" t="s">
        <v>381</v>
      </c>
    </row>
    <row r="66" spans="1:3" x14ac:dyDescent="0.4">
      <c r="A66" s="1">
        <v>45953</v>
      </c>
      <c r="B66" t="s">
        <v>380</v>
      </c>
      <c r="C66" t="s">
        <v>97</v>
      </c>
    </row>
    <row r="67" spans="1:3" x14ac:dyDescent="0.4">
      <c r="A67" s="1">
        <v>45953</v>
      </c>
      <c r="B67" t="s">
        <v>363</v>
      </c>
      <c r="C67" t="s">
        <v>97</v>
      </c>
    </row>
    <row r="68" spans="1:3" x14ac:dyDescent="0.4">
      <c r="A68" s="1">
        <v>45953</v>
      </c>
      <c r="B68" t="s">
        <v>341</v>
      </c>
      <c r="C68" t="s">
        <v>97</v>
      </c>
    </row>
    <row r="69" spans="1:3" x14ac:dyDescent="0.4">
      <c r="A69" s="1">
        <v>45953</v>
      </c>
      <c r="B69" t="s">
        <v>368</v>
      </c>
      <c r="C69" t="s">
        <v>97</v>
      </c>
    </row>
    <row r="70" spans="1:3" x14ac:dyDescent="0.4">
      <c r="A70" s="1">
        <v>45953</v>
      </c>
      <c r="B70" t="s">
        <v>372</v>
      </c>
      <c r="C70" t="s">
        <v>97</v>
      </c>
    </row>
    <row r="71" spans="1:3" x14ac:dyDescent="0.4">
      <c r="A71" s="1">
        <v>45953</v>
      </c>
      <c r="B71" s="5" t="s">
        <v>89</v>
      </c>
      <c r="C71" t="s">
        <v>97</v>
      </c>
    </row>
    <row r="72" spans="1:3" x14ac:dyDescent="0.4">
      <c r="A72" s="1">
        <v>45953</v>
      </c>
      <c r="B72" t="s">
        <v>93</v>
      </c>
      <c r="C72" t="s">
        <v>97</v>
      </c>
    </row>
    <row r="73" spans="1:3" x14ac:dyDescent="0.4">
      <c r="A73" s="1">
        <v>45953</v>
      </c>
      <c r="B73" t="s">
        <v>365</v>
      </c>
      <c r="C73" t="s">
        <v>97</v>
      </c>
    </row>
    <row r="74" spans="1:3" x14ac:dyDescent="0.4">
      <c r="A74" s="1">
        <v>45953</v>
      </c>
      <c r="B74" t="s">
        <v>393</v>
      </c>
      <c r="C74" t="s">
        <v>97</v>
      </c>
    </row>
    <row r="75" spans="1:3" x14ac:dyDescent="0.4">
      <c r="A75" s="1">
        <v>45953</v>
      </c>
      <c r="B75" t="s">
        <v>318</v>
      </c>
      <c r="C75" t="s">
        <v>97</v>
      </c>
    </row>
    <row r="76" spans="1:3" x14ac:dyDescent="0.4">
      <c r="A76" s="1">
        <v>45953</v>
      </c>
      <c r="B76" t="s">
        <v>396</v>
      </c>
      <c r="C76" t="s">
        <v>97</v>
      </c>
    </row>
    <row r="77" spans="1:3" x14ac:dyDescent="0.4">
      <c r="A77" s="1">
        <v>45954</v>
      </c>
      <c r="B77" t="s">
        <v>209</v>
      </c>
      <c r="C77" t="s">
        <v>97</v>
      </c>
    </row>
    <row r="78" spans="1:3" x14ac:dyDescent="0.4">
      <c r="A78" s="1">
        <v>45954</v>
      </c>
      <c r="B78" t="s">
        <v>245</v>
      </c>
      <c r="C78" t="s">
        <v>97</v>
      </c>
    </row>
    <row r="79" spans="1:3" x14ac:dyDescent="0.4">
      <c r="A79" s="1">
        <v>45957</v>
      </c>
      <c r="C79" t="s">
        <v>440</v>
      </c>
    </row>
    <row r="80" spans="1:3" x14ac:dyDescent="0.4">
      <c r="A80" s="1">
        <v>45958</v>
      </c>
      <c r="C80" t="s">
        <v>471</v>
      </c>
    </row>
    <row r="81" spans="1:3" x14ac:dyDescent="0.4">
      <c r="A81" s="1">
        <v>45960</v>
      </c>
      <c r="C81" t="s">
        <v>502</v>
      </c>
    </row>
    <row r="82" spans="1:3" x14ac:dyDescent="0.4">
      <c r="A82" s="1">
        <v>45960</v>
      </c>
      <c r="B82" t="s">
        <v>441</v>
      </c>
      <c r="C82" t="s">
        <v>97</v>
      </c>
    </row>
    <row r="83" spans="1:3" x14ac:dyDescent="0.4">
      <c r="A83" s="1">
        <v>45960</v>
      </c>
      <c r="B83" t="s">
        <v>472</v>
      </c>
      <c r="C83" t="s">
        <v>97</v>
      </c>
    </row>
    <row r="84" spans="1:3" x14ac:dyDescent="0.4">
      <c r="A84" s="1">
        <v>45960</v>
      </c>
      <c r="B84" t="s">
        <v>479</v>
      </c>
      <c r="C84" t="s">
        <v>97</v>
      </c>
    </row>
    <row r="85" spans="1:3" x14ac:dyDescent="0.4">
      <c r="A85" s="1">
        <v>45960</v>
      </c>
      <c r="B85" t="s">
        <v>421</v>
      </c>
      <c r="C85" t="s">
        <v>97</v>
      </c>
    </row>
    <row r="86" spans="1:3" x14ac:dyDescent="0.4">
      <c r="A86" s="1">
        <v>45960</v>
      </c>
      <c r="B86" t="s">
        <v>461</v>
      </c>
      <c r="C86" t="s">
        <v>97</v>
      </c>
    </row>
    <row r="87" spans="1:3" x14ac:dyDescent="0.4">
      <c r="A87" s="1">
        <v>45960</v>
      </c>
      <c r="B87" t="s">
        <v>485</v>
      </c>
      <c r="C87" t="s">
        <v>97</v>
      </c>
    </row>
    <row r="88" spans="1:3" x14ac:dyDescent="0.4">
      <c r="A88" s="1">
        <v>45960</v>
      </c>
      <c r="B88" t="s">
        <v>488</v>
      </c>
      <c r="C88" t="s">
        <v>97</v>
      </c>
    </row>
    <row r="89" spans="1:3" x14ac:dyDescent="0.4">
      <c r="A89" s="1">
        <v>45960</v>
      </c>
      <c r="B89" t="s">
        <v>495</v>
      </c>
      <c r="C89" t="s">
        <v>97</v>
      </c>
    </row>
    <row r="90" spans="1:3" x14ac:dyDescent="0.4">
      <c r="A90" s="1">
        <v>45960</v>
      </c>
      <c r="B90" t="s">
        <v>444</v>
      </c>
      <c r="C90" t="s">
        <v>97</v>
      </c>
    </row>
    <row r="91" spans="1:3" x14ac:dyDescent="0.4">
      <c r="A91" s="1">
        <v>45960</v>
      </c>
      <c r="B91" t="s">
        <v>436</v>
      </c>
      <c r="C91" t="s">
        <v>97</v>
      </c>
    </row>
    <row r="92" spans="1:3" x14ac:dyDescent="0.4">
      <c r="A92" s="1">
        <v>45960</v>
      </c>
      <c r="B92" t="s">
        <v>467</v>
      </c>
      <c r="C92" t="s">
        <v>97</v>
      </c>
    </row>
    <row r="93" spans="1:3" x14ac:dyDescent="0.4">
      <c r="A93" s="1">
        <v>45960</v>
      </c>
      <c r="B93" t="s">
        <v>464</v>
      </c>
      <c r="C93" t="s">
        <v>97</v>
      </c>
    </row>
    <row r="94" spans="1:3" x14ac:dyDescent="0.4">
      <c r="A94" s="1">
        <v>45960</v>
      </c>
      <c r="B94" t="s">
        <v>456</v>
      </c>
      <c r="C94" t="s">
        <v>97</v>
      </c>
    </row>
    <row r="95" spans="1:3" x14ac:dyDescent="0.4">
      <c r="A95" s="1">
        <v>45960</v>
      </c>
      <c r="B95" t="s">
        <v>427</v>
      </c>
      <c r="C95" t="s">
        <v>97</v>
      </c>
    </row>
    <row r="96" spans="1:3" x14ac:dyDescent="0.4">
      <c r="A96" s="1">
        <v>45960</v>
      </c>
      <c r="B96" t="s">
        <v>452</v>
      </c>
      <c r="C96" t="s">
        <v>97</v>
      </c>
    </row>
    <row r="97" spans="1:3" x14ac:dyDescent="0.4">
      <c r="A97" s="1">
        <v>45960</v>
      </c>
      <c r="B97" t="s">
        <v>324</v>
      </c>
      <c r="C97" t="s">
        <v>97</v>
      </c>
    </row>
    <row r="98" spans="1:3" x14ac:dyDescent="0.4">
      <c r="A98" s="1">
        <v>45960</v>
      </c>
      <c r="B98" t="s">
        <v>430</v>
      </c>
      <c r="C98" t="s">
        <v>97</v>
      </c>
    </row>
    <row r="99" spans="1:3" x14ac:dyDescent="0.4">
      <c r="A99" s="1">
        <v>45960</v>
      </c>
      <c r="B99" t="s">
        <v>276</v>
      </c>
      <c r="C99" t="s">
        <v>97</v>
      </c>
    </row>
    <row r="100" spans="1:3" x14ac:dyDescent="0.4">
      <c r="A100" s="1">
        <v>45960</v>
      </c>
      <c r="B100" t="s">
        <v>348</v>
      </c>
      <c r="C100" t="s">
        <v>97</v>
      </c>
    </row>
    <row r="101" spans="1:3" x14ac:dyDescent="0.4">
      <c r="A101" s="1">
        <v>45960</v>
      </c>
      <c r="B101" t="s">
        <v>320</v>
      </c>
      <c r="C101" t="s">
        <v>97</v>
      </c>
    </row>
    <row r="102" spans="1:3" x14ac:dyDescent="0.4">
      <c r="A102" s="1">
        <v>45962</v>
      </c>
      <c r="C102" t="s">
        <v>536</v>
      </c>
    </row>
    <row r="103" spans="1:3" x14ac:dyDescent="0.4">
      <c r="A103" s="1">
        <v>45962</v>
      </c>
      <c r="C103" t="s">
        <v>535</v>
      </c>
    </row>
    <row r="104" spans="1:3" x14ac:dyDescent="0.4">
      <c r="A104" s="1">
        <v>45962</v>
      </c>
      <c r="B104" t="s">
        <v>541</v>
      </c>
      <c r="C104" t="s">
        <v>97</v>
      </c>
    </row>
    <row r="105" spans="1:3" x14ac:dyDescent="0.4">
      <c r="A105" s="1">
        <v>45962</v>
      </c>
      <c r="B105" t="s">
        <v>515</v>
      </c>
      <c r="C105" t="s">
        <v>97</v>
      </c>
    </row>
    <row r="106" spans="1:3" x14ac:dyDescent="0.4">
      <c r="A106" s="1">
        <v>45962</v>
      </c>
      <c r="B106" t="s">
        <v>522</v>
      </c>
      <c r="C106" t="s">
        <v>97</v>
      </c>
    </row>
    <row r="107" spans="1:3" x14ac:dyDescent="0.4">
      <c r="A107" s="1">
        <v>45962</v>
      </c>
      <c r="B107" t="s">
        <v>470</v>
      </c>
      <c r="C107" t="s">
        <v>97</v>
      </c>
    </row>
    <row r="108" spans="1:3" x14ac:dyDescent="0.4">
      <c r="A108" s="1">
        <v>45962</v>
      </c>
      <c r="B108" t="s">
        <v>547</v>
      </c>
      <c r="C108" t="s">
        <v>97</v>
      </c>
    </row>
    <row r="109" spans="1:3" x14ac:dyDescent="0.4">
      <c r="A109" s="1">
        <v>45962</v>
      </c>
      <c r="B109" t="s">
        <v>564</v>
      </c>
      <c r="C109" t="s">
        <v>97</v>
      </c>
    </row>
    <row r="110" spans="1:3" x14ac:dyDescent="0.4">
      <c r="A110" s="1">
        <v>45962</v>
      </c>
      <c r="B110" t="s">
        <v>555</v>
      </c>
      <c r="C110" t="s">
        <v>97</v>
      </c>
    </row>
    <row r="111" spans="1:3" x14ac:dyDescent="0.4">
      <c r="A111" s="1">
        <v>45962</v>
      </c>
      <c r="B111" t="s">
        <v>507</v>
      </c>
      <c r="C111" t="s">
        <v>97</v>
      </c>
    </row>
    <row r="112" spans="1:3" x14ac:dyDescent="0.4">
      <c r="A112" s="1">
        <v>45962</v>
      </c>
      <c r="B112" t="s">
        <v>561</v>
      </c>
      <c r="C112" t="s">
        <v>97</v>
      </c>
    </row>
    <row r="113" spans="1:3" x14ac:dyDescent="0.4">
      <c r="A113" s="1">
        <v>45962</v>
      </c>
      <c r="B113" t="s">
        <v>519</v>
      </c>
      <c r="C113" t="s">
        <v>97</v>
      </c>
    </row>
    <row r="114" spans="1:3" x14ac:dyDescent="0.4">
      <c r="A114" s="1">
        <v>45963</v>
      </c>
      <c r="B114" t="s">
        <v>322</v>
      </c>
      <c r="C114" t="s">
        <v>97</v>
      </c>
    </row>
    <row r="115" spans="1:3" x14ac:dyDescent="0.4">
      <c r="A115" s="1">
        <v>45963</v>
      </c>
      <c r="B115" t="s">
        <v>79</v>
      </c>
      <c r="C115" t="s">
        <v>97</v>
      </c>
    </row>
    <row r="116" spans="1:3" x14ac:dyDescent="0.4">
      <c r="A116" s="1">
        <v>45963</v>
      </c>
      <c r="B116" t="s">
        <v>109</v>
      </c>
      <c r="C116" t="s">
        <v>97</v>
      </c>
    </row>
    <row r="117" spans="1:3" x14ac:dyDescent="0.4">
      <c r="A117" s="1">
        <v>45963</v>
      </c>
      <c r="B117" t="s">
        <v>356</v>
      </c>
      <c r="C117" t="s">
        <v>97</v>
      </c>
    </row>
    <row r="118" spans="1:3" x14ac:dyDescent="0.4">
      <c r="A118" s="1">
        <v>45963</v>
      </c>
      <c r="B118" t="s">
        <v>432</v>
      </c>
      <c r="C118" t="s">
        <v>97</v>
      </c>
    </row>
    <row r="119" spans="1:3" x14ac:dyDescent="0.4">
      <c r="A119" s="1">
        <v>45963</v>
      </c>
      <c r="B119" t="s">
        <v>306</v>
      </c>
      <c r="C119" t="s">
        <v>97</v>
      </c>
    </row>
    <row r="120" spans="1:3" x14ac:dyDescent="0.4">
      <c r="A120" s="1">
        <v>45963</v>
      </c>
      <c r="B120" t="s">
        <v>29</v>
      </c>
      <c r="C120" t="s">
        <v>97</v>
      </c>
    </row>
    <row r="121" spans="1:3" x14ac:dyDescent="0.4">
      <c r="A121" s="1">
        <v>45963</v>
      </c>
      <c r="B121" t="s">
        <v>302</v>
      </c>
      <c r="C121" t="s">
        <v>97</v>
      </c>
    </row>
    <row r="122" spans="1:3" x14ac:dyDescent="0.4">
      <c r="A122" s="1">
        <v>45963</v>
      </c>
      <c r="B122" t="s">
        <v>286</v>
      </c>
      <c r="C122" t="s">
        <v>97</v>
      </c>
    </row>
    <row r="123" spans="1:3" x14ac:dyDescent="0.4">
      <c r="A123" s="1">
        <v>45963</v>
      </c>
      <c r="B123" t="s">
        <v>298</v>
      </c>
      <c r="C123" t="s">
        <v>97</v>
      </c>
    </row>
    <row r="124" spans="1:3" x14ac:dyDescent="0.4">
      <c r="A124" s="1">
        <v>45963</v>
      </c>
      <c r="B124" t="s">
        <v>116</v>
      </c>
      <c r="C124" t="s">
        <v>97</v>
      </c>
    </row>
    <row r="125" spans="1:3" x14ac:dyDescent="0.4">
      <c r="A125" s="1">
        <v>45963</v>
      </c>
      <c r="B125" t="s">
        <v>201</v>
      </c>
      <c r="C125" t="s">
        <v>97</v>
      </c>
    </row>
    <row r="126" spans="1:3" x14ac:dyDescent="0.4">
      <c r="A126" s="1">
        <v>45963</v>
      </c>
      <c r="B126" t="s">
        <v>301</v>
      </c>
      <c r="C126" t="s">
        <v>97</v>
      </c>
    </row>
    <row r="127" spans="1:3" x14ac:dyDescent="0.4">
      <c r="A127" s="1">
        <v>45963</v>
      </c>
      <c r="B127" t="s">
        <v>416</v>
      </c>
      <c r="C127" t="s">
        <v>97</v>
      </c>
    </row>
    <row r="128" spans="1:3" x14ac:dyDescent="0.4">
      <c r="A128" s="1">
        <v>45963</v>
      </c>
      <c r="B128" t="s">
        <v>360</v>
      </c>
      <c r="C128" t="s">
        <v>97</v>
      </c>
    </row>
    <row r="129" spans="1:3" x14ac:dyDescent="0.4">
      <c r="A129" s="1">
        <v>45963</v>
      </c>
      <c r="B129" t="s">
        <v>384</v>
      </c>
      <c r="C129" t="s">
        <v>97</v>
      </c>
    </row>
    <row r="130" spans="1:3" x14ac:dyDescent="0.4">
      <c r="A130" s="1">
        <v>45963</v>
      </c>
      <c r="B130" t="s">
        <v>289</v>
      </c>
      <c r="C130" t="s">
        <v>97</v>
      </c>
    </row>
    <row r="131" spans="1:3" x14ac:dyDescent="0.4">
      <c r="A131" s="1">
        <v>45963</v>
      </c>
      <c r="B131" t="s">
        <v>492</v>
      </c>
      <c r="C131" t="s">
        <v>97</v>
      </c>
    </row>
    <row r="132" spans="1:3" x14ac:dyDescent="0.4">
      <c r="A132" s="1">
        <v>45963</v>
      </c>
      <c r="B132" t="s">
        <v>492</v>
      </c>
      <c r="C132" t="s">
        <v>97</v>
      </c>
    </row>
    <row r="133" spans="1:3" x14ac:dyDescent="0.4">
      <c r="A133" s="1">
        <v>45963</v>
      </c>
      <c r="B133" t="s">
        <v>506</v>
      </c>
      <c r="C133" t="s">
        <v>97</v>
      </c>
    </row>
    <row r="134" spans="1:3" x14ac:dyDescent="0.4">
      <c r="A134" s="1">
        <v>45963</v>
      </c>
      <c r="C134" t="s">
        <v>596</v>
      </c>
    </row>
    <row r="135" spans="1:3" x14ac:dyDescent="0.4">
      <c r="A135" s="1">
        <v>45964</v>
      </c>
      <c r="C135" t="s">
        <v>634</v>
      </c>
    </row>
    <row r="136" spans="1:3" x14ac:dyDescent="0.4">
      <c r="A136" s="1">
        <v>45964</v>
      </c>
      <c r="B136" t="s">
        <v>620</v>
      </c>
      <c r="C136" t="s">
        <v>97</v>
      </c>
    </row>
    <row r="137" spans="1:3" x14ac:dyDescent="0.4">
      <c r="A137" s="1">
        <v>45964</v>
      </c>
      <c r="B137" t="s">
        <v>599</v>
      </c>
      <c r="C137" t="s">
        <v>97</v>
      </c>
    </row>
    <row r="138" spans="1:3" x14ac:dyDescent="0.4">
      <c r="A138" s="1">
        <v>45964</v>
      </c>
      <c r="B138" t="s">
        <v>611</v>
      </c>
      <c r="C138" t="s">
        <v>97</v>
      </c>
    </row>
    <row r="139" spans="1:3" x14ac:dyDescent="0.4">
      <c r="A139" s="1">
        <v>45964</v>
      </c>
      <c r="B139" t="s">
        <v>622</v>
      </c>
      <c r="C139" t="s">
        <v>97</v>
      </c>
    </row>
    <row r="140" spans="1:3" x14ac:dyDescent="0.4">
      <c r="A140" s="1">
        <v>45964</v>
      </c>
      <c r="B140" t="s">
        <v>626</v>
      </c>
      <c r="C140" t="s">
        <v>97</v>
      </c>
    </row>
    <row r="141" spans="1:3" x14ac:dyDescent="0.4">
      <c r="A141" s="1">
        <v>45964</v>
      </c>
      <c r="B141" t="s">
        <v>510</v>
      </c>
      <c r="C141" t="s">
        <v>97</v>
      </c>
    </row>
    <row r="142" spans="1:3" x14ac:dyDescent="0.4">
      <c r="A142" s="1">
        <v>45964</v>
      </c>
      <c r="B142" t="s">
        <v>573</v>
      </c>
      <c r="C142" t="s">
        <v>97</v>
      </c>
    </row>
    <row r="143" spans="1:3" x14ac:dyDescent="0.4">
      <c r="A143" s="1">
        <v>45964</v>
      </c>
      <c r="B143" t="s">
        <v>616</v>
      </c>
      <c r="C143" t="s">
        <v>97</v>
      </c>
    </row>
    <row r="144" spans="1:3" x14ac:dyDescent="0.4">
      <c r="A144" s="1">
        <v>45964</v>
      </c>
      <c r="B144" t="s">
        <v>629</v>
      </c>
      <c r="C144" t="s">
        <v>97</v>
      </c>
    </row>
    <row r="145" spans="1:3" x14ac:dyDescent="0.4">
      <c r="A145" s="1">
        <v>45964</v>
      </c>
      <c r="B145" t="s">
        <v>107</v>
      </c>
      <c r="C145" t="s">
        <v>97</v>
      </c>
    </row>
    <row r="146" spans="1:3" x14ac:dyDescent="0.4">
      <c r="A146" s="1">
        <v>45965</v>
      </c>
      <c r="C146" t="s">
        <v>667</v>
      </c>
    </row>
    <row r="147" spans="1:3" x14ac:dyDescent="0.4">
      <c r="A147" s="1">
        <v>45965</v>
      </c>
      <c r="B147" t="s">
        <v>458</v>
      </c>
      <c r="C147" t="s">
        <v>97</v>
      </c>
    </row>
    <row r="148" spans="1:3" x14ac:dyDescent="0.4">
      <c r="A148" s="1">
        <v>45965</v>
      </c>
      <c r="B148" t="s">
        <v>525</v>
      </c>
      <c r="C148" t="s">
        <v>97</v>
      </c>
    </row>
    <row r="149" spans="1:3" x14ac:dyDescent="0.4">
      <c r="A149" s="1">
        <v>45965</v>
      </c>
      <c r="B149" t="s">
        <v>531</v>
      </c>
      <c r="C149" t="s">
        <v>97</v>
      </c>
    </row>
    <row r="150" spans="1:3" x14ac:dyDescent="0.4">
      <c r="A150" s="1">
        <v>45965</v>
      </c>
      <c r="B150" t="s">
        <v>551</v>
      </c>
      <c r="C150" t="s">
        <v>97</v>
      </c>
    </row>
    <row r="151" spans="1:3" x14ac:dyDescent="0.4">
      <c r="A151" s="1">
        <v>45965</v>
      </c>
      <c r="B151" t="s">
        <v>557</v>
      </c>
      <c r="C151" t="s">
        <v>97</v>
      </c>
    </row>
    <row r="152" spans="1:3" x14ac:dyDescent="0.4">
      <c r="A152" s="1">
        <v>45965</v>
      </c>
      <c r="B152" t="s">
        <v>560</v>
      </c>
      <c r="C152" t="s">
        <v>97</v>
      </c>
    </row>
    <row r="153" spans="1:3" x14ac:dyDescent="0.4">
      <c r="A153" s="1">
        <v>45965</v>
      </c>
      <c r="B153" t="s">
        <v>635</v>
      </c>
      <c r="C153" t="s">
        <v>97</v>
      </c>
    </row>
    <row r="154" spans="1:3" x14ac:dyDescent="0.4">
      <c r="A154" s="1">
        <v>45965</v>
      </c>
      <c r="B154" t="s">
        <v>594</v>
      </c>
      <c r="C154" t="s">
        <v>97</v>
      </c>
    </row>
    <row r="155" spans="1:3" x14ac:dyDescent="0.4">
      <c r="A155" s="1">
        <v>45965</v>
      </c>
      <c r="B155" t="s">
        <v>338</v>
      </c>
      <c r="C155" t="s">
        <v>97</v>
      </c>
    </row>
    <row r="156" spans="1:3" x14ac:dyDescent="0.4">
      <c r="A156" s="1">
        <v>45965</v>
      </c>
      <c r="B156" t="s">
        <v>412</v>
      </c>
      <c r="C156" t="s">
        <v>97</v>
      </c>
    </row>
    <row r="157" spans="1:3" x14ac:dyDescent="0.4">
      <c r="A157" s="1">
        <v>45967</v>
      </c>
      <c r="B157" t="s">
        <v>690</v>
      </c>
      <c r="C157" t="s">
        <v>97</v>
      </c>
    </row>
    <row r="158" spans="1:3" x14ac:dyDescent="0.4">
      <c r="A158" s="1">
        <v>45967</v>
      </c>
      <c r="C158" t="s">
        <v>692</v>
      </c>
    </row>
    <row r="159" spans="1:3" x14ac:dyDescent="0.4">
      <c r="A159" s="1">
        <v>45968</v>
      </c>
      <c r="B159" t="s">
        <v>132</v>
      </c>
      <c r="C159" t="s">
        <v>97</v>
      </c>
    </row>
    <row r="160" spans="1:3" x14ac:dyDescent="0.4">
      <c r="A160" s="1">
        <v>45968</v>
      </c>
      <c r="B160" t="s">
        <v>70</v>
      </c>
      <c r="C160" t="s">
        <v>97</v>
      </c>
    </row>
    <row r="161" spans="1:3" x14ac:dyDescent="0.4">
      <c r="A161" s="1">
        <v>45968</v>
      </c>
      <c r="B161" t="s">
        <v>85</v>
      </c>
      <c r="C161" t="s">
        <v>97</v>
      </c>
    </row>
    <row r="162" spans="1:3" x14ac:dyDescent="0.4">
      <c r="A162" s="1">
        <v>45968</v>
      </c>
      <c r="B162" t="s">
        <v>129</v>
      </c>
      <c r="C162" t="s">
        <v>97</v>
      </c>
    </row>
    <row r="163" spans="1:3" x14ac:dyDescent="0.4">
      <c r="A163" s="1">
        <v>45968</v>
      </c>
      <c r="B163" t="s">
        <v>156</v>
      </c>
      <c r="C163" t="s">
        <v>97</v>
      </c>
    </row>
    <row r="164" spans="1:3" x14ac:dyDescent="0.4">
      <c r="A164" s="1">
        <v>45968</v>
      </c>
      <c r="B164" t="s">
        <v>271</v>
      </c>
      <c r="C164" t="s">
        <v>97</v>
      </c>
    </row>
    <row r="165" spans="1:3" x14ac:dyDescent="0.4">
      <c r="A165" s="1">
        <v>45968</v>
      </c>
      <c r="B165" t="s">
        <v>278</v>
      </c>
      <c r="C165" t="s">
        <v>97</v>
      </c>
    </row>
    <row r="166" spans="1:3" x14ac:dyDescent="0.4">
      <c r="A166" s="1">
        <v>45968</v>
      </c>
      <c r="B166" t="s">
        <v>272</v>
      </c>
      <c r="C166" t="s">
        <v>97</v>
      </c>
    </row>
    <row r="167" spans="1:3" x14ac:dyDescent="0.4">
      <c r="A167" s="1">
        <v>45968</v>
      </c>
      <c r="B167" t="s">
        <v>388</v>
      </c>
      <c r="C167" t="s">
        <v>97</v>
      </c>
    </row>
    <row r="168" spans="1:3" x14ac:dyDescent="0.4">
      <c r="A168" s="1">
        <v>45968</v>
      </c>
      <c r="B168" t="s">
        <v>342</v>
      </c>
      <c r="C168" t="s">
        <v>97</v>
      </c>
    </row>
    <row r="169" spans="1:3" x14ac:dyDescent="0.4">
      <c r="A169" s="1">
        <v>45968</v>
      </c>
      <c r="B169" t="s">
        <v>387</v>
      </c>
      <c r="C169" t="s">
        <v>97</v>
      </c>
    </row>
    <row r="170" spans="1:3" x14ac:dyDescent="0.4">
      <c r="A170" s="1">
        <v>45968</v>
      </c>
      <c r="B170" t="s">
        <v>649</v>
      </c>
      <c r="C170" t="s">
        <v>97</v>
      </c>
    </row>
    <row r="171" spans="1:3" x14ac:dyDescent="0.4">
      <c r="A171" s="1">
        <v>45968</v>
      </c>
      <c r="B171" t="s">
        <v>657</v>
      </c>
      <c r="C171" t="s">
        <v>97</v>
      </c>
    </row>
    <row r="172" spans="1:3" x14ac:dyDescent="0.4">
      <c r="A172" s="1">
        <v>45968</v>
      </c>
      <c r="B172" t="s">
        <v>670</v>
      </c>
      <c r="C172" t="s">
        <v>97</v>
      </c>
    </row>
    <row r="173" spans="1:3" x14ac:dyDescent="0.4">
      <c r="A173" s="1">
        <v>45968</v>
      </c>
      <c r="B173" t="s">
        <v>671</v>
      </c>
      <c r="C173" t="s">
        <v>97</v>
      </c>
    </row>
    <row r="174" spans="1:3" x14ac:dyDescent="0.4">
      <c r="A174" s="1">
        <v>45968</v>
      </c>
      <c r="B174" t="s">
        <v>696</v>
      </c>
      <c r="C174" t="s">
        <v>97</v>
      </c>
    </row>
    <row r="175" spans="1:3" x14ac:dyDescent="0.4">
      <c r="A175" s="1">
        <v>45968</v>
      </c>
      <c r="B175" t="s">
        <v>164</v>
      </c>
      <c r="C175" t="s">
        <v>97</v>
      </c>
    </row>
    <row r="176" spans="1:3" x14ac:dyDescent="0.4">
      <c r="A176" s="1">
        <v>45968</v>
      </c>
      <c r="B176" t="s">
        <v>138</v>
      </c>
      <c r="C176" t="s">
        <v>97</v>
      </c>
    </row>
    <row r="177" spans="1:3" x14ac:dyDescent="0.4">
      <c r="A177" s="1">
        <v>45968</v>
      </c>
      <c r="B177" t="s">
        <v>119</v>
      </c>
      <c r="C177" t="s">
        <v>97</v>
      </c>
    </row>
    <row r="178" spans="1:3" x14ac:dyDescent="0.4">
      <c r="A178" s="1">
        <v>45968</v>
      </c>
      <c r="B178" t="s">
        <v>140</v>
      </c>
      <c r="C178" t="s">
        <v>97</v>
      </c>
    </row>
    <row r="179" spans="1:3" x14ac:dyDescent="0.4">
      <c r="A179" s="1">
        <v>45970</v>
      </c>
      <c r="B179" t="s">
        <v>604</v>
      </c>
      <c r="C179" t="s">
        <v>97</v>
      </c>
    </row>
    <row r="180" spans="1:3" x14ac:dyDescent="0.4">
      <c r="A180" s="1">
        <v>45970</v>
      </c>
      <c r="B180" t="s">
        <v>618</v>
      </c>
      <c r="C180" t="s">
        <v>97</v>
      </c>
    </row>
    <row r="181" spans="1:3" x14ac:dyDescent="0.4">
      <c r="A181" s="1">
        <v>45970</v>
      </c>
      <c r="B181" t="s">
        <v>687</v>
      </c>
      <c r="C181" t="s">
        <v>97</v>
      </c>
    </row>
    <row r="182" spans="1:3" x14ac:dyDescent="0.4">
      <c r="A182" s="1">
        <v>45970</v>
      </c>
      <c r="B182" t="s">
        <v>693</v>
      </c>
      <c r="C182" t="s">
        <v>97</v>
      </c>
    </row>
    <row r="183" spans="1:3" x14ac:dyDescent="0.4">
      <c r="A183" s="1">
        <v>45970</v>
      </c>
      <c r="B183" t="s">
        <v>382</v>
      </c>
      <c r="C183" t="s">
        <v>97</v>
      </c>
    </row>
    <row r="184" spans="1:3" x14ac:dyDescent="0.4">
      <c r="A184" s="1">
        <v>45970</v>
      </c>
      <c r="B184" t="s">
        <v>353</v>
      </c>
      <c r="C184" t="s">
        <v>97</v>
      </c>
    </row>
    <row r="185" spans="1:3" x14ac:dyDescent="0.4">
      <c r="A185" s="1">
        <v>45970</v>
      </c>
      <c r="B185" t="s">
        <v>292</v>
      </c>
      <c r="C185" t="s">
        <v>97</v>
      </c>
    </row>
    <row r="186" spans="1:3" x14ac:dyDescent="0.4">
      <c r="A186" s="1">
        <v>45970</v>
      </c>
      <c r="B186" t="s">
        <v>295</v>
      </c>
      <c r="C186" t="s">
        <v>97</v>
      </c>
    </row>
    <row r="187" spans="1:3" x14ac:dyDescent="0.4">
      <c r="A187" s="1">
        <v>45970</v>
      </c>
      <c r="B187" t="s">
        <v>153</v>
      </c>
      <c r="C187" t="s">
        <v>97</v>
      </c>
    </row>
    <row r="188" spans="1:3" x14ac:dyDescent="0.4">
      <c r="A188" s="1">
        <v>45970</v>
      </c>
      <c r="B188" t="s">
        <v>267</v>
      </c>
      <c r="C188" t="s">
        <v>97</v>
      </c>
    </row>
    <row r="189" spans="1:3" x14ac:dyDescent="0.4">
      <c r="A189" s="1">
        <v>45970</v>
      </c>
      <c r="B189" t="s">
        <v>281</v>
      </c>
      <c r="C189" t="s">
        <v>97</v>
      </c>
    </row>
    <row r="190" spans="1:3" x14ac:dyDescent="0.4">
      <c r="A190" s="1">
        <v>45970</v>
      </c>
      <c r="B190" t="s">
        <v>283</v>
      </c>
      <c r="C190" t="s">
        <v>97</v>
      </c>
    </row>
    <row r="191" spans="1:3" x14ac:dyDescent="0.4">
      <c r="A191" s="1">
        <v>45970</v>
      </c>
      <c r="B191" t="s">
        <v>288</v>
      </c>
      <c r="C191" t="s">
        <v>97</v>
      </c>
    </row>
    <row r="192" spans="1:3" x14ac:dyDescent="0.4">
      <c r="A192" s="1">
        <v>45970</v>
      </c>
      <c r="B192" t="s">
        <v>377</v>
      </c>
      <c r="C192" t="s">
        <v>97</v>
      </c>
    </row>
    <row r="193" spans="1:3" x14ac:dyDescent="0.4">
      <c r="A193" s="1">
        <v>45970</v>
      </c>
      <c r="B193" t="s">
        <v>408</v>
      </c>
      <c r="C193" t="s">
        <v>97</v>
      </c>
    </row>
    <row r="194" spans="1:3" x14ac:dyDescent="0.4">
      <c r="A194" s="1">
        <v>45970</v>
      </c>
      <c r="B194" t="s">
        <v>157</v>
      </c>
      <c r="C194" t="s">
        <v>97</v>
      </c>
    </row>
    <row r="195" spans="1:3" x14ac:dyDescent="0.4">
      <c r="A195" s="1">
        <v>45970</v>
      </c>
      <c r="B195" t="s">
        <v>238</v>
      </c>
      <c r="C195" t="s">
        <v>97</v>
      </c>
    </row>
    <row r="196" spans="1:3" x14ac:dyDescent="0.4">
      <c r="A196" s="1">
        <v>45970</v>
      </c>
      <c r="B196" t="s">
        <v>266</v>
      </c>
      <c r="C196" t="s">
        <v>97</v>
      </c>
    </row>
    <row r="197" spans="1:3" x14ac:dyDescent="0.4">
      <c r="A197" s="1">
        <v>45970</v>
      </c>
      <c r="B197" t="s">
        <v>260</v>
      </c>
      <c r="C197" t="s">
        <v>97</v>
      </c>
    </row>
    <row r="198" spans="1:3" x14ac:dyDescent="0.4">
      <c r="A198" s="1">
        <v>45970</v>
      </c>
      <c r="B198" t="s">
        <v>259</v>
      </c>
      <c r="C198" t="s">
        <v>97</v>
      </c>
    </row>
    <row r="199" spans="1:3" x14ac:dyDescent="0.4">
      <c r="A199" s="1">
        <v>45971</v>
      </c>
      <c r="B199" t="s">
        <v>423</v>
      </c>
      <c r="C199" t="s">
        <v>97</v>
      </c>
    </row>
    <row r="200" spans="1:3" x14ac:dyDescent="0.4">
      <c r="A200" s="1">
        <v>45971</v>
      </c>
      <c r="B200" t="s">
        <v>448</v>
      </c>
      <c r="C200" t="s">
        <v>97</v>
      </c>
    </row>
    <row r="201" spans="1:3" x14ac:dyDescent="0.4">
      <c r="A201" s="1">
        <v>45971</v>
      </c>
      <c r="B201" t="s">
        <v>250</v>
      </c>
      <c r="C201" t="s">
        <v>97</v>
      </c>
    </row>
    <row r="202" spans="1:3" x14ac:dyDescent="0.4">
      <c r="A202" s="1">
        <v>45971</v>
      </c>
      <c r="B202" t="s">
        <v>254</v>
      </c>
      <c r="C202" t="s">
        <v>97</v>
      </c>
    </row>
    <row r="203" spans="1:3" x14ac:dyDescent="0.4">
      <c r="A203" s="1">
        <v>45971</v>
      </c>
      <c r="B203" t="s">
        <v>375</v>
      </c>
      <c r="C203" t="s">
        <v>97</v>
      </c>
    </row>
    <row r="204" spans="1:3" x14ac:dyDescent="0.4">
      <c r="A204" s="1">
        <v>45971</v>
      </c>
      <c r="B204" t="s">
        <v>204</v>
      </c>
      <c r="C204" t="s">
        <v>97</v>
      </c>
    </row>
    <row r="205" spans="1:3" x14ac:dyDescent="0.4">
      <c r="A205" s="1">
        <v>45971</v>
      </c>
      <c r="B205" t="s">
        <v>475</v>
      </c>
      <c r="C205" t="s">
        <v>97</v>
      </c>
    </row>
    <row r="206" spans="1:3" x14ac:dyDescent="0.4">
      <c r="A206" s="1">
        <v>45971</v>
      </c>
      <c r="B206" t="s">
        <v>481</v>
      </c>
      <c r="C206" t="s">
        <v>97</v>
      </c>
    </row>
    <row r="207" spans="1:3" x14ac:dyDescent="0.4">
      <c r="A207" s="1">
        <v>45971</v>
      </c>
      <c r="B207" t="s">
        <v>497</v>
      </c>
      <c r="C207" t="s">
        <v>97</v>
      </c>
    </row>
    <row r="208" spans="1:3" x14ac:dyDescent="0.4">
      <c r="A208" s="1">
        <v>45971</v>
      </c>
      <c r="B208" t="s">
        <v>500</v>
      </c>
      <c r="C208" t="s">
        <v>97</v>
      </c>
    </row>
    <row r="209" spans="1:3" x14ac:dyDescent="0.4">
      <c r="A209" s="1">
        <v>45975</v>
      </c>
      <c r="B209" t="s">
        <v>724</v>
      </c>
      <c r="C209" t="s">
        <v>97</v>
      </c>
    </row>
    <row r="210" spans="1:3" x14ac:dyDescent="0.4">
      <c r="A210" s="1">
        <v>45978</v>
      </c>
      <c r="C210" t="s">
        <v>770</v>
      </c>
    </row>
    <row r="211" spans="1:3" x14ac:dyDescent="0.4">
      <c r="A211" s="1">
        <v>45978</v>
      </c>
      <c r="B211" t="s">
        <v>698</v>
      </c>
      <c r="C211" t="s">
        <v>97</v>
      </c>
    </row>
    <row r="212" spans="1:3" x14ac:dyDescent="0.4">
      <c r="A212" s="1">
        <v>45978</v>
      </c>
      <c r="B212" t="s">
        <v>658</v>
      </c>
      <c r="C212" t="s">
        <v>97</v>
      </c>
    </row>
    <row r="213" spans="1:3" x14ac:dyDescent="0.4">
      <c r="A213" s="1">
        <v>45978</v>
      </c>
      <c r="B213" t="s">
        <v>636</v>
      </c>
      <c r="C213" t="s">
        <v>97</v>
      </c>
    </row>
    <row r="214" spans="1:3" x14ac:dyDescent="0.4">
      <c r="A214" s="1">
        <v>45978</v>
      </c>
      <c r="B214" t="s">
        <v>675</v>
      </c>
      <c r="C214" t="s">
        <v>97</v>
      </c>
    </row>
    <row r="215" spans="1:3" x14ac:dyDescent="0.4">
      <c r="A215" s="1">
        <v>45978</v>
      </c>
      <c r="B215" t="s">
        <v>642</v>
      </c>
      <c r="C215" t="s">
        <v>97</v>
      </c>
    </row>
    <row r="216" spans="1:3" x14ac:dyDescent="0.4">
      <c r="A216" s="1">
        <v>45978</v>
      </c>
      <c r="B216" t="s">
        <v>578</v>
      </c>
      <c r="C216" t="s">
        <v>97</v>
      </c>
    </row>
    <row r="217" spans="1:3" x14ac:dyDescent="0.4">
      <c r="A217" s="1">
        <v>45978</v>
      </c>
      <c r="B217" t="s">
        <v>582</v>
      </c>
      <c r="C217" t="s">
        <v>97</v>
      </c>
    </row>
    <row r="218" spans="1:3" x14ac:dyDescent="0.4">
      <c r="A218" s="1"/>
    </row>
    <row r="219" spans="1:3" x14ac:dyDescent="0.4">
      <c r="A219" s="1"/>
    </row>
    <row r="220" spans="1:3" x14ac:dyDescent="0.4">
      <c r="A220" s="1"/>
    </row>
  </sheetData>
  <conditionalFormatting sqref="B5">
    <cfRule type="duplicateValues" dxfId="153" priority="159"/>
    <cfRule type="duplicateValues" dxfId="152" priority="160"/>
  </conditionalFormatting>
  <conditionalFormatting sqref="B10">
    <cfRule type="duplicateValues" dxfId="151" priority="157"/>
    <cfRule type="duplicateValues" dxfId="150" priority="158"/>
  </conditionalFormatting>
  <conditionalFormatting sqref="B11">
    <cfRule type="duplicateValues" dxfId="149" priority="155"/>
    <cfRule type="duplicateValues" dxfId="148" priority="156"/>
  </conditionalFormatting>
  <conditionalFormatting sqref="B12">
    <cfRule type="duplicateValues" dxfId="147" priority="153"/>
    <cfRule type="duplicateValues" dxfId="146" priority="154"/>
  </conditionalFormatting>
  <conditionalFormatting sqref="B15">
    <cfRule type="duplicateValues" dxfId="145" priority="151"/>
    <cfRule type="duplicateValues" dxfId="144" priority="152"/>
  </conditionalFormatting>
  <conditionalFormatting sqref="B16">
    <cfRule type="duplicateValues" dxfId="143" priority="150"/>
  </conditionalFormatting>
  <conditionalFormatting sqref="B17">
    <cfRule type="duplicateValues" dxfId="142" priority="148"/>
    <cfRule type="duplicateValues" dxfId="141" priority="149"/>
  </conditionalFormatting>
  <conditionalFormatting sqref="B18">
    <cfRule type="duplicateValues" dxfId="140" priority="146"/>
    <cfRule type="duplicateValues" dxfId="139" priority="147"/>
  </conditionalFormatting>
  <conditionalFormatting sqref="B19">
    <cfRule type="duplicateValues" dxfId="138" priority="145"/>
  </conditionalFormatting>
  <conditionalFormatting sqref="B22:B23">
    <cfRule type="duplicateValues" dxfId="137" priority="143"/>
    <cfRule type="duplicateValues" dxfId="136" priority="144"/>
  </conditionalFormatting>
  <conditionalFormatting sqref="B24">
    <cfRule type="duplicateValues" dxfId="135" priority="141"/>
    <cfRule type="duplicateValues" dxfId="134" priority="142"/>
  </conditionalFormatting>
  <conditionalFormatting sqref="B27">
    <cfRule type="duplicateValues" dxfId="133" priority="139"/>
    <cfRule type="duplicateValues" dxfId="132" priority="140"/>
  </conditionalFormatting>
  <conditionalFormatting sqref="B28">
    <cfRule type="duplicateValues" dxfId="131" priority="138"/>
  </conditionalFormatting>
  <conditionalFormatting sqref="B29">
    <cfRule type="duplicateValues" dxfId="130" priority="136"/>
    <cfRule type="duplicateValues" dxfId="129" priority="137"/>
  </conditionalFormatting>
  <conditionalFormatting sqref="B30">
    <cfRule type="duplicateValues" dxfId="128" priority="135"/>
  </conditionalFormatting>
  <conditionalFormatting sqref="B31">
    <cfRule type="duplicateValues" dxfId="127" priority="134"/>
  </conditionalFormatting>
  <conditionalFormatting sqref="B32">
    <cfRule type="duplicateValues" dxfId="126" priority="133"/>
  </conditionalFormatting>
  <conditionalFormatting sqref="B33">
    <cfRule type="duplicateValues" dxfId="125" priority="132"/>
  </conditionalFormatting>
  <conditionalFormatting sqref="B34">
    <cfRule type="duplicateValues" dxfId="124" priority="131"/>
  </conditionalFormatting>
  <conditionalFormatting sqref="B35">
    <cfRule type="duplicateValues" dxfId="123" priority="130"/>
  </conditionalFormatting>
  <conditionalFormatting sqref="B37">
    <cfRule type="duplicateValues" dxfId="122" priority="129"/>
  </conditionalFormatting>
  <conditionalFormatting sqref="B38">
    <cfRule type="duplicateValues" dxfId="121" priority="128"/>
  </conditionalFormatting>
  <conditionalFormatting sqref="B42">
    <cfRule type="duplicateValues" dxfId="120" priority="127"/>
  </conditionalFormatting>
  <conditionalFormatting sqref="B43">
    <cfRule type="duplicateValues" dxfId="119" priority="126"/>
  </conditionalFormatting>
  <conditionalFormatting sqref="B44:B45">
    <cfRule type="duplicateValues" dxfId="118" priority="125"/>
  </conditionalFormatting>
  <conditionalFormatting sqref="B46">
    <cfRule type="duplicateValues" dxfId="117" priority="124"/>
  </conditionalFormatting>
  <conditionalFormatting sqref="B48">
    <cfRule type="duplicateValues" dxfId="116" priority="123"/>
  </conditionalFormatting>
  <conditionalFormatting sqref="B49">
    <cfRule type="duplicateValues" dxfId="115" priority="122"/>
  </conditionalFormatting>
  <conditionalFormatting sqref="B51">
    <cfRule type="duplicateValues" dxfId="114" priority="121"/>
  </conditionalFormatting>
  <conditionalFormatting sqref="B52">
    <cfRule type="duplicateValues" dxfId="113" priority="120"/>
  </conditionalFormatting>
  <conditionalFormatting sqref="B58">
    <cfRule type="duplicateValues" dxfId="112" priority="118"/>
  </conditionalFormatting>
  <conditionalFormatting sqref="B59">
    <cfRule type="duplicateValues" dxfId="111" priority="116"/>
  </conditionalFormatting>
  <conditionalFormatting sqref="B63">
    <cfRule type="duplicateValues" dxfId="110" priority="115"/>
  </conditionalFormatting>
  <conditionalFormatting sqref="B64">
    <cfRule type="duplicateValues" dxfId="109" priority="113"/>
  </conditionalFormatting>
  <conditionalFormatting sqref="B66">
    <cfRule type="duplicateValues" dxfId="108" priority="112"/>
  </conditionalFormatting>
  <conditionalFormatting sqref="B67">
    <cfRule type="duplicateValues" dxfId="107" priority="110"/>
    <cfRule type="duplicateValues" dxfId="106" priority="111"/>
  </conditionalFormatting>
  <conditionalFormatting sqref="B68">
    <cfRule type="duplicateValues" dxfId="105" priority="109"/>
  </conditionalFormatting>
  <conditionalFormatting sqref="B69">
    <cfRule type="duplicateValues" dxfId="104" priority="108"/>
  </conditionalFormatting>
  <conditionalFormatting sqref="B70">
    <cfRule type="duplicateValues" dxfId="103" priority="106"/>
  </conditionalFormatting>
  <conditionalFormatting sqref="B72">
    <cfRule type="duplicateValues" dxfId="102" priority="105"/>
  </conditionalFormatting>
  <conditionalFormatting sqref="B73">
    <cfRule type="duplicateValues" dxfId="101" priority="103"/>
  </conditionalFormatting>
  <conditionalFormatting sqref="B74">
    <cfRule type="duplicateValues" dxfId="100" priority="102"/>
  </conditionalFormatting>
  <conditionalFormatting sqref="B75">
    <cfRule type="duplicateValues" dxfId="99" priority="101"/>
  </conditionalFormatting>
  <conditionalFormatting sqref="B76">
    <cfRule type="duplicateValues" dxfId="98" priority="100"/>
  </conditionalFormatting>
  <conditionalFormatting sqref="B77">
    <cfRule type="duplicateValues" dxfId="97" priority="98"/>
  </conditionalFormatting>
  <conditionalFormatting sqref="B78">
    <cfRule type="duplicateValues" dxfId="96" priority="97"/>
  </conditionalFormatting>
  <conditionalFormatting sqref="B83">
    <cfRule type="duplicateValues" dxfId="95" priority="96"/>
  </conditionalFormatting>
  <conditionalFormatting sqref="B84">
    <cfRule type="duplicateValues" dxfId="94" priority="95"/>
  </conditionalFormatting>
  <conditionalFormatting sqref="B85">
    <cfRule type="duplicateValues" dxfId="93" priority="94"/>
  </conditionalFormatting>
  <conditionalFormatting sqref="B87">
    <cfRule type="duplicateValues" dxfId="92" priority="93"/>
  </conditionalFormatting>
  <conditionalFormatting sqref="B88">
    <cfRule type="duplicateValues" dxfId="91" priority="92"/>
  </conditionalFormatting>
  <conditionalFormatting sqref="B89">
    <cfRule type="duplicateValues" dxfId="90" priority="91"/>
  </conditionalFormatting>
  <conditionalFormatting sqref="B90">
    <cfRule type="duplicateValues" dxfId="89" priority="90"/>
  </conditionalFormatting>
  <conditionalFormatting sqref="B91">
    <cfRule type="duplicateValues" dxfId="88" priority="89"/>
  </conditionalFormatting>
  <conditionalFormatting sqref="B92">
    <cfRule type="duplicateValues" dxfId="87" priority="88"/>
  </conditionalFormatting>
  <conditionalFormatting sqref="B93">
    <cfRule type="duplicateValues" dxfId="86" priority="87"/>
  </conditionalFormatting>
  <conditionalFormatting sqref="B94">
    <cfRule type="duplicateValues" dxfId="85" priority="86"/>
  </conditionalFormatting>
  <conditionalFormatting sqref="B95">
    <cfRule type="duplicateValues" dxfId="84" priority="85"/>
  </conditionalFormatting>
  <conditionalFormatting sqref="B96">
    <cfRule type="duplicateValues" dxfId="83" priority="84"/>
  </conditionalFormatting>
  <conditionalFormatting sqref="B97">
    <cfRule type="duplicateValues" dxfId="82" priority="83"/>
  </conditionalFormatting>
  <conditionalFormatting sqref="B98">
    <cfRule type="duplicateValues" dxfId="81" priority="82"/>
  </conditionalFormatting>
  <conditionalFormatting sqref="B99">
    <cfRule type="duplicateValues" dxfId="80" priority="81"/>
  </conditionalFormatting>
  <conditionalFormatting sqref="B100">
    <cfRule type="duplicateValues" dxfId="79" priority="80"/>
  </conditionalFormatting>
  <conditionalFormatting sqref="B101">
    <cfRule type="duplicateValues" dxfId="78" priority="79"/>
  </conditionalFormatting>
  <conditionalFormatting sqref="B104">
    <cfRule type="duplicateValues" dxfId="77" priority="77"/>
    <cfRule type="duplicateValues" dxfId="76" priority="78"/>
  </conditionalFormatting>
  <conditionalFormatting sqref="B105:B106">
    <cfRule type="duplicateValues" dxfId="75" priority="76"/>
  </conditionalFormatting>
  <conditionalFormatting sqref="B107">
    <cfRule type="duplicateValues" dxfId="74" priority="75"/>
  </conditionalFormatting>
  <conditionalFormatting sqref="B108">
    <cfRule type="duplicateValues" dxfId="73" priority="74"/>
  </conditionalFormatting>
  <conditionalFormatting sqref="B109">
    <cfRule type="duplicateValues" dxfId="72" priority="73"/>
  </conditionalFormatting>
  <conditionalFormatting sqref="B110">
    <cfRule type="duplicateValues" dxfId="71" priority="72"/>
  </conditionalFormatting>
  <conditionalFormatting sqref="B111">
    <cfRule type="duplicateValues" dxfId="70" priority="71"/>
  </conditionalFormatting>
  <conditionalFormatting sqref="B112">
    <cfRule type="duplicateValues" dxfId="69" priority="70"/>
  </conditionalFormatting>
  <conditionalFormatting sqref="B113">
    <cfRule type="duplicateValues" dxfId="68" priority="69"/>
  </conditionalFormatting>
  <conditionalFormatting sqref="B114">
    <cfRule type="duplicateValues" dxfId="67" priority="68"/>
  </conditionalFormatting>
  <conditionalFormatting sqref="B115">
    <cfRule type="duplicateValues" dxfId="66" priority="67"/>
  </conditionalFormatting>
  <conditionalFormatting sqref="B116">
    <cfRule type="duplicateValues" dxfId="65" priority="66"/>
  </conditionalFormatting>
  <conditionalFormatting sqref="B117">
    <cfRule type="duplicateValues" dxfId="64" priority="65"/>
  </conditionalFormatting>
  <conditionalFormatting sqref="B118">
    <cfRule type="duplicateValues" dxfId="63" priority="64"/>
  </conditionalFormatting>
  <conditionalFormatting sqref="B119">
    <cfRule type="duplicateValues" dxfId="62" priority="63"/>
  </conditionalFormatting>
  <conditionalFormatting sqref="B120">
    <cfRule type="duplicateValues" dxfId="61" priority="62"/>
  </conditionalFormatting>
  <conditionalFormatting sqref="B121">
    <cfRule type="duplicateValues" dxfId="60" priority="61"/>
  </conditionalFormatting>
  <conditionalFormatting sqref="B122">
    <cfRule type="duplicateValues" dxfId="59" priority="60"/>
  </conditionalFormatting>
  <conditionalFormatting sqref="B126">
    <cfRule type="duplicateValues" dxfId="58" priority="59"/>
  </conditionalFormatting>
  <conditionalFormatting sqref="B127">
    <cfRule type="duplicateValues" dxfId="57" priority="58"/>
  </conditionalFormatting>
  <conditionalFormatting sqref="B128">
    <cfRule type="duplicateValues" dxfId="56" priority="57"/>
  </conditionalFormatting>
  <conditionalFormatting sqref="B129">
    <cfRule type="duplicateValues" dxfId="55" priority="56"/>
  </conditionalFormatting>
  <conditionalFormatting sqref="B130">
    <cfRule type="duplicateValues" dxfId="54" priority="55"/>
  </conditionalFormatting>
  <conditionalFormatting sqref="B131">
    <cfRule type="duplicateValues" dxfId="53" priority="54"/>
  </conditionalFormatting>
  <conditionalFormatting sqref="B132">
    <cfRule type="duplicateValues" dxfId="52" priority="53"/>
  </conditionalFormatting>
  <conditionalFormatting sqref="B133">
    <cfRule type="duplicateValues" dxfId="51" priority="52"/>
  </conditionalFormatting>
  <conditionalFormatting sqref="B136">
    <cfRule type="duplicateValues" dxfId="50" priority="51"/>
  </conditionalFormatting>
  <conditionalFormatting sqref="B137">
    <cfRule type="duplicateValues" dxfId="49" priority="50"/>
  </conditionalFormatting>
  <conditionalFormatting sqref="B138">
    <cfRule type="duplicateValues" dxfId="48" priority="49"/>
  </conditionalFormatting>
  <conditionalFormatting sqref="B139">
    <cfRule type="duplicateValues" dxfId="47" priority="48"/>
  </conditionalFormatting>
  <conditionalFormatting sqref="B140">
    <cfRule type="duplicateValues" dxfId="46" priority="47"/>
  </conditionalFormatting>
  <conditionalFormatting sqref="B141">
    <cfRule type="duplicateValues" dxfId="45" priority="46"/>
  </conditionalFormatting>
  <conditionalFormatting sqref="B142">
    <cfRule type="duplicateValues" dxfId="44" priority="45"/>
  </conditionalFormatting>
  <conditionalFormatting sqref="B143">
    <cfRule type="duplicateValues" dxfId="43" priority="44"/>
  </conditionalFormatting>
  <conditionalFormatting sqref="B144">
    <cfRule type="duplicateValues" dxfId="42" priority="43"/>
  </conditionalFormatting>
  <conditionalFormatting sqref="B145">
    <cfRule type="duplicateValues" dxfId="41" priority="42"/>
  </conditionalFormatting>
  <conditionalFormatting sqref="B147">
    <cfRule type="duplicateValues" dxfId="40" priority="41"/>
  </conditionalFormatting>
  <conditionalFormatting sqref="B148">
    <cfRule type="duplicateValues" dxfId="39" priority="40"/>
  </conditionalFormatting>
  <conditionalFormatting sqref="B149">
    <cfRule type="duplicateValues" dxfId="38" priority="39"/>
  </conditionalFormatting>
  <conditionalFormatting sqref="B150">
    <cfRule type="duplicateValues" dxfId="37" priority="38"/>
  </conditionalFormatting>
  <conditionalFormatting sqref="B151">
    <cfRule type="duplicateValues" dxfId="36" priority="37"/>
  </conditionalFormatting>
  <conditionalFormatting sqref="B152">
    <cfRule type="duplicateValues" dxfId="35" priority="36"/>
  </conditionalFormatting>
  <conditionalFormatting sqref="B153">
    <cfRule type="duplicateValues" dxfId="34" priority="35"/>
  </conditionalFormatting>
  <conditionalFormatting sqref="B154">
    <cfRule type="duplicateValues" dxfId="33" priority="34"/>
  </conditionalFormatting>
  <conditionalFormatting sqref="B155">
    <cfRule type="duplicateValues" dxfId="32" priority="33"/>
  </conditionalFormatting>
  <conditionalFormatting sqref="B156">
    <cfRule type="duplicateValues" dxfId="31" priority="32"/>
  </conditionalFormatting>
  <conditionalFormatting sqref="B157">
    <cfRule type="duplicateValues" dxfId="30" priority="31"/>
  </conditionalFormatting>
  <conditionalFormatting sqref="B171">
    <cfRule type="duplicateValues" dxfId="29" priority="30"/>
  </conditionalFormatting>
  <conditionalFormatting sqref="B172">
    <cfRule type="duplicateValues" dxfId="28" priority="29"/>
  </conditionalFormatting>
  <conditionalFormatting sqref="B174">
    <cfRule type="duplicateValues" dxfId="27" priority="28"/>
  </conditionalFormatting>
  <conditionalFormatting sqref="B177:B178">
    <cfRule type="duplicateValues" dxfId="26" priority="27"/>
  </conditionalFormatting>
  <conditionalFormatting sqref="B181">
    <cfRule type="duplicateValues" dxfId="25" priority="26"/>
  </conditionalFormatting>
  <conditionalFormatting sqref="B182">
    <cfRule type="duplicateValues" dxfId="24" priority="25"/>
  </conditionalFormatting>
  <conditionalFormatting sqref="B183">
    <cfRule type="duplicateValues" dxfId="23" priority="24"/>
  </conditionalFormatting>
  <conditionalFormatting sqref="B184">
    <cfRule type="duplicateValues" dxfId="22" priority="23"/>
  </conditionalFormatting>
  <conditionalFormatting sqref="B185">
    <cfRule type="duplicateValues" dxfId="21" priority="22"/>
  </conditionalFormatting>
  <conditionalFormatting sqref="B186">
    <cfRule type="duplicateValues" dxfId="20" priority="21"/>
  </conditionalFormatting>
  <conditionalFormatting sqref="B188">
    <cfRule type="duplicateValues" dxfId="19" priority="20"/>
  </conditionalFormatting>
  <conditionalFormatting sqref="B189">
    <cfRule type="duplicateValues" dxfId="18" priority="19"/>
  </conditionalFormatting>
  <conditionalFormatting sqref="B190">
    <cfRule type="duplicateValues" dxfId="17" priority="18"/>
  </conditionalFormatting>
  <conditionalFormatting sqref="B191">
    <cfRule type="duplicateValues" dxfId="16" priority="17"/>
  </conditionalFormatting>
  <conditionalFormatting sqref="B192">
    <cfRule type="duplicateValues" dxfId="15" priority="16"/>
  </conditionalFormatting>
  <conditionalFormatting sqref="B193">
    <cfRule type="duplicateValues" dxfId="14" priority="15"/>
  </conditionalFormatting>
  <conditionalFormatting sqref="B195">
    <cfRule type="duplicateValues" dxfId="13" priority="14"/>
  </conditionalFormatting>
  <conditionalFormatting sqref="B196">
    <cfRule type="duplicateValues" dxfId="12" priority="13"/>
  </conditionalFormatting>
  <conditionalFormatting sqref="B197">
    <cfRule type="duplicateValues" dxfId="11" priority="12"/>
  </conditionalFormatting>
  <conditionalFormatting sqref="B198">
    <cfRule type="duplicateValues" dxfId="10" priority="11"/>
  </conditionalFormatting>
  <conditionalFormatting sqref="B199">
    <cfRule type="duplicateValues" dxfId="9" priority="10"/>
  </conditionalFormatting>
  <conditionalFormatting sqref="B200">
    <cfRule type="duplicateValues" dxfId="8" priority="9"/>
  </conditionalFormatting>
  <conditionalFormatting sqref="B201">
    <cfRule type="duplicateValues" dxfId="7" priority="8"/>
  </conditionalFormatting>
  <conditionalFormatting sqref="B202">
    <cfRule type="duplicateValues" dxfId="6" priority="7"/>
  </conditionalFormatting>
  <conditionalFormatting sqref="B203">
    <cfRule type="duplicateValues" dxfId="5" priority="6"/>
  </conditionalFormatting>
  <conditionalFormatting sqref="B204">
    <cfRule type="duplicateValues" dxfId="4" priority="5"/>
  </conditionalFormatting>
  <conditionalFormatting sqref="B205">
    <cfRule type="duplicateValues" dxfId="3" priority="4"/>
  </conditionalFormatting>
  <conditionalFormatting sqref="B206">
    <cfRule type="duplicateValues" dxfId="2" priority="3"/>
  </conditionalFormatting>
  <conditionalFormatting sqref="B207">
    <cfRule type="duplicateValues" dxfId="1" priority="2"/>
  </conditionalFormatting>
  <conditionalFormatting sqref="B215">
    <cfRule type="duplicateValues" dxfId="0"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B2CA5-879F-3640-8AF9-56395EF3FA0F}">
  <dimension ref="A1:C10"/>
  <sheetViews>
    <sheetView zoomScale="208" workbookViewId="0">
      <selection activeCell="A3" sqref="A3"/>
    </sheetView>
  </sheetViews>
  <sheetFormatPr defaultColWidth="10.6640625" defaultRowHeight="16" x14ac:dyDescent="0.4"/>
  <cols>
    <col min="1" max="1" width="15.83203125" style="12" customWidth="1"/>
    <col min="2" max="2" width="10.83203125" style="16"/>
    <col min="3" max="3" width="10.83203125" style="10"/>
  </cols>
  <sheetData>
    <row r="1" spans="1:3" ht="26" x14ac:dyDescent="0.6">
      <c r="A1" s="11" t="s">
        <v>399</v>
      </c>
      <c r="B1" s="15">
        <f>COUNTA(sum!A:A) -1</f>
        <v>246</v>
      </c>
      <c r="C1" s="14">
        <f>COUNTIF(sum!I:I, "completed")/B1</f>
        <v>0.80081300813008127</v>
      </c>
    </row>
    <row r="2" spans="1:3" ht="22" customHeight="1" x14ac:dyDescent="0.4">
      <c r="A2" s="13" t="s">
        <v>400</v>
      </c>
      <c r="B2" s="16">
        <f>COUNTA(sum!G:G) -1</f>
        <v>49</v>
      </c>
      <c r="C2" s="10">
        <f>COUNTIFS(sum!I:I,"completed", sum!G:G, "&lt;&gt;") / B2</f>
        <v>0.89795918367346939</v>
      </c>
    </row>
    <row r="3" spans="1:3" ht="21" customHeight="1" x14ac:dyDescent="0.4">
      <c r="A3" s="13" t="s">
        <v>774</v>
      </c>
      <c r="B3" s="16">
        <f>COUNTA(sum!K:K) -1</f>
        <v>50</v>
      </c>
      <c r="C3" s="10">
        <f>COUNTIFS(sum!I:I,"completed", sum!K:K, "&lt;&gt;") / B3</f>
        <v>0.9</v>
      </c>
    </row>
    <row r="5" spans="1:3" ht="26" x14ac:dyDescent="0.6">
      <c r="A5" s="11" t="s">
        <v>401</v>
      </c>
      <c r="B5" s="15">
        <f>COUNTA(sum!J:J) -1</f>
        <v>246</v>
      </c>
      <c r="C5" s="14">
        <f>B5/B1</f>
        <v>1</v>
      </c>
    </row>
    <row r="6" spans="1:3" x14ac:dyDescent="0.4">
      <c r="A6" s="13" t="s">
        <v>402</v>
      </c>
      <c r="B6" s="16">
        <f>COUNTIFS(sum!J:J,"no news")</f>
        <v>242</v>
      </c>
      <c r="C6" s="10">
        <f>B6/$B$5</f>
        <v>0.98373983739837401</v>
      </c>
    </row>
    <row r="7" spans="1:3" x14ac:dyDescent="0.4">
      <c r="A7" s="13" t="s">
        <v>403</v>
      </c>
      <c r="B7" s="16">
        <f>COUNTIFS(sum!J:J,"rejected")</f>
        <v>4</v>
      </c>
      <c r="C7" s="10">
        <f t="shared" ref="C7:C10" si="0">B7/$B$5</f>
        <v>1.6260162601626018E-2</v>
      </c>
    </row>
    <row r="8" spans="1:3" x14ac:dyDescent="0.4">
      <c r="A8" s="13" t="s">
        <v>404</v>
      </c>
      <c r="B8" s="16">
        <f>COUNTIFS(sum!J:J,"interview")</f>
        <v>0</v>
      </c>
      <c r="C8" s="10">
        <f t="shared" si="0"/>
        <v>0</v>
      </c>
    </row>
    <row r="9" spans="1:3" x14ac:dyDescent="0.4">
      <c r="A9" s="18" t="s">
        <v>405</v>
      </c>
      <c r="B9" s="16">
        <f>COUNTIFS(sum!J:J,"fly out")</f>
        <v>0</v>
      </c>
      <c r="C9" s="10">
        <f t="shared" si="0"/>
        <v>0</v>
      </c>
    </row>
    <row r="10" spans="1:3" x14ac:dyDescent="0.4">
      <c r="A10" s="13" t="s">
        <v>406</v>
      </c>
      <c r="B10" s="16">
        <f>COUNTIFS(sum!J:J,"offer")</f>
        <v>0</v>
      </c>
      <c r="C10" s="10">
        <f t="shared" si="0"/>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vt:lpstr>
      <vt:lpstr>timeline</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cp:lastPrinted>2025-11-03T02:30:38Z</cp:lastPrinted>
  <dcterms:created xsi:type="dcterms:W3CDTF">2025-09-09T01:31:50Z</dcterms:created>
  <dcterms:modified xsi:type="dcterms:W3CDTF">2025-11-18T05:12:17Z</dcterms:modified>
</cp:coreProperties>
</file>