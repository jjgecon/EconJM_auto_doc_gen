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D80B516F-7A6D-497D-9AA7-E31BF4D26662}"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sum!$A$1:$V$267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3" l="1"/>
  <c r="B8" i="3"/>
  <c r="B10" i="3"/>
  <c r="D1" i="3"/>
  <c r="B6" i="3"/>
  <c r="B3" i="3"/>
  <c r="C3" i="3" s="1"/>
  <c r="B5" i="3"/>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4">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bk>
      <extLst>
        <ext uri="{3e2802c4-a4d2-4d8b-9148-e3be6c30e623}">
          <xlrd:rvb i="3219"/>
        </ext>
      </extLst>
    </bk>
  </futureMetadata>
  <valueMetadata count="10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valueMetadata>
</metadata>
</file>

<file path=xl/sharedStrings.xml><?xml version="1.0" encoding="utf-8"?>
<sst xmlns="http://schemas.openxmlformats.org/spreadsheetml/2006/main" count="2769" uniqueCount="872">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</sst>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2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205" Type="http://schemas.openxmlformats.org/officeDocument/2006/relationships/hyperlink" Target="https://www.bing.com/th?id=OSK.gYPtm5v9C4-FDIvBrAif23Q85Oul0ZWNE0uP7Z6D2gc&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206" Type="http://schemas.openxmlformats.org/officeDocument/2006/relationships/hyperlink" Target="https://www.bing.com/images/search?form=xlimg&amp;q=Ukraine"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Srd>
</file>

<file path=xl/richData/rdarray.xml><?xml version="1.0" encoding="utf-8"?>
<arrayData xmlns="http://schemas.microsoft.com/office/spreadsheetml/2017/richdata2" count="196">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 r="3">
    <v t="r">3239</v>
    <v t="r">3240</v>
    <v t="r">3241</v>
  </a>
  <a r="1">
    <v t="s">Ukrainian language</v>
  </a>
  <a r="27">
    <v t="r">3225</v>
    <v t="r">3253</v>
    <v t="r">3254</v>
    <v t="r">3255</v>
    <v t="r">3256</v>
    <v t="r">3257</v>
    <v t="r">3258</v>
    <v t="r">3259</v>
    <v t="r">3260</v>
    <v t="r">3261</v>
    <v t="r">3262</v>
    <v t="r">3263</v>
    <v t="r">3264</v>
    <v t="r">3265</v>
    <v t="r">3266</v>
    <v t="r">3267</v>
    <v t="r">3268</v>
    <v t="r">3269</v>
    <v t="r">3270</v>
    <v t="r">3271</v>
    <v t="r">3272</v>
    <v t="r">3273</v>
    <v t="r">3274</v>
    <v t="r">3275</v>
    <v t="r">3276</v>
    <v t="r">3277</v>
    <v t="r">2725</v>
  </a>
  <a r="1">
    <v t="s">Eastern European Time</v>
  </a>
</arrayData>
</file>

<file path=xl/richData/rdrichvalue.xml><?xml version="1.0" encoding="utf-8"?>
<rvData xmlns="http://schemas.microsoft.com/office/spreadsheetml/2017/richdata" count="3285">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 s="0">
    <v>536870912</v>
    <v>Ukraine</v>
    <v>ad599477-9e6d-4a0e-bab5-0edf9db7115a</v>
    <v>en-US</v>
    <v>Map</v>
  </rv>
  <rv s="1">
    <fb>0.71665314436637995</fb>
    <v>19</v>
  </rv>
  <rv s="1">
    <fb>603550</fb>
    <v>8</v>
  </rv>
  <rv s="1">
    <fb>297000</fb>
    <v>8</v>
  </rv>
  <rv s="1">
    <fb>8.6999999999999993</fb>
    <v>18</v>
  </rv>
  <rv s="1">
    <fb>380</fb>
    <v>39</v>
  </rv>
  <rv s="0">
    <v>536870912</v>
    <v>Kyiv</v>
    <v>79c78723-042d-4572-bc87-599fa1203134</v>
    <v>en-US</v>
    <v>Map</v>
  </rv>
  <rv s="1">
    <fb>202249.71799999999</fb>
    <v>8</v>
  </rv>
  <rv s="1">
    <fb>281.658595641646</fb>
    <v>40</v>
  </rv>
  <rv s="1">
    <fb>7.8867174561113002E-2</fb>
    <v>19</v>
  </rv>
  <rv s="1">
    <fb>3418.56924154441</fb>
    <v>8</v>
  </rv>
  <rv s="1">
    <fb>1.3009999999999999</fb>
    <v>18</v>
  </rv>
  <rv s="1">
    <fb>0.167080388142165</fb>
    <v>19</v>
  </rv>
  <rv s="1">
    <fb>75.3495057807649</fb>
    <v>41</v>
  </rv>
  <rv s="1">
    <fb>0.83</fb>
    <v>42</v>
  </rv>
  <rv s="1">
    <fb>153781069118.14801</fb>
    <v>17</v>
  </rv>
  <rv s="1">
    <fb>0.99040940000000011</fb>
    <v>19</v>
  </rv>
  <rv s="1">
    <fb>0.82671180000000011</fb>
    <v>19</v>
  </rv>
  <rv s="2">
    <v>102</v>
    <v>6</v>
    <v>470</v>
    <v>7</v>
    <v>0</v>
    <v>Image of Ukraine</v>
  </rv>
  <rv s="1">
    <fb>7.5</fb>
    <v>41</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192</v>
  </rv>
  <rv s="4">
    <v>https://www.bing.com/search?q=ukraine&amp;form=skydnc</v>
    <v>Learn more on Bing</v>
  </rv>
  <rv s="1">
    <fb>71.582682926829307</fb>
    <v>41</v>
  </rv>
  <rv s="1">
    <fb>4415440000</fb>
    <v>17</v>
  </rv>
  <rv s="1">
    <fb>0.84</fb>
    <v>42</v>
  </rv>
  <rv s="3">
    <v>193</v>
  </rv>
  <rv s="1">
    <fb>0.47811215909999999</fb>
    <v>19</v>
  </rv>
  <rv s="1">
    <fb>2.9923000000000002</fb>
    <v>18</v>
  </rv>
  <rv s="1">
    <fb>38000000</fb>
    <v>8</v>
  </rv>
  <rv s="1">
    <fb>0.36099999999999999</fb>
    <v>19</v>
  </rv>
  <rv s="1">
    <fb>0.54151000976562502</fb>
    <v>19</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194</v>
  </rv>
  <rv s="1">
    <fb>0.201408893342575</fb>
    <v>19</v>
  </rv>
  <rv s="3">
    <v>195</v>
  </rv>
  <rv s="1">
    <fb>0.45200000000000001</fb>
    <v>19</v>
  </rv>
  <rv s="1">
    <fb>8.8819999694824195E-2</fb>
    <v>43</v>
  </rv>
  <rv s="1">
    <fb>30835699</fb>
    <v>8</v>
  </rv>
  <rv s="7">
    <v>#VALUE!</v>
    <v>en-US</v>
    <v>ad599477-9e6d-4a0e-bab5-0edf9db7115a</v>
    <v>536870912</v>
    <v>1</v>
    <v>473</v>
    <v>37</v>
    <v>Ukraine</v>
    <v>4</v>
    <v>5</v>
    <v>Map</v>
    <v>6</v>
    <v>474</v>
    <v>UA</v>
    <v>3220</v>
    <v>3221</v>
    <v>3222</v>
    <v>3223</v>
    <v>3224</v>
    <v>3225</v>
    <v>3226</v>
    <v>3227</v>
    <v>3228</v>
    <v>UAH</v>
    <v>Ukraine is a country in Eastern Europe. It is the second-largest country in Europe after Russia, which borders it to the east and northeast. Ukraine also borders Belarus to the north; Poland and Slovakia to the west; Hungary, Romania and Moldova ...</v>
    <v>3229</v>
    <v>3230</v>
    <v>3231</v>
    <v>3232</v>
    <v>3233</v>
    <v>3234</v>
    <v>3235</v>
    <v>3236</v>
    <v>3237</v>
    <v>3238</v>
    <v>3225</v>
    <v>3242</v>
    <v>3243</v>
    <v>3244</v>
    <v>3245</v>
    <v>74</v>
    <v>3246</v>
    <v>Ukraine</v>
    <v>National anthem of Ukraine</v>
    <v>3247</v>
    <v>Україна</v>
    <v>3248</v>
    <v>3249</v>
    <v>3250</v>
    <v>786</v>
    <v>3192</v>
    <v>3251</v>
    <v>175</v>
    <v>708</v>
    <v>178</v>
    <v>2589</v>
    <v>3252</v>
    <v>3278</v>
    <v>3279</v>
    <v>3280</v>
    <v>3281</v>
    <v>3282</v>
    <v>Ukraine</v>
    <v>3283</v>
    <v>mdp/vdpid/241</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75">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21</v>
      <v>469</v>
      <v>470</v>
      <v>470</v>
      <v>24</v>
      <v>470</v>
      <v>470</v>
      <v>470</v>
      <v>471</v>
      <v>470</v>
      <v>470</v>
      <v>471</v>
      <v>470</v>
      <v>470</v>
      <v>472</v>
      <v>26</v>
      <v>469</v>
      <v>472</v>
      <v>27</v>
      <v>470</v>
      <v>472</v>
      <v>28</v>
      <v>29</v>
      <v>30</v>
      <v>472</v>
      <v>472</v>
      <v>470</v>
      <v>472</v>
      <v>31</v>
      <v>32</v>
      <v>33</v>
      <v>34</v>
      <v>472</v>
      <v>469</v>
      <v>472</v>
      <v>472</v>
      <v>472</v>
      <v>472</v>
      <v>472</v>
      <v>472</v>
      <v>472</v>
      <v>472</v>
      <v>472</v>
      <v>472</v>
      <v>35</v>
    </spb>
    <spb s="12">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printerSettings" Target="../printerSettings/printerSettings1.bin"/><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75"/>
  <sheetViews>
    <sheetView zoomScale="145" zoomScaleNormal="145" workbookViewId="0">
      <pane ySplit="1" topLeftCell="A178" activePane="bottomLeft" state="frozen"/>
      <selection pane="bottomLeft" activeCell="A187" sqref="A187"/>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403</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402</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404</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405</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403</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403</v>
      </c>
      <c r="M70" s="2" t="s">
        <v>196</v>
      </c>
      <c r="N70" t="e" vm="9">
        <v>#VALUE!</v>
      </c>
      <c r="O70" t="s">
        <v>11</v>
      </c>
      <c r="Q70" t="s">
        <v>776</v>
      </c>
      <c r="R70" s="1">
        <v>45971</v>
      </c>
      <c r="T70">
        <v>1</v>
      </c>
      <c r="U70">
        <v>1</v>
      </c>
      <c r="V70">
        <v>1</v>
      </c>
    </row>
    <row r="71" spans="1:22" x14ac:dyDescent="0.4">
      <c r="A71" s="4" t="s">
        <v>314</v>
      </c>
      <c r="C71" t="s">
        <v>315</v>
      </c>
      <c r="D71" s="1">
        <v>45966</v>
      </c>
      <c r="E71" t="s">
        <v>15</v>
      </c>
      <c r="G71">
        <v>1</v>
      </c>
      <c r="I71" t="s">
        <v>96</v>
      </c>
      <c r="J71" t="s">
        <v>403</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s="4" t="s">
        <v>327</v>
      </c>
      <c r="B89" s="19"/>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C113" t="s">
        <v>390</v>
      </c>
      <c r="D113" s="1">
        <v>45971</v>
      </c>
      <c r="E113" t="s">
        <v>15</v>
      </c>
      <c r="G113">
        <v>2</v>
      </c>
      <c r="I113" t="s">
        <v>96</v>
      </c>
      <c r="J113" t="s">
        <v>402</v>
      </c>
      <c r="K113" t="s">
        <v>309</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309</v>
      </c>
      <c r="L114" s="1">
        <v>45986</v>
      </c>
      <c r="M114" t="s">
        <v>386</v>
      </c>
      <c r="N114" t="e" vm="68">
        <v>#VALUE!</v>
      </c>
      <c r="O114" t="s">
        <v>11</v>
      </c>
      <c r="Q114" t="s">
        <v>776</v>
      </c>
      <c r="R114" s="1">
        <v>45982</v>
      </c>
      <c r="T114">
        <v>1</v>
      </c>
      <c r="U114">
        <v>1</v>
      </c>
      <c r="V114">
        <v>0</v>
      </c>
    </row>
    <row r="115" spans="1:22" x14ac:dyDescent="0.4">
      <c r="A115" s="4" t="s">
        <v>342</v>
      </c>
      <c r="B115" s="19"/>
      <c r="C115" t="s">
        <v>346</v>
      </c>
      <c r="D115" s="1">
        <v>45971</v>
      </c>
      <c r="E115" t="s">
        <v>345</v>
      </c>
      <c r="F115" t="s">
        <v>344</v>
      </c>
      <c r="G115">
        <v>3</v>
      </c>
      <c r="H115" s="2" t="s">
        <v>347</v>
      </c>
      <c r="I115" t="s">
        <v>96</v>
      </c>
      <c r="J115" t="s">
        <v>402</v>
      </c>
      <c r="K115" t="s">
        <v>309</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403</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96</v>
      </c>
      <c r="J151" t="s">
        <v>402</v>
      </c>
      <c r="M151" t="s">
        <v>741</v>
      </c>
      <c r="N151" t="e" vm="29">
        <v>#VALUE!</v>
      </c>
      <c r="O151" t="s">
        <v>26</v>
      </c>
      <c r="Q151" t="s">
        <v>776</v>
      </c>
      <c r="R151" s="1">
        <v>45979</v>
      </c>
      <c r="T151">
        <v>1</v>
      </c>
      <c r="U151">
        <v>0</v>
      </c>
      <c r="V151">
        <v>0</v>
      </c>
    </row>
    <row r="152" spans="1:22" x14ac:dyDescent="0.4">
      <c r="A152" s="4" t="s">
        <v>747</v>
      </c>
      <c r="C152" t="s">
        <v>777</v>
      </c>
      <c r="D152" s="1">
        <v>45971</v>
      </c>
      <c r="E152" s="2" t="s">
        <v>749</v>
      </c>
      <c r="G152">
        <v>1</v>
      </c>
      <c r="I152" t="s">
        <v>96</v>
      </c>
      <c r="J152" t="s">
        <v>402</v>
      </c>
      <c r="K152" t="s">
        <v>309</v>
      </c>
      <c r="L152" s="1">
        <v>45986</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309</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309</v>
      </c>
      <c r="L154" s="1">
        <v>45986</v>
      </c>
      <c r="M154" s="2" t="s">
        <v>139</v>
      </c>
      <c r="N154" t="e" vm="77">
        <v>#VALUE!</v>
      </c>
      <c r="O154" t="s">
        <v>11</v>
      </c>
      <c r="Q154" t="s">
        <v>776</v>
      </c>
      <c r="R154" s="1">
        <v>45986</v>
      </c>
      <c r="T154">
        <v>1</v>
      </c>
      <c r="U154">
        <v>1</v>
      </c>
      <c r="V154">
        <v>1</v>
      </c>
    </row>
    <row r="155" spans="1:22" x14ac:dyDescent="0.4">
      <c r="A155" s="4" t="s">
        <v>140</v>
      </c>
      <c r="C155" t="s">
        <v>633</v>
      </c>
      <c r="D155" s="1">
        <v>45976</v>
      </c>
      <c r="E155" t="s">
        <v>15</v>
      </c>
      <c r="G155">
        <v>2</v>
      </c>
      <c r="I155" t="s">
        <v>96</v>
      </c>
      <c r="J155" t="s">
        <v>402</v>
      </c>
      <c r="K155" t="s">
        <v>309</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404</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B166" s="19"/>
      <c r="D166" s="1">
        <v>45976</v>
      </c>
      <c r="E166" t="s">
        <v>15</v>
      </c>
      <c r="I166" t="s">
        <v>96</v>
      </c>
      <c r="J166" t="s">
        <v>402</v>
      </c>
      <c r="K166" t="s">
        <v>309</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309</v>
      </c>
      <c r="L169" s="1">
        <v>45986</v>
      </c>
      <c r="M169" t="s">
        <v>700</v>
      </c>
      <c r="N169" t="e" vm="81">
        <v>#VALUE!</v>
      </c>
      <c r="O169" t="s">
        <v>11</v>
      </c>
      <c r="Q169" t="s">
        <v>776</v>
      </c>
      <c r="R169" s="1">
        <v>45986</v>
      </c>
      <c r="T169">
        <v>1</v>
      </c>
      <c r="U169">
        <v>0</v>
      </c>
      <c r="V169">
        <v>0</v>
      </c>
    </row>
    <row r="170" spans="1:22" x14ac:dyDescent="0.4">
      <c r="A170" s="4" t="s">
        <v>658</v>
      </c>
      <c r="B170" s="19"/>
      <c r="C170" t="s">
        <v>659</v>
      </c>
      <c r="D170" s="1">
        <v>45981</v>
      </c>
      <c r="E170" t="s">
        <v>15</v>
      </c>
      <c r="G170">
        <v>3</v>
      </c>
      <c r="H170" s="2" t="s">
        <v>660</v>
      </c>
      <c r="I170" t="s">
        <v>96</v>
      </c>
      <c r="J170" t="s">
        <v>402</v>
      </c>
      <c r="K170" t="s">
        <v>309</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309</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309</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309</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309</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309</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309</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309</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309</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96</v>
      </c>
      <c r="J183" t="s">
        <v>402</v>
      </c>
      <c r="M183" t="s">
        <v>591</v>
      </c>
      <c r="N183" t="e" vm="82">
        <v>#VALUE!</v>
      </c>
      <c r="O183" t="s">
        <v>11</v>
      </c>
      <c r="Q183" t="s">
        <v>776</v>
      </c>
      <c r="R183" s="1">
        <v>45992</v>
      </c>
      <c r="T183">
        <v>1</v>
      </c>
      <c r="U183">
        <v>0</v>
      </c>
      <c r="V183">
        <v>1</v>
      </c>
    </row>
    <row r="184" spans="1:22" x14ac:dyDescent="0.4">
      <c r="A184" s="4" t="s">
        <v>587</v>
      </c>
      <c r="C184" t="s">
        <v>778</v>
      </c>
      <c r="D184" s="1">
        <v>45981</v>
      </c>
      <c r="E184" t="s">
        <v>40</v>
      </c>
      <c r="F184" t="s">
        <v>588</v>
      </c>
      <c r="G184">
        <v>1</v>
      </c>
      <c r="I184" t="s">
        <v>96</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404</v>
      </c>
      <c r="M186" t="s">
        <v>249</v>
      </c>
      <c r="N186" t="e" vm="87">
        <v>#VALUE!</v>
      </c>
      <c r="O186" t="s">
        <v>26</v>
      </c>
      <c r="Q186" t="s">
        <v>776</v>
      </c>
      <c r="R186" s="1">
        <v>46006</v>
      </c>
      <c r="T186">
        <v>1</v>
      </c>
      <c r="U186">
        <v>0</v>
      </c>
      <c r="V186">
        <v>0</v>
      </c>
    </row>
    <row r="187" spans="1:22" x14ac:dyDescent="0.4">
      <c r="A187" t="s">
        <v>682</v>
      </c>
      <c r="D187" s="1">
        <v>45981</v>
      </c>
      <c r="E187" t="s">
        <v>15</v>
      </c>
      <c r="I187" t="s">
        <v>96</v>
      </c>
      <c r="J187" t="s">
        <v>403</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96</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309</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96</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96</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403</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96</v>
      </c>
      <c r="J199" t="s">
        <v>402</v>
      </c>
      <c r="K199" t="s">
        <v>309</v>
      </c>
      <c r="L199" s="1">
        <v>45992</v>
      </c>
      <c r="M199" t="s">
        <v>680</v>
      </c>
      <c r="N199" t="e" vm="41">
        <v>#VALUE!</v>
      </c>
      <c r="O199" t="s">
        <v>11</v>
      </c>
      <c r="Q199" t="s">
        <v>776</v>
      </c>
      <c r="R199" s="1">
        <v>45991</v>
      </c>
      <c r="T199">
        <v>1</v>
      </c>
      <c r="U199">
        <v>0</v>
      </c>
      <c r="V199">
        <v>0</v>
      </c>
    </row>
    <row r="200" spans="1:22" x14ac:dyDescent="0.4">
      <c r="A200" t="s">
        <v>665</v>
      </c>
      <c r="D200" s="1">
        <v>45981</v>
      </c>
      <c r="E200" t="s">
        <v>15</v>
      </c>
      <c r="I200" t="s">
        <v>96</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s="4" t="s">
        <v>572</v>
      </c>
      <c r="C203" t="s">
        <v>779</v>
      </c>
      <c r="D203" s="1">
        <v>45981</v>
      </c>
      <c r="E203" t="s">
        <v>40</v>
      </c>
      <c r="I203" t="s">
        <v>96</v>
      </c>
      <c r="J203" t="s">
        <v>402</v>
      </c>
      <c r="K203" t="s">
        <v>309</v>
      </c>
      <c r="L203" s="1">
        <v>45992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152</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309</v>
      </c>
      <c r="L207" s="1">
        <v>45992</v>
      </c>
      <c r="M207" t="s">
        <v>339</v>
      </c>
      <c r="N207" t="e" vm="77">
        <v>#VALUE!</v>
      </c>
      <c r="O207" t="s">
        <v>11</v>
      </c>
      <c r="Q207" t="s">
        <v>776</v>
      </c>
      <c r="R207" s="1">
        <v>45661</v>
      </c>
      <c r="T207">
        <v>1</v>
      </c>
      <c r="U207">
        <v>0</v>
      </c>
      <c r="V207">
        <v>0</v>
      </c>
    </row>
    <row r="208" spans="1:22" x14ac:dyDescent="0.4">
      <c r="A208" t="s">
        <v>648</v>
      </c>
      <c r="C208" t="s">
        <v>780</v>
      </c>
      <c r="D208" s="1">
        <v>45981</v>
      </c>
      <c r="E208" s="2" t="s">
        <v>650</v>
      </c>
      <c r="I208" t="s">
        <v>96</v>
      </c>
      <c r="J208" t="s">
        <v>403</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96</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s="4" t="s">
        <v>728</v>
      </c>
      <c r="C217" t="s">
        <v>781</v>
      </c>
      <c r="D217" s="1">
        <v>45981</v>
      </c>
      <c r="E217" t="s">
        <v>729</v>
      </c>
      <c r="G217">
        <v>1</v>
      </c>
      <c r="H217" t="s">
        <v>782</v>
      </c>
      <c r="I217" t="s">
        <v>96</v>
      </c>
      <c r="J217" t="s">
        <v>402</v>
      </c>
      <c r="K217" t="s">
        <v>309</v>
      </c>
      <c r="L217" s="1">
        <v>45992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96</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96</v>
      </c>
      <c r="J219" t="s">
        <v>403</v>
      </c>
      <c r="M219" t="s">
        <v>737</v>
      </c>
      <c r="N219" t="e" vm="45">
        <v>#VALUE!</v>
      </c>
      <c r="Q219" t="s">
        <v>776</v>
      </c>
      <c r="R219" s="1">
        <v>45985</v>
      </c>
      <c r="T219">
        <v>1</v>
      </c>
      <c r="U219">
        <v>1</v>
      </c>
      <c r="V219">
        <v>0</v>
      </c>
    </row>
    <row r="220" spans="1:22" x14ac:dyDescent="0.4">
      <c r="A220" t="s">
        <v>537</v>
      </c>
      <c r="D220" s="1">
        <v>45986</v>
      </c>
      <c r="E220" t="s">
        <v>40</v>
      </c>
      <c r="I220" t="s">
        <v>96</v>
      </c>
      <c r="J220" t="s">
        <v>402</v>
      </c>
      <c r="M220" t="s">
        <v>538</v>
      </c>
      <c r="N220" t="e" vm="23">
        <v>#VALUE!</v>
      </c>
      <c r="O220" t="s">
        <v>11</v>
      </c>
      <c r="Q220" t="s">
        <v>776</v>
      </c>
      <c r="R220" s="1">
        <v>46022</v>
      </c>
      <c r="T220">
        <v>1</v>
      </c>
      <c r="U220">
        <v>1</v>
      </c>
      <c r="V220">
        <v>1</v>
      </c>
    </row>
    <row r="221" spans="1:22" x14ac:dyDescent="0.4">
      <c r="A221" t="s">
        <v>717</v>
      </c>
      <c r="D221" s="1">
        <v>45986</v>
      </c>
      <c r="E221" t="s">
        <v>15</v>
      </c>
      <c r="I221" t="s">
        <v>96</v>
      </c>
      <c r="J221" t="s">
        <v>402</v>
      </c>
      <c r="K221" t="s">
        <v>309</v>
      </c>
      <c r="L221" s="1">
        <v>45992</v>
      </c>
      <c r="M221" t="s">
        <v>716</v>
      </c>
      <c r="N221" t="e" vm="60">
        <v>#VALUE!</v>
      </c>
      <c r="O221" t="s">
        <v>11</v>
      </c>
      <c r="Q221" t="s">
        <v>776</v>
      </c>
      <c r="R221" s="1">
        <v>45992</v>
      </c>
      <c r="T221">
        <v>1</v>
      </c>
      <c r="U221">
        <v>0</v>
      </c>
      <c r="V221">
        <v>0</v>
      </c>
    </row>
    <row r="222" spans="1:22" x14ac:dyDescent="0.4">
      <c r="A222" t="s">
        <v>544</v>
      </c>
      <c r="D222" s="1">
        <v>45986</v>
      </c>
      <c r="E222" t="s">
        <v>543</v>
      </c>
      <c r="I222" t="s">
        <v>96</v>
      </c>
      <c r="J222" t="s">
        <v>402</v>
      </c>
      <c r="M222" t="s">
        <v>542</v>
      </c>
      <c r="N222" t="e" vm="8">
        <v>#VALUE!</v>
      </c>
      <c r="O222" t="s">
        <v>11</v>
      </c>
      <c r="Q222" t="s">
        <v>776</v>
      </c>
      <c r="R222" s="1">
        <v>45992</v>
      </c>
      <c r="T222">
        <v>1</v>
      </c>
      <c r="U222">
        <v>0</v>
      </c>
      <c r="V222">
        <v>0</v>
      </c>
    </row>
    <row r="223" spans="1:22" x14ac:dyDescent="0.4">
      <c r="A223" t="s">
        <v>521</v>
      </c>
      <c r="D223" s="1">
        <v>45986</v>
      </c>
      <c r="E223" t="s">
        <v>40</v>
      </c>
      <c r="I223" t="s">
        <v>96</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96</v>
      </c>
      <c r="J224" t="s">
        <v>402</v>
      </c>
      <c r="K224" t="s">
        <v>309</v>
      </c>
      <c r="L224" s="1">
        <v>45992</v>
      </c>
      <c r="M224" t="s">
        <v>709</v>
      </c>
      <c r="N224" t="e" vm="60">
        <v>#VALUE!</v>
      </c>
      <c r="O224" t="s">
        <v>11</v>
      </c>
      <c r="Q224" t="s">
        <v>776</v>
      </c>
      <c r="R224" s="1">
        <v>46006</v>
      </c>
      <c r="T224">
        <v>1</v>
      </c>
      <c r="U224">
        <v>0</v>
      </c>
      <c r="V224">
        <v>0</v>
      </c>
    </row>
    <row r="225" spans="1:22" x14ac:dyDescent="0.4">
      <c r="A225" t="s">
        <v>355</v>
      </c>
      <c r="D225" s="1">
        <v>45986</v>
      </c>
      <c r="E225" t="s">
        <v>357</v>
      </c>
      <c r="I225" t="s">
        <v>96</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96</v>
      </c>
      <c r="J226" t="s">
        <v>402</v>
      </c>
      <c r="M226" t="s">
        <v>742</v>
      </c>
      <c r="N226" t="e" vm="29">
        <v>#VALUE!</v>
      </c>
      <c r="O226" t="s">
        <v>26</v>
      </c>
      <c r="Q226" t="s">
        <v>776</v>
      </c>
      <c r="R226" s="1">
        <v>45992</v>
      </c>
      <c r="T226">
        <v>1</v>
      </c>
      <c r="U226">
        <v>0</v>
      </c>
      <c r="V226">
        <v>0</v>
      </c>
    </row>
    <row r="227" spans="1:22" x14ac:dyDescent="0.4">
      <c r="A227" t="s">
        <v>751</v>
      </c>
      <c r="D227" s="1">
        <v>45986</v>
      </c>
      <c r="E227" t="s">
        <v>15</v>
      </c>
      <c r="I227" t="s">
        <v>96</v>
      </c>
      <c r="J227" t="s">
        <v>402</v>
      </c>
      <c r="M227" t="s">
        <v>750</v>
      </c>
      <c r="N227" t="e" vm="47">
        <v>#VALUE!</v>
      </c>
      <c r="Q227" t="s">
        <v>776</v>
      </c>
      <c r="R227" s="1">
        <v>46082</v>
      </c>
      <c r="T227">
        <v>1</v>
      </c>
      <c r="U227">
        <v>0</v>
      </c>
      <c r="V227">
        <v>1</v>
      </c>
    </row>
    <row r="228" spans="1:22" x14ac:dyDescent="0.4">
      <c r="A228" t="s">
        <v>752</v>
      </c>
      <c r="D228" s="1">
        <v>45986</v>
      </c>
      <c r="E228" t="s">
        <v>15</v>
      </c>
      <c r="I228" t="s">
        <v>96</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1</v>
      </c>
      <c r="I229" t="s">
        <v>96</v>
      </c>
      <c r="J229" t="s">
        <v>402</v>
      </c>
      <c r="K229" t="s">
        <v>309</v>
      </c>
      <c r="L229" s="1">
        <v>45992</v>
      </c>
      <c r="M229" t="s">
        <v>754</v>
      </c>
      <c r="N229" t="e" vm="45">
        <v>#VALUE!</v>
      </c>
      <c r="O229" t="s">
        <v>26</v>
      </c>
      <c r="Q229" t="s">
        <v>776</v>
      </c>
      <c r="R229" s="1">
        <v>46053</v>
      </c>
      <c r="T229">
        <v>1</v>
      </c>
      <c r="U229">
        <v>0</v>
      </c>
      <c r="V229">
        <v>0</v>
      </c>
    </row>
    <row r="230" spans="1:22" x14ac:dyDescent="0.4">
      <c r="A230" t="s">
        <v>756</v>
      </c>
      <c r="D230" s="1">
        <v>45986</v>
      </c>
      <c r="E230" t="s">
        <v>15</v>
      </c>
      <c r="I230" t="s">
        <v>96</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96</v>
      </c>
      <c r="J231" t="s">
        <v>402</v>
      </c>
      <c r="K231" t="s">
        <v>309</v>
      </c>
      <c r="L231" s="1">
        <v>45992</v>
      </c>
      <c r="M231" t="s">
        <v>759</v>
      </c>
      <c r="N231" t="e" vm="25">
        <v>#VALUE!</v>
      </c>
      <c r="O231" t="s">
        <v>11</v>
      </c>
      <c r="Q231" t="s">
        <v>776</v>
      </c>
      <c r="R231" s="1">
        <v>46003</v>
      </c>
      <c r="T231">
        <v>1</v>
      </c>
      <c r="U231">
        <v>1</v>
      </c>
      <c r="V231">
        <v>1</v>
      </c>
    </row>
    <row r="232" spans="1:22" x14ac:dyDescent="0.4">
      <c r="A232" t="s">
        <v>760</v>
      </c>
      <c r="D232" s="1">
        <v>45986</v>
      </c>
      <c r="E232" t="s">
        <v>15</v>
      </c>
      <c r="I232" t="s">
        <v>96</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96</v>
      </c>
      <c r="J233" t="s">
        <v>402</v>
      </c>
      <c r="K233" t="s">
        <v>309</v>
      </c>
      <c r="L233" s="1">
        <v>45992</v>
      </c>
      <c r="M233" t="s">
        <v>762</v>
      </c>
      <c r="N233" t="e" vm="98">
        <v>#VALUE!</v>
      </c>
      <c r="O233" t="s">
        <v>26</v>
      </c>
      <c r="Q233" t="s">
        <v>776</v>
      </c>
      <c r="R233" s="1">
        <v>45993</v>
      </c>
      <c r="T233">
        <v>1</v>
      </c>
      <c r="U233">
        <v>0</v>
      </c>
      <c r="V233">
        <v>0</v>
      </c>
    </row>
    <row r="234" spans="1:22" x14ac:dyDescent="0.4">
      <c r="A234" s="4" t="s">
        <v>765</v>
      </c>
      <c r="D234" s="1">
        <v>45986</v>
      </c>
      <c r="E234" t="s">
        <v>15</v>
      </c>
      <c r="G234">
        <v>1</v>
      </c>
      <c r="I234" t="s">
        <v>96</v>
      </c>
      <c r="J234" t="s">
        <v>402</v>
      </c>
      <c r="K234" t="s">
        <v>309</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96</v>
      </c>
      <c r="J235" t="s">
        <v>404</v>
      </c>
      <c r="K235" t="s">
        <v>309</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96</v>
      </c>
      <c r="J236" t="s">
        <v>402</v>
      </c>
      <c r="K236" t="s">
        <v>309</v>
      </c>
      <c r="L236" s="1">
        <v>45992</v>
      </c>
      <c r="M236" t="s">
        <v>772</v>
      </c>
      <c r="N236" t="e" vm="68">
        <v>#VALUE!</v>
      </c>
      <c r="O236" t="s">
        <v>11</v>
      </c>
      <c r="Q236" t="s">
        <v>776</v>
      </c>
      <c r="R236" s="1">
        <v>45989</v>
      </c>
      <c r="T236">
        <v>1</v>
      </c>
      <c r="U236">
        <v>0</v>
      </c>
      <c r="V236">
        <v>0</v>
      </c>
    </row>
    <row r="237" spans="1:22" x14ac:dyDescent="0.4">
      <c r="A237" t="s">
        <v>414</v>
      </c>
      <c r="D237" s="1">
        <v>45992</v>
      </c>
      <c r="E237" t="s">
        <v>40</v>
      </c>
      <c r="I237" t="s">
        <v>96</v>
      </c>
      <c r="J237" t="s">
        <v>402</v>
      </c>
      <c r="M237" t="s">
        <v>415</v>
      </c>
      <c r="N237" t="e" vm="99">
        <v>#VALUE!</v>
      </c>
      <c r="O237" t="s">
        <v>26</v>
      </c>
      <c r="Q237" t="s">
        <v>776</v>
      </c>
      <c r="R237" s="1">
        <v>45688</v>
      </c>
      <c r="T237">
        <v>1</v>
      </c>
      <c r="U237">
        <v>1</v>
      </c>
      <c r="V237">
        <v>0</v>
      </c>
    </row>
    <row r="238" spans="1:22" x14ac:dyDescent="0.4">
      <c r="A238" t="s">
        <v>655</v>
      </c>
      <c r="D238" s="1">
        <v>45992</v>
      </c>
      <c r="E238" t="s">
        <v>15</v>
      </c>
      <c r="I238" t="s">
        <v>96</v>
      </c>
      <c r="J238" t="s">
        <v>402</v>
      </c>
      <c r="M238" t="s">
        <v>654</v>
      </c>
      <c r="N238" t="e" vm="100">
        <v>#VALUE!</v>
      </c>
      <c r="O238" t="s">
        <v>11</v>
      </c>
      <c r="Q238" t="s">
        <v>776</v>
      </c>
      <c r="R238" s="1">
        <v>46006</v>
      </c>
      <c r="T238">
        <v>1</v>
      </c>
      <c r="U238">
        <v>0</v>
      </c>
      <c r="V238">
        <v>0</v>
      </c>
    </row>
    <row r="239" spans="1:22" x14ac:dyDescent="0.4">
      <c r="A239" t="s">
        <v>613</v>
      </c>
      <c r="D239" s="1">
        <v>45992</v>
      </c>
      <c r="E239" t="s">
        <v>15</v>
      </c>
      <c r="I239" t="s">
        <v>96</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96</v>
      </c>
      <c r="J240" t="s">
        <v>402</v>
      </c>
      <c r="M240" t="s">
        <v>712</v>
      </c>
      <c r="N240" t="e" vm="101">
        <v>#VALUE!</v>
      </c>
      <c r="O240" t="s">
        <v>11</v>
      </c>
      <c r="Q240" t="s">
        <v>776</v>
      </c>
      <c r="R240" s="1">
        <v>46040</v>
      </c>
      <c r="T240">
        <v>1</v>
      </c>
      <c r="U240">
        <v>0</v>
      </c>
      <c r="V240">
        <v>0</v>
      </c>
    </row>
    <row r="241" spans="1:22" x14ac:dyDescent="0.4">
      <c r="A241" t="s">
        <v>568</v>
      </c>
      <c r="D241" s="1">
        <v>45992</v>
      </c>
      <c r="E241" t="s">
        <v>569</v>
      </c>
      <c r="I241" t="s">
        <v>96</v>
      </c>
      <c r="J241" t="s">
        <v>403</v>
      </c>
      <c r="M241" t="s">
        <v>570</v>
      </c>
      <c r="N241" t="e" vm="1">
        <v>#VALUE!</v>
      </c>
      <c r="Q241" t="s">
        <v>776</v>
      </c>
      <c r="R241" s="1">
        <v>46053</v>
      </c>
      <c r="T241">
        <v>0</v>
      </c>
      <c r="U241">
        <v>0</v>
      </c>
      <c r="V241">
        <v>0</v>
      </c>
    </row>
    <row r="242" spans="1:22" x14ac:dyDescent="0.4">
      <c r="A242" t="s">
        <v>791</v>
      </c>
      <c r="D242" s="1">
        <v>45992</v>
      </c>
      <c r="E242" t="s">
        <v>15</v>
      </c>
      <c r="H242" t="s">
        <v>802</v>
      </c>
      <c r="I242" t="s">
        <v>96</v>
      </c>
      <c r="J242" t="s">
        <v>402</v>
      </c>
      <c r="M242" t="s">
        <v>185</v>
      </c>
      <c r="N242" t="e" vm="29">
        <v>#VALUE!</v>
      </c>
      <c r="O242" t="s">
        <v>26</v>
      </c>
      <c r="Q242" t="s">
        <v>776</v>
      </c>
      <c r="R242" s="1">
        <v>46022</v>
      </c>
      <c r="T242">
        <v>1</v>
      </c>
      <c r="U242">
        <v>0</v>
      </c>
      <c r="V242">
        <v>0</v>
      </c>
    </row>
    <row r="243" spans="1:22" x14ac:dyDescent="0.4">
      <c r="A243" t="s">
        <v>792</v>
      </c>
      <c r="C243" t="s">
        <v>794</v>
      </c>
      <c r="D243" s="1">
        <v>45992</v>
      </c>
      <c r="E243" t="s">
        <v>15</v>
      </c>
      <c r="F243" s="2" t="s">
        <v>795</v>
      </c>
      <c r="I243" t="s">
        <v>96</v>
      </c>
      <c r="J243" t="s">
        <v>402</v>
      </c>
      <c r="M243" t="s">
        <v>793</v>
      </c>
      <c r="N243" t="e" vm="29">
        <v>#VALUE!</v>
      </c>
      <c r="O243" t="s">
        <v>26</v>
      </c>
      <c r="Q243" t="s">
        <v>776</v>
      </c>
      <c r="R243" s="1">
        <v>46053</v>
      </c>
      <c r="T243">
        <v>1</v>
      </c>
      <c r="U243">
        <v>0</v>
      </c>
      <c r="V243">
        <v>0</v>
      </c>
    </row>
    <row r="244" spans="1:22" x14ac:dyDescent="0.4">
      <c r="A244" t="s">
        <v>796</v>
      </c>
      <c r="D244" s="1">
        <v>45992</v>
      </c>
      <c r="E244" t="s">
        <v>15</v>
      </c>
      <c r="H244" t="s">
        <v>797</v>
      </c>
      <c r="I244" t="s">
        <v>96</v>
      </c>
      <c r="J244" t="s">
        <v>402</v>
      </c>
      <c r="M244" t="s">
        <v>750</v>
      </c>
      <c r="N244" t="e" vm="47">
        <v>#VALUE!</v>
      </c>
      <c r="O244" t="s">
        <v>26</v>
      </c>
      <c r="Q244" t="s">
        <v>776</v>
      </c>
      <c r="R244" s="1">
        <v>46054</v>
      </c>
      <c r="T244">
        <v>1</v>
      </c>
      <c r="U244">
        <v>0</v>
      </c>
      <c r="V244">
        <v>0</v>
      </c>
    </row>
    <row r="245" spans="1:22" x14ac:dyDescent="0.4">
      <c r="A245" t="s">
        <v>798</v>
      </c>
      <c r="C245" t="s">
        <v>800</v>
      </c>
      <c r="D245" s="1">
        <v>45992</v>
      </c>
      <c r="E245" t="s">
        <v>40</v>
      </c>
      <c r="I245" t="s">
        <v>96</v>
      </c>
      <c r="J245" t="s">
        <v>402</v>
      </c>
      <c r="M245" t="s">
        <v>799</v>
      </c>
      <c r="N245" t="e" vm="70">
        <v>#VALUE!</v>
      </c>
      <c r="O245" t="s">
        <v>11</v>
      </c>
      <c r="Q245" t="s">
        <v>776</v>
      </c>
      <c r="R245" s="1">
        <v>46026</v>
      </c>
      <c r="T245">
        <v>1</v>
      </c>
      <c r="U245">
        <v>0</v>
      </c>
      <c r="V245">
        <v>0</v>
      </c>
    </row>
    <row r="246" spans="1:22" x14ac:dyDescent="0.4">
      <c r="A246" t="s">
        <v>864</v>
      </c>
      <c r="D246" s="1">
        <v>45996</v>
      </c>
      <c r="E246" t="s">
        <v>15</v>
      </c>
      <c r="F246" s="2" t="s">
        <v>865</v>
      </c>
      <c r="I246" t="s">
        <v>96</v>
      </c>
      <c r="J246" t="s">
        <v>402</v>
      </c>
      <c r="M246" t="s">
        <v>720</v>
      </c>
      <c r="N246" t="e" vm="68">
        <v>#VALUE!</v>
      </c>
      <c r="O246" t="s">
        <v>26</v>
      </c>
      <c r="Q246" t="s">
        <v>776</v>
      </c>
      <c r="R246" s="1">
        <v>46005</v>
      </c>
      <c r="T246">
        <v>1</v>
      </c>
      <c r="U246">
        <v>0</v>
      </c>
      <c r="V246">
        <v>0</v>
      </c>
    </row>
    <row r="247" spans="1:22" x14ac:dyDescent="0.4">
      <c r="A247" t="s">
        <v>866</v>
      </c>
      <c r="D247" s="1">
        <v>45996</v>
      </c>
      <c r="E247" t="s">
        <v>15</v>
      </c>
      <c r="I247" t="s">
        <v>96</v>
      </c>
      <c r="J247" t="s">
        <v>402</v>
      </c>
      <c r="M247" t="s">
        <v>397</v>
      </c>
      <c r="N247" t="e" vm="47">
        <v>#VALUE!</v>
      </c>
      <c r="O247" t="s">
        <v>26</v>
      </c>
      <c r="Q247" t="s">
        <v>776</v>
      </c>
      <c r="R247" s="1">
        <v>46001</v>
      </c>
      <c r="T247">
        <v>1</v>
      </c>
      <c r="U247">
        <v>0</v>
      </c>
      <c r="V247">
        <v>0</v>
      </c>
    </row>
    <row r="248" spans="1:22" x14ac:dyDescent="0.4">
      <c r="A248" t="s">
        <v>784</v>
      </c>
      <c r="D248" s="1">
        <v>46006</v>
      </c>
      <c r="E248" t="s">
        <v>40</v>
      </c>
      <c r="F248" t="s">
        <v>785</v>
      </c>
      <c r="I248" t="s">
        <v>23</v>
      </c>
      <c r="J248" t="s">
        <v>402</v>
      </c>
      <c r="K248" t="s">
        <v>244</v>
      </c>
      <c r="L248" s="1">
        <v>46027</v>
      </c>
      <c r="M248" t="s">
        <v>786</v>
      </c>
      <c r="N248" t="e" vm="35">
        <v>#VALUE!</v>
      </c>
      <c r="O248" t="s">
        <v>26</v>
      </c>
      <c r="Q248" t="s">
        <v>776</v>
      </c>
      <c r="R248" s="1">
        <v>46026</v>
      </c>
      <c r="T248">
        <v>1</v>
      </c>
      <c r="U248">
        <v>0</v>
      </c>
      <c r="V248">
        <v>0</v>
      </c>
    </row>
    <row r="249" spans="1:22" x14ac:dyDescent="0.4">
      <c r="A249" t="s">
        <v>838</v>
      </c>
      <c r="D249" s="1">
        <v>46006</v>
      </c>
      <c r="E249" t="s">
        <v>841</v>
      </c>
      <c r="H249" t="s">
        <v>839</v>
      </c>
      <c r="I249" t="s">
        <v>96</v>
      </c>
      <c r="J249" t="s">
        <v>402</v>
      </c>
      <c r="M249" t="s">
        <v>840</v>
      </c>
      <c r="N249" t="e" vm="46">
        <v>#VALUE!</v>
      </c>
      <c r="O249" t="s">
        <v>26</v>
      </c>
      <c r="Q249" t="s">
        <v>776</v>
      </c>
      <c r="R249" s="1">
        <v>46022</v>
      </c>
      <c r="T249">
        <v>1</v>
      </c>
      <c r="U249">
        <v>0</v>
      </c>
      <c r="V249">
        <v>0</v>
      </c>
    </row>
    <row r="250" spans="1:22" x14ac:dyDescent="0.4">
      <c r="A250" t="s">
        <v>662</v>
      </c>
      <c r="D250" s="1">
        <v>46011</v>
      </c>
      <c r="E250" t="s">
        <v>15</v>
      </c>
      <c r="H250" t="s">
        <v>664</v>
      </c>
      <c r="I250" t="s">
        <v>96</v>
      </c>
      <c r="J250" t="s">
        <v>402</v>
      </c>
      <c r="M250" t="s">
        <v>663</v>
      </c>
      <c r="N250" t="e" vm="45">
        <v>#VALUE!</v>
      </c>
      <c r="O250" t="s">
        <v>26</v>
      </c>
      <c r="Q250" t="s">
        <v>776</v>
      </c>
      <c r="R250" s="1">
        <v>46037</v>
      </c>
      <c r="T250">
        <v>1</v>
      </c>
      <c r="U250">
        <v>0</v>
      </c>
      <c r="V250">
        <v>0</v>
      </c>
    </row>
    <row r="251" spans="1:22" x14ac:dyDescent="0.4">
      <c r="A251" t="s">
        <v>722</v>
      </c>
      <c r="C251" t="s">
        <v>723</v>
      </c>
      <c r="D251" s="1">
        <v>46016</v>
      </c>
      <c r="E251" t="s">
        <v>15</v>
      </c>
      <c r="F251" t="s">
        <v>721</v>
      </c>
      <c r="I251" t="s">
        <v>96</v>
      </c>
      <c r="J251" t="s">
        <v>402</v>
      </c>
      <c r="M251" t="s">
        <v>720</v>
      </c>
      <c r="N251" t="e" vm="68">
        <v>#VALUE!</v>
      </c>
      <c r="O251" t="s">
        <v>26</v>
      </c>
      <c r="Q251" t="s">
        <v>776</v>
      </c>
      <c r="R251" s="1">
        <v>45992</v>
      </c>
      <c r="T251">
        <v>1</v>
      </c>
      <c r="U251">
        <v>0</v>
      </c>
      <c r="V251">
        <v>0</v>
      </c>
    </row>
    <row r="252" spans="1:22" x14ac:dyDescent="0.4">
      <c r="A252" s="4" t="s">
        <v>719</v>
      </c>
      <c r="B252" s="19"/>
      <c r="C252" t="s">
        <v>783</v>
      </c>
      <c r="D252" s="1">
        <v>46016</v>
      </c>
      <c r="E252" t="s">
        <v>15</v>
      </c>
      <c r="G252">
        <v>3</v>
      </c>
      <c r="I252" t="s">
        <v>96</v>
      </c>
      <c r="J252" t="s">
        <v>402</v>
      </c>
      <c r="K252" t="s">
        <v>309</v>
      </c>
      <c r="L252" s="1">
        <v>45992</v>
      </c>
      <c r="M252" s="2" t="s">
        <v>718</v>
      </c>
      <c r="N252" t="e" vm="45">
        <v>#VALUE!</v>
      </c>
      <c r="O252" t="s">
        <v>11</v>
      </c>
      <c r="Q252" t="s">
        <v>776</v>
      </c>
      <c r="R252" s="1">
        <v>45996</v>
      </c>
      <c r="T252">
        <v>1</v>
      </c>
      <c r="U252">
        <v>0</v>
      </c>
      <c r="V252">
        <v>0</v>
      </c>
    </row>
    <row r="253" spans="1:22" x14ac:dyDescent="0.4">
      <c r="A253" t="s">
        <v>787</v>
      </c>
      <c r="D253" s="1">
        <v>46016</v>
      </c>
      <c r="E253" t="s">
        <v>15</v>
      </c>
      <c r="I253" t="s">
        <v>96</v>
      </c>
      <c r="J253" t="s">
        <v>402</v>
      </c>
      <c r="M253" t="s">
        <v>788</v>
      </c>
      <c r="N253" t="e" vm="29">
        <v>#VALUE!</v>
      </c>
      <c r="Q253" t="s">
        <v>776</v>
      </c>
      <c r="R253" s="1">
        <v>45992</v>
      </c>
      <c r="T253">
        <v>0</v>
      </c>
      <c r="U253">
        <v>0</v>
      </c>
      <c r="V253">
        <v>0</v>
      </c>
    </row>
    <row r="254" spans="1:22" x14ac:dyDescent="0.4">
      <c r="A254" t="s">
        <v>790</v>
      </c>
      <c r="D254" s="1">
        <v>46016</v>
      </c>
      <c r="E254" t="s">
        <v>15</v>
      </c>
      <c r="I254" t="s">
        <v>96</v>
      </c>
      <c r="J254" t="s">
        <v>402</v>
      </c>
      <c r="M254" t="s">
        <v>789</v>
      </c>
      <c r="N254" t="e" vm="75">
        <v>#VALUE!</v>
      </c>
      <c r="O254" t="s">
        <v>11</v>
      </c>
      <c r="Q254" t="s">
        <v>776</v>
      </c>
      <c r="R254" s="1">
        <v>45992</v>
      </c>
      <c r="T254">
        <v>1</v>
      </c>
      <c r="U254">
        <v>0</v>
      </c>
      <c r="V254">
        <v>0</v>
      </c>
    </row>
    <row r="255" spans="1:22" x14ac:dyDescent="0.4">
      <c r="A255" t="s">
        <v>528</v>
      </c>
      <c r="C255" t="s">
        <v>178</v>
      </c>
      <c r="D255" s="1">
        <v>46023</v>
      </c>
      <c r="E255" t="s">
        <v>529</v>
      </c>
      <c r="I255" t="s">
        <v>96</v>
      </c>
      <c r="J255" t="s">
        <v>402</v>
      </c>
      <c r="M255" t="s">
        <v>530</v>
      </c>
      <c r="N255" t="e" vm="102">
        <v>#VALUE!</v>
      </c>
      <c r="O255" t="s">
        <v>19</v>
      </c>
      <c r="Q255" t="s">
        <v>776</v>
      </c>
      <c r="R255" s="1">
        <v>46041</v>
      </c>
      <c r="T255">
        <v>1</v>
      </c>
      <c r="U255">
        <v>0</v>
      </c>
      <c r="V255">
        <v>1</v>
      </c>
    </row>
    <row r="256" spans="1:22" x14ac:dyDescent="0.4">
      <c r="A256" t="s">
        <v>564</v>
      </c>
      <c r="D256" s="1">
        <v>46023</v>
      </c>
      <c r="E256" t="s">
        <v>565</v>
      </c>
      <c r="I256" t="s">
        <v>96</v>
      </c>
      <c r="J256" t="s">
        <v>402</v>
      </c>
      <c r="M256" t="s">
        <v>566</v>
      </c>
      <c r="N256" t="e" vm="103">
        <v>#VALUE!</v>
      </c>
      <c r="O256" t="s">
        <v>26</v>
      </c>
      <c r="Q256" t="s">
        <v>776</v>
      </c>
      <c r="R256" s="1">
        <v>45664</v>
      </c>
      <c r="T256">
        <v>1</v>
      </c>
      <c r="U256">
        <v>0</v>
      </c>
      <c r="V256">
        <v>0</v>
      </c>
    </row>
    <row r="257" spans="1:22" x14ac:dyDescent="0.4">
      <c r="A257" t="s">
        <v>804</v>
      </c>
      <c r="D257" s="1">
        <v>46023</v>
      </c>
      <c r="E257" s="2" t="s">
        <v>803</v>
      </c>
      <c r="F257" s="2" t="s">
        <v>806</v>
      </c>
      <c r="I257" t="s">
        <v>96</v>
      </c>
      <c r="J257" t="s">
        <v>402</v>
      </c>
      <c r="M257" t="s">
        <v>805</v>
      </c>
      <c r="N257" t="e" vm="35">
        <v>#VALUE!</v>
      </c>
      <c r="O257" t="s">
        <v>26</v>
      </c>
      <c r="Q257" t="s">
        <v>776</v>
      </c>
      <c r="R257" s="1">
        <v>46038</v>
      </c>
      <c r="T257">
        <v>1</v>
      </c>
      <c r="U257">
        <v>0</v>
      </c>
      <c r="V257">
        <v>0</v>
      </c>
    </row>
    <row r="258" spans="1:22" x14ac:dyDescent="0.4">
      <c r="A258" t="s">
        <v>807</v>
      </c>
      <c r="D258" s="1">
        <v>46023</v>
      </c>
      <c r="E258" t="s">
        <v>15</v>
      </c>
      <c r="I258" t="s">
        <v>96</v>
      </c>
      <c r="J258" t="s">
        <v>402</v>
      </c>
      <c r="M258" t="s">
        <v>808</v>
      </c>
      <c r="N258" t="e" vm="54">
        <v>#VALUE!</v>
      </c>
      <c r="O258" t="s">
        <v>11</v>
      </c>
      <c r="Q258" t="s">
        <v>776</v>
      </c>
      <c r="R258" s="1">
        <v>46052</v>
      </c>
      <c r="T258">
        <v>1</v>
      </c>
      <c r="U258">
        <v>0</v>
      </c>
      <c r="V258">
        <v>0</v>
      </c>
    </row>
    <row r="259" spans="1:22" x14ac:dyDescent="0.4">
      <c r="A259" t="s">
        <v>809</v>
      </c>
      <c r="C259" t="s">
        <v>812</v>
      </c>
      <c r="D259" s="1">
        <v>46023</v>
      </c>
      <c r="E259" t="s">
        <v>40</v>
      </c>
      <c r="F259" t="s">
        <v>811</v>
      </c>
      <c r="H259" t="s">
        <v>813</v>
      </c>
      <c r="I259" t="s">
        <v>96</v>
      </c>
      <c r="J259" t="s">
        <v>402</v>
      </c>
      <c r="M259" t="s">
        <v>810</v>
      </c>
      <c r="N259" t="e" vm="35">
        <v>#VALUE!</v>
      </c>
      <c r="O259" t="s">
        <v>11</v>
      </c>
      <c r="Q259" t="s">
        <v>776</v>
      </c>
      <c r="R259" s="1">
        <v>46037</v>
      </c>
      <c r="T259">
        <v>1</v>
      </c>
      <c r="U259">
        <v>0</v>
      </c>
      <c r="V259">
        <v>0</v>
      </c>
    </row>
    <row r="260" spans="1:22" x14ac:dyDescent="0.4">
      <c r="A260" t="s">
        <v>814</v>
      </c>
      <c r="D260" s="1">
        <v>46023</v>
      </c>
      <c r="E260" t="s">
        <v>40</v>
      </c>
      <c r="F260" s="2" t="s">
        <v>815</v>
      </c>
      <c r="I260" t="s">
        <v>96</v>
      </c>
      <c r="J260" t="s">
        <v>402</v>
      </c>
      <c r="M260" t="s">
        <v>816</v>
      </c>
      <c r="N260" t="e" vm="35">
        <v>#VALUE!</v>
      </c>
      <c r="O260" t="s">
        <v>11</v>
      </c>
      <c r="Q260" t="s">
        <v>776</v>
      </c>
      <c r="R260" s="1">
        <v>46066</v>
      </c>
      <c r="T260">
        <v>1</v>
      </c>
      <c r="U260">
        <v>0</v>
      </c>
      <c r="V260">
        <v>0</v>
      </c>
    </row>
    <row r="261" spans="1:22" x14ac:dyDescent="0.4">
      <c r="A261" t="s">
        <v>817</v>
      </c>
      <c r="D261" s="1">
        <v>46023</v>
      </c>
      <c r="E261" t="s">
        <v>40</v>
      </c>
      <c r="F261" t="s">
        <v>818</v>
      </c>
      <c r="I261" t="s">
        <v>96</v>
      </c>
      <c r="J261" t="s">
        <v>402</v>
      </c>
      <c r="M261" t="s">
        <v>819</v>
      </c>
      <c r="N261" t="e" vm="6">
        <v>#VALUE!</v>
      </c>
      <c r="O261" t="s">
        <v>11</v>
      </c>
      <c r="Q261" t="s">
        <v>776</v>
      </c>
      <c r="R261" s="1">
        <v>46052</v>
      </c>
      <c r="T261">
        <v>1</v>
      </c>
      <c r="U261">
        <v>0</v>
      </c>
      <c r="V261">
        <v>0</v>
      </c>
    </row>
    <row r="262" spans="1:22" x14ac:dyDescent="0.4">
      <c r="A262" t="s">
        <v>821</v>
      </c>
      <c r="D262" s="1">
        <v>46023</v>
      </c>
      <c r="E262" t="s">
        <v>40</v>
      </c>
      <c r="F262" s="2" t="s">
        <v>822</v>
      </c>
      <c r="I262" t="s">
        <v>96</v>
      </c>
      <c r="J262" t="s">
        <v>402</v>
      </c>
      <c r="M262" t="s">
        <v>820</v>
      </c>
      <c r="N262" t="e" vm="35">
        <v>#VALUE!</v>
      </c>
      <c r="O262" t="s">
        <v>11</v>
      </c>
      <c r="Q262" t="s">
        <v>776</v>
      </c>
      <c r="R262" s="1">
        <v>46113</v>
      </c>
      <c r="T262">
        <v>1</v>
      </c>
      <c r="U262">
        <v>0</v>
      </c>
      <c r="V262">
        <v>0</v>
      </c>
    </row>
    <row r="263" spans="1:22" x14ac:dyDescent="0.4">
      <c r="A263" t="s">
        <v>823</v>
      </c>
      <c r="C263" t="s">
        <v>829</v>
      </c>
      <c r="D263" s="1">
        <v>46023</v>
      </c>
      <c r="E263" t="s">
        <v>40</v>
      </c>
      <c r="F263" s="2" t="s">
        <v>824</v>
      </c>
      <c r="I263" t="s">
        <v>96</v>
      </c>
      <c r="J263" t="s">
        <v>402</v>
      </c>
      <c r="M263" t="s">
        <v>825</v>
      </c>
      <c r="N263" t="e" vm="35">
        <v>#VALUE!</v>
      </c>
      <c r="O263" t="s">
        <v>26</v>
      </c>
      <c r="Q263" t="s">
        <v>776</v>
      </c>
      <c r="R263" s="1">
        <v>46038</v>
      </c>
      <c r="T263">
        <v>1</v>
      </c>
      <c r="U263">
        <v>0</v>
      </c>
      <c r="V263">
        <v>0</v>
      </c>
    </row>
    <row r="264" spans="1:22" x14ac:dyDescent="0.4">
      <c r="A264" t="s">
        <v>826</v>
      </c>
      <c r="C264" t="s">
        <v>828</v>
      </c>
      <c r="D264" s="1">
        <v>46023</v>
      </c>
      <c r="E264" t="s">
        <v>40</v>
      </c>
      <c r="F264" t="s">
        <v>830</v>
      </c>
      <c r="I264" t="s">
        <v>96</v>
      </c>
      <c r="J264" t="s">
        <v>402</v>
      </c>
      <c r="M264" t="s">
        <v>827</v>
      </c>
      <c r="N264" t="e" vm="35">
        <v>#VALUE!</v>
      </c>
      <c r="O264" t="s">
        <v>11</v>
      </c>
      <c r="Q264" t="s">
        <v>776</v>
      </c>
      <c r="R264" s="1">
        <v>46143</v>
      </c>
      <c r="T264">
        <v>1</v>
      </c>
      <c r="U264">
        <v>0</v>
      </c>
      <c r="V264">
        <v>0</v>
      </c>
    </row>
    <row r="265" spans="1:22" x14ac:dyDescent="0.4">
      <c r="A265" t="s">
        <v>831</v>
      </c>
      <c r="C265" t="s">
        <v>833</v>
      </c>
      <c r="D265" s="1">
        <v>46023</v>
      </c>
      <c r="E265" t="s">
        <v>40</v>
      </c>
      <c r="F265" s="2" t="s">
        <v>871</v>
      </c>
      <c r="I265" t="s">
        <v>96</v>
      </c>
      <c r="J265" t="s">
        <v>402</v>
      </c>
      <c r="M265" t="s">
        <v>832</v>
      </c>
      <c r="N265" t="e" vm="35">
        <v>#VALUE!</v>
      </c>
      <c r="O265" t="s">
        <v>11</v>
      </c>
      <c r="Q265" t="s">
        <v>776</v>
      </c>
      <c r="R265" s="1">
        <v>46027</v>
      </c>
      <c r="T265">
        <v>1</v>
      </c>
      <c r="U265">
        <v>0</v>
      </c>
      <c r="V265">
        <v>0</v>
      </c>
    </row>
    <row r="266" spans="1:22" x14ac:dyDescent="0.4">
      <c r="A266" t="s">
        <v>835</v>
      </c>
      <c r="D266" s="1">
        <v>46023</v>
      </c>
      <c r="E266" t="s">
        <v>836</v>
      </c>
      <c r="I266" t="s">
        <v>23</v>
      </c>
      <c r="J266" t="s">
        <v>402</v>
      </c>
      <c r="M266" t="s">
        <v>837</v>
      </c>
      <c r="N266" t="e" vm="35">
        <v>#VALUE!</v>
      </c>
      <c r="O266" t="s">
        <v>11</v>
      </c>
      <c r="Q266" t="s">
        <v>776</v>
      </c>
      <c r="T266">
        <v>1</v>
      </c>
      <c r="U266">
        <v>0</v>
      </c>
      <c r="V266">
        <v>0</v>
      </c>
    </row>
    <row r="267" spans="1:22" x14ac:dyDescent="0.4">
      <c r="A267" t="s">
        <v>842</v>
      </c>
      <c r="D267" s="1">
        <v>46023</v>
      </c>
      <c r="E267" t="s">
        <v>843</v>
      </c>
      <c r="I267" t="s">
        <v>23</v>
      </c>
      <c r="J267" t="s">
        <v>402</v>
      </c>
      <c r="M267" t="s">
        <v>844</v>
      </c>
      <c r="N267" t="e" vm="84">
        <v>#VALUE!</v>
      </c>
      <c r="O267" t="s">
        <v>11</v>
      </c>
      <c r="Q267" t="s">
        <v>776</v>
      </c>
      <c r="R267" s="1">
        <v>46037</v>
      </c>
      <c r="T267">
        <v>1</v>
      </c>
      <c r="U267">
        <v>0</v>
      </c>
      <c r="V267">
        <v>0</v>
      </c>
    </row>
    <row r="268" spans="1:22" x14ac:dyDescent="0.4">
      <c r="A268" t="s">
        <v>845</v>
      </c>
      <c r="C268" t="s">
        <v>848</v>
      </c>
      <c r="D268" s="1">
        <v>46023</v>
      </c>
      <c r="E268" t="s">
        <v>847</v>
      </c>
      <c r="I268" t="s">
        <v>23</v>
      </c>
      <c r="J268" t="s">
        <v>402</v>
      </c>
      <c r="M268" t="s">
        <v>846</v>
      </c>
      <c r="N268" t="e" vm="35">
        <v>#VALUE!</v>
      </c>
      <c r="O268" t="s">
        <v>26</v>
      </c>
      <c r="Q268" t="s">
        <v>776</v>
      </c>
      <c r="R268" s="1">
        <v>46033</v>
      </c>
      <c r="T268">
        <v>1</v>
      </c>
      <c r="U268">
        <v>0</v>
      </c>
      <c r="V268">
        <v>0</v>
      </c>
    </row>
    <row r="269" spans="1:22" x14ac:dyDescent="0.4">
      <c r="A269" t="s">
        <v>850</v>
      </c>
      <c r="C269" t="s">
        <v>853</v>
      </c>
      <c r="D269" s="1">
        <v>46023</v>
      </c>
      <c r="E269" t="s">
        <v>40</v>
      </c>
      <c r="F269" t="s">
        <v>851</v>
      </c>
      <c r="I269" t="s">
        <v>23</v>
      </c>
      <c r="J269" t="s">
        <v>402</v>
      </c>
      <c r="M269" t="s">
        <v>852</v>
      </c>
      <c r="N269" t="e" vm="35">
        <v>#VALUE!</v>
      </c>
      <c r="O269" t="s">
        <v>26</v>
      </c>
      <c r="Q269" t="s">
        <v>776</v>
      </c>
      <c r="R269" s="1">
        <v>46173</v>
      </c>
      <c r="T269">
        <v>1</v>
      </c>
      <c r="U269">
        <v>0</v>
      </c>
      <c r="V269">
        <v>0</v>
      </c>
    </row>
    <row r="270" spans="1:22" x14ac:dyDescent="0.4">
      <c r="A270" t="s">
        <v>854</v>
      </c>
      <c r="D270" s="1">
        <v>46023</v>
      </c>
      <c r="E270" t="s">
        <v>40</v>
      </c>
      <c r="F270" t="s">
        <v>855</v>
      </c>
      <c r="I270" t="s">
        <v>23</v>
      </c>
      <c r="J270" t="s">
        <v>402</v>
      </c>
      <c r="M270" t="s">
        <v>493</v>
      </c>
      <c r="N270" t="e" vm="35">
        <v>#VALUE!</v>
      </c>
      <c r="O270" t="s">
        <v>26</v>
      </c>
      <c r="Q270" t="s">
        <v>776</v>
      </c>
      <c r="R270" s="1">
        <v>46028</v>
      </c>
      <c r="T270">
        <v>1</v>
      </c>
      <c r="U270">
        <v>0</v>
      </c>
      <c r="V270">
        <v>0</v>
      </c>
    </row>
    <row r="271" spans="1:22" x14ac:dyDescent="0.4">
      <c r="A271" t="s">
        <v>856</v>
      </c>
      <c r="D271" s="1">
        <v>46023</v>
      </c>
      <c r="E271" t="s">
        <v>15</v>
      </c>
      <c r="F271" s="2" t="s">
        <v>857</v>
      </c>
      <c r="H271" t="s">
        <v>859</v>
      </c>
      <c r="I271" t="s">
        <v>23</v>
      </c>
      <c r="J271" t="s">
        <v>402</v>
      </c>
      <c r="M271" t="s">
        <v>858</v>
      </c>
      <c r="N271" t="e" vm="70">
        <v>#VALUE!</v>
      </c>
      <c r="O271" t="s">
        <v>11</v>
      </c>
      <c r="Q271" t="s">
        <v>776</v>
      </c>
      <c r="R271" s="1">
        <v>46055</v>
      </c>
      <c r="T271">
        <v>1</v>
      </c>
      <c r="U271">
        <v>0</v>
      </c>
      <c r="V271">
        <v>0</v>
      </c>
    </row>
    <row r="272" spans="1:22" x14ac:dyDescent="0.4">
      <c r="A272" t="s">
        <v>860</v>
      </c>
      <c r="C272" t="s">
        <v>862</v>
      </c>
      <c r="D272" s="1">
        <v>46023</v>
      </c>
      <c r="E272" t="s">
        <v>15</v>
      </c>
      <c r="F272" s="2" t="s">
        <v>863</v>
      </c>
      <c r="I272" t="s">
        <v>23</v>
      </c>
      <c r="J272" t="s">
        <v>402</v>
      </c>
      <c r="M272" t="s">
        <v>861</v>
      </c>
      <c r="N272" t="e" vm="93">
        <v>#VALUE!</v>
      </c>
      <c r="O272" t="s">
        <v>11</v>
      </c>
      <c r="Q272" t="s">
        <v>776</v>
      </c>
      <c r="R272" s="1">
        <v>46026</v>
      </c>
      <c r="T272">
        <v>1</v>
      </c>
      <c r="U272">
        <v>0</v>
      </c>
      <c r="V272">
        <v>0</v>
      </c>
    </row>
    <row r="273" spans="1:22" x14ac:dyDescent="0.4">
      <c r="A273" t="s">
        <v>867</v>
      </c>
      <c r="D273" s="1">
        <v>46023</v>
      </c>
      <c r="E273" t="s">
        <v>15</v>
      </c>
      <c r="I273" t="s">
        <v>23</v>
      </c>
      <c r="J273" t="s">
        <v>402</v>
      </c>
      <c r="M273" t="s">
        <v>868</v>
      </c>
      <c r="N273" t="e" vm="104">
        <v>#VALUE!</v>
      </c>
      <c r="O273" t="s">
        <v>11</v>
      </c>
      <c r="Q273" t="s">
        <v>776</v>
      </c>
      <c r="R273" s="1">
        <v>46036</v>
      </c>
      <c r="T273">
        <v>1</v>
      </c>
      <c r="U273">
        <v>0</v>
      </c>
      <c r="V273">
        <v>0</v>
      </c>
    </row>
    <row r="274" spans="1:22" x14ac:dyDescent="0.4">
      <c r="A274" t="s">
        <v>869</v>
      </c>
      <c r="D274" s="1">
        <v>46023</v>
      </c>
      <c r="E274" t="s">
        <v>15</v>
      </c>
      <c r="I274" t="s">
        <v>23</v>
      </c>
      <c r="J274" t="s">
        <v>402</v>
      </c>
      <c r="M274" t="s">
        <v>870</v>
      </c>
      <c r="N274" t="e" vm="94">
        <v>#VALUE!</v>
      </c>
      <c r="O274" t="s">
        <v>11</v>
      </c>
      <c r="Q274" t="s">
        <v>776</v>
      </c>
      <c r="R274" s="1">
        <v>46053</v>
      </c>
      <c r="T274">
        <v>1</v>
      </c>
      <c r="U274">
        <v>0</v>
      </c>
      <c r="V274">
        <v>0</v>
      </c>
    </row>
    <row r="275" spans="1:22" x14ac:dyDescent="0.4">
      <c r="A275" t="s">
        <v>255</v>
      </c>
      <c r="E275" t="s">
        <v>15</v>
      </c>
      <c r="F275" s="2" t="s">
        <v>257</v>
      </c>
      <c r="I275" t="s">
        <v>96</v>
      </c>
      <c r="J275" t="s">
        <v>402</v>
      </c>
      <c r="M275" t="s">
        <v>256</v>
      </c>
      <c r="N275" t="e" vm="35">
        <v>#VALUE!</v>
      </c>
      <c r="O275" t="s">
        <v>11</v>
      </c>
      <c r="Q275" t="s">
        <v>776</v>
      </c>
      <c r="T275">
        <v>0</v>
      </c>
      <c r="U275">
        <v>0</v>
      </c>
      <c r="V275">
        <v>0</v>
      </c>
    </row>
  </sheetData>
  <autoFilter ref="A1:V267" xr:uid="{F7772053-9363-CA4A-A53F-040B7C700753}">
    <sortState xmlns:xlrd2="http://schemas.microsoft.com/office/spreadsheetml/2017/richdata2" ref="A2:V275">
      <sortCondition ref="D1:D267"/>
    </sortState>
  </autoFilter>
  <conditionalFormatting sqref="A1:B208 A210:B1048576">
    <cfRule type="duplicateValues" dxfId="214" priority="23"/>
  </conditionalFormatting>
  <conditionalFormatting sqref="A2:B22">
    <cfRule type="duplicateValues" dxfId="213" priority="24"/>
  </conditionalFormatting>
  <conditionalFormatting sqref="A61:B61">
    <cfRule type="duplicateValues" dxfId="212" priority="22"/>
  </conditionalFormatting>
  <conditionalFormatting sqref="I1:I1048576">
    <cfRule type="containsText" dxfId="211" priority="15" operator="containsText" text="closed">
      <formula>NOT(ISERROR(SEARCH("closed",I1)))</formula>
    </cfRule>
    <cfRule type="containsText" dxfId="210" priority="16" operator="containsText" text="abandoned">
      <formula>NOT(ISERROR(SEARCH("abandoned",I1)))</formula>
    </cfRule>
    <cfRule type="containsText" dxfId="209" priority="18" operator="containsText" text="late app">
      <formula>NOT(ISERROR(SEARCH("late app",I1)))</formula>
    </cfRule>
  </conditionalFormatting>
  <conditionalFormatting sqref="I2:L1048576 O78:O80 O83:O89 O92:O112 O115:O124 O126:O181 R136 R153 R159 R166 R173 R178 O183:O205 O208:O211 O213:O218 O220:O233 R225 O235:O237 O239:O248 I1:J1">
    <cfRule type="containsText" dxfId="208" priority="21" operator="containsText" text="completed">
      <formula>NOT(ISERROR(SEARCH("completed",I1)))</formula>
    </cfRule>
  </conditionalFormatting>
  <conditionalFormatting sqref="J1:J1048576">
    <cfRule type="containsText" dxfId="207" priority="10" operator="containsText" text="no news">
      <formula>NOT(ISERROR(SEARCH("no news",J1)))</formula>
    </cfRule>
    <cfRule type="containsText" dxfId="206" priority="11" operator="containsText" text="offer">
      <formula>NOT(ISERROR(SEARCH("offer",J1)))</formula>
    </cfRule>
    <cfRule type="containsText" dxfId="205" priority="12" operator="containsText" text="fly out">
      <formula>NOT(ISERROR(SEARCH("fly out",J1)))</formula>
    </cfRule>
    <cfRule type="containsText" dxfId="204" priority="13" operator="containsText" text="interview">
      <formula>NOT(ISERROR(SEARCH("interview",J1)))</formula>
    </cfRule>
    <cfRule type="containsText" dxfId="203" priority="14" operator="containsText" text="rejected">
      <formula>NOT(ISERROR(SEARCH("rejected",J1)))</formula>
    </cfRule>
  </conditionalFormatting>
  <conditionalFormatting sqref="K1:L1048576 O78:O80 O83:O89 O92:O112 O115:O124 O126:O181 R136 R153 R159 R166 R173 R178 O183:O205 O208:O211 O213:O218 O220:O233 R225 O235:O237 O239:O248">
    <cfRule type="containsText" dxfId="202" priority="19" operator="containsText" text="NO">
      <formula>NOT(ISERROR(SEARCH("NO",K1)))</formula>
    </cfRule>
    <cfRule type="containsText" dxfId="201" priority="20" operator="containsText" text="YES">
      <formula>NOT(ISERROR(SEARCH("YES",K1)))</formula>
    </cfRule>
  </conditionalFormatting>
  <conditionalFormatting sqref="O250:O267">
    <cfRule type="containsText" dxfId="200" priority="1" operator="containsText" text="NO">
      <formula>NOT(ISERROR(SEARCH("NO",O250)))</formula>
    </cfRule>
    <cfRule type="containsText" dxfId="199" priority="2" operator="containsText" text="YES">
      <formula>NOT(ISERROR(SEARCH("YES",O250)))</formula>
    </cfRule>
    <cfRule type="containsText" dxfId="198" priority="3" operator="containsText" text="completed">
      <formula>NOT(ISERROR(SEARCH("completed",O250)))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5"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s>
  <pageMargins left="0.7" right="0.7" top="0.75" bottom="0.75" header="0.3" footer="0.3"/>
  <pageSetup orientation="portrait" horizontalDpi="300" verticalDpi="300" r:id="rId1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93"/>
  <sheetViews>
    <sheetView tabSelected="1" topLeftCell="A282" zoomScale="208" workbookViewId="0">
      <selection activeCell="A294" sqref="A294"/>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row r="270" spans="1:3" x14ac:dyDescent="0.4">
      <c r="A270" s="1">
        <v>45992</v>
      </c>
      <c r="B270" t="s">
        <v>195</v>
      </c>
      <c r="C270" t="s">
        <v>403</v>
      </c>
    </row>
    <row r="271" spans="1:3" x14ac:dyDescent="0.4">
      <c r="A271" s="1">
        <v>45993</v>
      </c>
      <c r="B271" t="s">
        <v>611</v>
      </c>
      <c r="C271" t="s">
        <v>403</v>
      </c>
    </row>
    <row r="272" spans="1:3" x14ac:dyDescent="0.4">
      <c r="A272" s="1">
        <v>45993</v>
      </c>
      <c r="C272" t="s">
        <v>834</v>
      </c>
    </row>
    <row r="273" spans="1:3" x14ac:dyDescent="0.4">
      <c r="A273" s="1">
        <v>45993</v>
      </c>
      <c r="B273" t="s">
        <v>568</v>
      </c>
      <c r="C273" t="s">
        <v>403</v>
      </c>
    </row>
    <row r="274" spans="1:3" x14ac:dyDescent="0.4">
      <c r="A274" s="1">
        <v>45994</v>
      </c>
      <c r="C274" t="s">
        <v>849</v>
      </c>
    </row>
    <row r="275" spans="1:3" x14ac:dyDescent="0.4">
      <c r="A275" s="1">
        <v>45995</v>
      </c>
      <c r="B275" t="s">
        <v>735</v>
      </c>
      <c r="C275" t="s">
        <v>403</v>
      </c>
    </row>
    <row r="276" spans="1:3" x14ac:dyDescent="0.4">
      <c r="A276" s="1">
        <v>45995</v>
      </c>
      <c r="B276" t="s">
        <v>767</v>
      </c>
      <c r="C276" t="s">
        <v>404</v>
      </c>
    </row>
    <row r="277" spans="1:3" x14ac:dyDescent="0.4">
      <c r="A277" s="1">
        <v>45998</v>
      </c>
      <c r="B277" t="s">
        <v>250</v>
      </c>
      <c r="C277" t="s">
        <v>404</v>
      </c>
    </row>
    <row r="278" spans="1:3" x14ac:dyDescent="0.4">
      <c r="A278" s="1">
        <v>45999</v>
      </c>
      <c r="B278" t="s">
        <v>864</v>
      </c>
      <c r="C278" t="s">
        <v>97</v>
      </c>
    </row>
    <row r="279" spans="1:3" x14ac:dyDescent="0.4">
      <c r="A279" s="1">
        <v>45999</v>
      </c>
      <c r="B279" t="s">
        <v>472</v>
      </c>
      <c r="C279" t="s">
        <v>403</v>
      </c>
    </row>
    <row r="280" spans="1:3" x14ac:dyDescent="0.4">
      <c r="A280" s="1">
        <v>45999</v>
      </c>
      <c r="B280" t="s">
        <v>804</v>
      </c>
      <c r="C280" t="s">
        <v>97</v>
      </c>
    </row>
    <row r="281" spans="1:3" x14ac:dyDescent="0.4">
      <c r="A281" s="1">
        <v>46000</v>
      </c>
      <c r="B281" t="s">
        <v>807</v>
      </c>
      <c r="C281" t="s">
        <v>97</v>
      </c>
    </row>
    <row r="282" spans="1:3" x14ac:dyDescent="0.4">
      <c r="A282" s="1">
        <v>46000</v>
      </c>
      <c r="B282" t="s">
        <v>557</v>
      </c>
      <c r="C282" t="s">
        <v>404</v>
      </c>
    </row>
    <row r="283" spans="1:3" x14ac:dyDescent="0.4">
      <c r="A283" s="1">
        <v>46000</v>
      </c>
      <c r="B283" t="s">
        <v>54</v>
      </c>
      <c r="C283" t="s">
        <v>404</v>
      </c>
    </row>
    <row r="284" spans="1:3" x14ac:dyDescent="0.4">
      <c r="A284" s="1">
        <v>46000</v>
      </c>
      <c r="B284" t="s">
        <v>807</v>
      </c>
      <c r="C284" t="s">
        <v>97</v>
      </c>
    </row>
    <row r="285" spans="1:3" x14ac:dyDescent="0.4">
      <c r="A285" s="1">
        <v>46000</v>
      </c>
      <c r="B285" t="s">
        <v>809</v>
      </c>
      <c r="C285" t="s">
        <v>97</v>
      </c>
    </row>
    <row r="286" spans="1:3" x14ac:dyDescent="0.4">
      <c r="A286" s="1">
        <v>46000</v>
      </c>
      <c r="B286" t="s">
        <v>814</v>
      </c>
      <c r="C286" t="s">
        <v>97</v>
      </c>
    </row>
    <row r="287" spans="1:3" x14ac:dyDescent="0.4">
      <c r="A287" s="1">
        <v>46000</v>
      </c>
      <c r="B287" t="s">
        <v>817</v>
      </c>
      <c r="C287" t="s">
        <v>97</v>
      </c>
    </row>
    <row r="288" spans="1:3" x14ac:dyDescent="0.4">
      <c r="A288" s="1">
        <v>46000</v>
      </c>
      <c r="B288" t="s">
        <v>821</v>
      </c>
      <c r="C288" t="s">
        <v>97</v>
      </c>
    </row>
    <row r="289" spans="1:3" x14ac:dyDescent="0.4">
      <c r="A289" s="1">
        <v>46001</v>
      </c>
      <c r="B289" t="s">
        <v>314</v>
      </c>
      <c r="C289" t="s">
        <v>403</v>
      </c>
    </row>
    <row r="290" spans="1:3" x14ac:dyDescent="0.4">
      <c r="A290" s="1">
        <v>46001</v>
      </c>
      <c r="B290" t="s">
        <v>144</v>
      </c>
      <c r="C290" t="s">
        <v>405</v>
      </c>
    </row>
    <row r="291" spans="1:3" x14ac:dyDescent="0.4">
      <c r="A291" s="1">
        <v>46001</v>
      </c>
      <c r="B291" t="s">
        <v>823</v>
      </c>
      <c r="C291" t="s">
        <v>97</v>
      </c>
    </row>
    <row r="292" spans="1:3" x14ac:dyDescent="0.4">
      <c r="A292" s="1">
        <v>46001</v>
      </c>
      <c r="B292" t="s">
        <v>831</v>
      </c>
      <c r="C292" t="s">
        <v>97</v>
      </c>
    </row>
    <row r="293" spans="1:3" x14ac:dyDescent="0.4">
      <c r="A293" s="1">
        <v>46001</v>
      </c>
      <c r="B293" t="s">
        <v>682</v>
      </c>
      <c r="C293" t="s">
        <v>403</v>
      </c>
    </row>
  </sheetData>
  <conditionalFormatting sqref="B5">
    <cfRule type="duplicateValues" dxfId="197" priority="205"/>
    <cfRule type="duplicateValues" dxfId="196" priority="206"/>
  </conditionalFormatting>
  <conditionalFormatting sqref="B10">
    <cfRule type="duplicateValues" dxfId="195" priority="204"/>
    <cfRule type="duplicateValues" dxfId="194" priority="203"/>
  </conditionalFormatting>
  <conditionalFormatting sqref="B11">
    <cfRule type="duplicateValues" dxfId="193" priority="202"/>
    <cfRule type="duplicateValues" dxfId="192" priority="201"/>
  </conditionalFormatting>
  <conditionalFormatting sqref="B12">
    <cfRule type="duplicateValues" dxfId="191" priority="200"/>
    <cfRule type="duplicateValues" dxfId="190" priority="199"/>
  </conditionalFormatting>
  <conditionalFormatting sqref="B15">
    <cfRule type="duplicateValues" dxfId="189" priority="198"/>
    <cfRule type="duplicateValues" dxfId="188" priority="197"/>
  </conditionalFormatting>
  <conditionalFormatting sqref="B16">
    <cfRule type="duplicateValues" dxfId="187" priority="196"/>
  </conditionalFormatting>
  <conditionalFormatting sqref="B17">
    <cfRule type="duplicateValues" dxfId="186" priority="194"/>
    <cfRule type="duplicateValues" dxfId="185" priority="195"/>
  </conditionalFormatting>
  <conditionalFormatting sqref="B18">
    <cfRule type="duplicateValues" dxfId="184" priority="193"/>
    <cfRule type="duplicateValues" dxfId="183" priority="192"/>
  </conditionalFormatting>
  <conditionalFormatting sqref="B19">
    <cfRule type="duplicateValues" dxfId="182" priority="191"/>
  </conditionalFormatting>
  <conditionalFormatting sqref="B22:B23">
    <cfRule type="duplicateValues" dxfId="181" priority="190"/>
    <cfRule type="duplicateValues" dxfId="180" priority="189"/>
  </conditionalFormatting>
  <conditionalFormatting sqref="B24">
    <cfRule type="duplicateValues" dxfId="179" priority="188"/>
    <cfRule type="duplicateValues" dxfId="178" priority="187"/>
  </conditionalFormatting>
  <conditionalFormatting sqref="B27">
    <cfRule type="duplicateValues" dxfId="177" priority="186"/>
    <cfRule type="duplicateValues" dxfId="176" priority="185"/>
  </conditionalFormatting>
  <conditionalFormatting sqref="B28">
    <cfRule type="duplicateValues" dxfId="175" priority="184"/>
  </conditionalFormatting>
  <conditionalFormatting sqref="B29">
    <cfRule type="duplicateValues" dxfId="174" priority="182"/>
    <cfRule type="duplicateValues" dxfId="173" priority="183"/>
  </conditionalFormatting>
  <conditionalFormatting sqref="B30">
    <cfRule type="duplicateValues" dxfId="172" priority="181"/>
  </conditionalFormatting>
  <conditionalFormatting sqref="B31">
    <cfRule type="duplicateValues" dxfId="171" priority="180"/>
  </conditionalFormatting>
  <conditionalFormatting sqref="B32">
    <cfRule type="duplicateValues" dxfId="170" priority="179"/>
  </conditionalFormatting>
  <conditionalFormatting sqref="B33">
    <cfRule type="duplicateValues" dxfId="169" priority="178"/>
  </conditionalFormatting>
  <conditionalFormatting sqref="B34">
    <cfRule type="duplicateValues" dxfId="168" priority="177"/>
  </conditionalFormatting>
  <conditionalFormatting sqref="B35">
    <cfRule type="duplicateValues" dxfId="167" priority="176"/>
  </conditionalFormatting>
  <conditionalFormatting sqref="B37">
    <cfRule type="duplicateValues" dxfId="166" priority="175"/>
  </conditionalFormatting>
  <conditionalFormatting sqref="B38">
    <cfRule type="duplicateValues" dxfId="165" priority="174"/>
  </conditionalFormatting>
  <conditionalFormatting sqref="B42">
    <cfRule type="duplicateValues" dxfId="164" priority="173"/>
  </conditionalFormatting>
  <conditionalFormatting sqref="B43">
    <cfRule type="duplicateValues" dxfId="163" priority="172"/>
  </conditionalFormatting>
  <conditionalFormatting sqref="B44:B45">
    <cfRule type="duplicateValues" dxfId="162" priority="171"/>
  </conditionalFormatting>
  <conditionalFormatting sqref="B46">
    <cfRule type="duplicateValues" dxfId="161" priority="170"/>
  </conditionalFormatting>
  <conditionalFormatting sqref="B48">
    <cfRule type="duplicateValues" dxfId="160" priority="169"/>
  </conditionalFormatting>
  <conditionalFormatting sqref="B49">
    <cfRule type="duplicateValues" dxfId="159" priority="168"/>
  </conditionalFormatting>
  <conditionalFormatting sqref="B51">
    <cfRule type="duplicateValues" dxfId="158" priority="167"/>
  </conditionalFormatting>
  <conditionalFormatting sqref="B52">
    <cfRule type="duplicateValues" dxfId="157" priority="166"/>
  </conditionalFormatting>
  <conditionalFormatting sqref="B58">
    <cfRule type="duplicateValues" dxfId="156" priority="164"/>
  </conditionalFormatting>
  <conditionalFormatting sqref="B59">
    <cfRule type="duplicateValues" dxfId="155" priority="162"/>
  </conditionalFormatting>
  <conditionalFormatting sqref="B63">
    <cfRule type="duplicateValues" dxfId="154" priority="161"/>
  </conditionalFormatting>
  <conditionalFormatting sqref="B64">
    <cfRule type="duplicateValues" dxfId="153" priority="159"/>
  </conditionalFormatting>
  <conditionalFormatting sqref="B66">
    <cfRule type="duplicateValues" dxfId="152" priority="158"/>
  </conditionalFormatting>
  <conditionalFormatting sqref="B67">
    <cfRule type="duplicateValues" dxfId="151" priority="157"/>
    <cfRule type="duplicateValues" dxfId="150" priority="156"/>
  </conditionalFormatting>
  <conditionalFormatting sqref="B68">
    <cfRule type="duplicateValues" dxfId="149" priority="155"/>
  </conditionalFormatting>
  <conditionalFormatting sqref="B69">
    <cfRule type="duplicateValues" dxfId="148" priority="154"/>
  </conditionalFormatting>
  <conditionalFormatting sqref="B70">
    <cfRule type="duplicateValues" dxfId="147" priority="152"/>
  </conditionalFormatting>
  <conditionalFormatting sqref="B72">
    <cfRule type="duplicateValues" dxfId="146" priority="151"/>
  </conditionalFormatting>
  <conditionalFormatting sqref="B73">
    <cfRule type="duplicateValues" dxfId="145" priority="149"/>
  </conditionalFormatting>
  <conditionalFormatting sqref="B74">
    <cfRule type="duplicateValues" dxfId="144" priority="148"/>
  </conditionalFormatting>
  <conditionalFormatting sqref="B75">
    <cfRule type="duplicateValues" dxfId="143" priority="147"/>
  </conditionalFormatting>
  <conditionalFormatting sqref="B76">
    <cfRule type="duplicateValues" dxfId="142" priority="146"/>
  </conditionalFormatting>
  <conditionalFormatting sqref="B77">
    <cfRule type="duplicateValues" dxfId="141" priority="144"/>
  </conditionalFormatting>
  <conditionalFormatting sqref="B78">
    <cfRule type="duplicateValues" dxfId="140" priority="143"/>
  </conditionalFormatting>
  <conditionalFormatting sqref="B83">
    <cfRule type="duplicateValues" dxfId="139" priority="142"/>
  </conditionalFormatting>
  <conditionalFormatting sqref="B84">
    <cfRule type="duplicateValues" dxfId="138" priority="141"/>
  </conditionalFormatting>
  <conditionalFormatting sqref="B85">
    <cfRule type="duplicateValues" dxfId="137" priority="140"/>
  </conditionalFormatting>
  <conditionalFormatting sqref="B87">
    <cfRule type="duplicateValues" dxfId="136" priority="139"/>
  </conditionalFormatting>
  <conditionalFormatting sqref="B88">
    <cfRule type="duplicateValues" dxfId="135" priority="138"/>
  </conditionalFormatting>
  <conditionalFormatting sqref="B89">
    <cfRule type="duplicateValues" dxfId="134" priority="137"/>
  </conditionalFormatting>
  <conditionalFormatting sqref="B90">
    <cfRule type="duplicateValues" dxfId="133" priority="136"/>
  </conditionalFormatting>
  <conditionalFormatting sqref="B91">
    <cfRule type="duplicateValues" dxfId="132" priority="135"/>
  </conditionalFormatting>
  <conditionalFormatting sqref="B92">
    <cfRule type="duplicateValues" dxfId="131" priority="134"/>
  </conditionalFormatting>
  <conditionalFormatting sqref="B93">
    <cfRule type="duplicateValues" dxfId="130" priority="133"/>
  </conditionalFormatting>
  <conditionalFormatting sqref="B94">
    <cfRule type="duplicateValues" dxfId="129" priority="132"/>
  </conditionalFormatting>
  <conditionalFormatting sqref="B95">
    <cfRule type="duplicateValues" dxfId="128" priority="131"/>
  </conditionalFormatting>
  <conditionalFormatting sqref="B96">
    <cfRule type="duplicateValues" dxfId="127" priority="130"/>
  </conditionalFormatting>
  <conditionalFormatting sqref="B97">
    <cfRule type="duplicateValues" dxfId="126" priority="129"/>
  </conditionalFormatting>
  <conditionalFormatting sqref="B98">
    <cfRule type="duplicateValues" dxfId="125" priority="128"/>
  </conditionalFormatting>
  <conditionalFormatting sqref="B99">
    <cfRule type="duplicateValues" dxfId="124" priority="127"/>
  </conditionalFormatting>
  <conditionalFormatting sqref="B100">
    <cfRule type="duplicateValues" dxfId="123" priority="126"/>
  </conditionalFormatting>
  <conditionalFormatting sqref="B101">
    <cfRule type="duplicateValues" dxfId="122" priority="125"/>
  </conditionalFormatting>
  <conditionalFormatting sqref="B104">
    <cfRule type="duplicateValues" dxfId="121" priority="124"/>
    <cfRule type="duplicateValues" dxfId="120" priority="123"/>
  </conditionalFormatting>
  <conditionalFormatting sqref="B105:B106">
    <cfRule type="duplicateValues" dxfId="119" priority="122"/>
  </conditionalFormatting>
  <conditionalFormatting sqref="B107">
    <cfRule type="duplicateValues" dxfId="118" priority="121"/>
  </conditionalFormatting>
  <conditionalFormatting sqref="B108">
    <cfRule type="duplicateValues" dxfId="117" priority="120"/>
  </conditionalFormatting>
  <conditionalFormatting sqref="B109">
    <cfRule type="duplicateValues" dxfId="116" priority="119"/>
  </conditionalFormatting>
  <conditionalFormatting sqref="B110">
    <cfRule type="duplicateValues" dxfId="115" priority="118"/>
  </conditionalFormatting>
  <conditionalFormatting sqref="B111">
    <cfRule type="duplicateValues" dxfId="114" priority="117"/>
  </conditionalFormatting>
  <conditionalFormatting sqref="B112">
    <cfRule type="duplicateValues" dxfId="113" priority="116"/>
  </conditionalFormatting>
  <conditionalFormatting sqref="B113">
    <cfRule type="duplicateValues" dxfId="112" priority="115"/>
  </conditionalFormatting>
  <conditionalFormatting sqref="B114">
    <cfRule type="duplicateValues" dxfId="111" priority="114"/>
  </conditionalFormatting>
  <conditionalFormatting sqref="B115">
    <cfRule type="duplicateValues" dxfId="110" priority="113"/>
  </conditionalFormatting>
  <conditionalFormatting sqref="B116">
    <cfRule type="duplicateValues" dxfId="109" priority="112"/>
  </conditionalFormatting>
  <conditionalFormatting sqref="B117">
    <cfRule type="duplicateValues" dxfId="108" priority="111"/>
  </conditionalFormatting>
  <conditionalFormatting sqref="B118">
    <cfRule type="duplicateValues" dxfId="107" priority="110"/>
  </conditionalFormatting>
  <conditionalFormatting sqref="B119">
    <cfRule type="duplicateValues" dxfId="106" priority="109"/>
  </conditionalFormatting>
  <conditionalFormatting sqref="B120">
    <cfRule type="duplicateValues" dxfId="105" priority="108"/>
  </conditionalFormatting>
  <conditionalFormatting sqref="B121">
    <cfRule type="duplicateValues" dxfId="104" priority="107"/>
  </conditionalFormatting>
  <conditionalFormatting sqref="B122">
    <cfRule type="duplicateValues" dxfId="103" priority="106"/>
  </conditionalFormatting>
  <conditionalFormatting sqref="B126">
    <cfRule type="duplicateValues" dxfId="102" priority="105"/>
  </conditionalFormatting>
  <conditionalFormatting sqref="B127">
    <cfRule type="duplicateValues" dxfId="101" priority="104"/>
  </conditionalFormatting>
  <conditionalFormatting sqref="B128">
    <cfRule type="duplicateValues" dxfId="100" priority="103"/>
  </conditionalFormatting>
  <conditionalFormatting sqref="B129">
    <cfRule type="duplicateValues" dxfId="99" priority="102"/>
  </conditionalFormatting>
  <conditionalFormatting sqref="B130">
    <cfRule type="duplicateValues" dxfId="98" priority="101"/>
  </conditionalFormatting>
  <conditionalFormatting sqref="B131">
    <cfRule type="duplicateValues" dxfId="97" priority="100"/>
  </conditionalFormatting>
  <conditionalFormatting sqref="B132">
    <cfRule type="duplicateValues" dxfId="96" priority="99"/>
  </conditionalFormatting>
  <conditionalFormatting sqref="B133">
    <cfRule type="duplicateValues" dxfId="95" priority="98"/>
  </conditionalFormatting>
  <conditionalFormatting sqref="B136">
    <cfRule type="duplicateValues" dxfId="94" priority="97"/>
  </conditionalFormatting>
  <conditionalFormatting sqref="B137">
    <cfRule type="duplicateValues" dxfId="93" priority="96"/>
  </conditionalFormatting>
  <conditionalFormatting sqref="B138">
    <cfRule type="duplicateValues" dxfId="92" priority="95"/>
  </conditionalFormatting>
  <conditionalFormatting sqref="B139">
    <cfRule type="duplicateValues" dxfId="91" priority="94"/>
  </conditionalFormatting>
  <conditionalFormatting sqref="B140">
    <cfRule type="duplicateValues" dxfId="90" priority="93"/>
  </conditionalFormatting>
  <conditionalFormatting sqref="B141">
    <cfRule type="duplicateValues" dxfId="89" priority="92"/>
  </conditionalFormatting>
  <conditionalFormatting sqref="B142">
    <cfRule type="duplicateValues" dxfId="88" priority="91"/>
  </conditionalFormatting>
  <conditionalFormatting sqref="B143">
    <cfRule type="duplicateValues" dxfId="87" priority="90"/>
  </conditionalFormatting>
  <conditionalFormatting sqref="B144">
    <cfRule type="duplicateValues" dxfId="86" priority="89"/>
  </conditionalFormatting>
  <conditionalFormatting sqref="B145">
    <cfRule type="duplicateValues" dxfId="85" priority="88"/>
  </conditionalFormatting>
  <conditionalFormatting sqref="B147">
    <cfRule type="duplicateValues" dxfId="84" priority="87"/>
  </conditionalFormatting>
  <conditionalFormatting sqref="B148">
    <cfRule type="duplicateValues" dxfId="83" priority="86"/>
  </conditionalFormatting>
  <conditionalFormatting sqref="B149">
    <cfRule type="duplicateValues" dxfId="82" priority="85"/>
  </conditionalFormatting>
  <conditionalFormatting sqref="B150">
    <cfRule type="duplicateValues" dxfId="81" priority="84"/>
  </conditionalFormatting>
  <conditionalFormatting sqref="B151">
    <cfRule type="duplicateValues" dxfId="80" priority="83"/>
  </conditionalFormatting>
  <conditionalFormatting sqref="B152">
    <cfRule type="duplicateValues" dxfId="79" priority="82"/>
  </conditionalFormatting>
  <conditionalFormatting sqref="B153">
    <cfRule type="duplicateValues" dxfId="78" priority="81"/>
  </conditionalFormatting>
  <conditionalFormatting sqref="B154">
    <cfRule type="duplicateValues" dxfId="77" priority="80"/>
  </conditionalFormatting>
  <conditionalFormatting sqref="B155">
    <cfRule type="duplicateValues" dxfId="76" priority="79"/>
  </conditionalFormatting>
  <conditionalFormatting sqref="B156">
    <cfRule type="duplicateValues" dxfId="75" priority="78"/>
  </conditionalFormatting>
  <conditionalFormatting sqref="B157">
    <cfRule type="duplicateValues" dxfId="74" priority="77"/>
  </conditionalFormatting>
  <conditionalFormatting sqref="B171">
    <cfRule type="duplicateValues" dxfId="73" priority="76"/>
  </conditionalFormatting>
  <conditionalFormatting sqref="B172">
    <cfRule type="duplicateValues" dxfId="72" priority="75"/>
  </conditionalFormatting>
  <conditionalFormatting sqref="B174">
    <cfRule type="duplicateValues" dxfId="71" priority="74"/>
  </conditionalFormatting>
  <conditionalFormatting sqref="B177:B178">
    <cfRule type="duplicateValues" dxfId="70" priority="73"/>
  </conditionalFormatting>
  <conditionalFormatting sqref="B181">
    <cfRule type="duplicateValues" dxfId="69" priority="72"/>
  </conditionalFormatting>
  <conditionalFormatting sqref="B182">
    <cfRule type="duplicateValues" dxfId="68" priority="71"/>
  </conditionalFormatting>
  <conditionalFormatting sqref="B183">
    <cfRule type="duplicateValues" dxfId="67" priority="70"/>
  </conditionalFormatting>
  <conditionalFormatting sqref="B184">
    <cfRule type="duplicateValues" dxfId="66" priority="69"/>
  </conditionalFormatting>
  <conditionalFormatting sqref="B185">
    <cfRule type="duplicateValues" dxfId="65" priority="68"/>
  </conditionalFormatting>
  <conditionalFormatting sqref="B186">
    <cfRule type="duplicateValues" dxfId="64" priority="67"/>
  </conditionalFormatting>
  <conditionalFormatting sqref="B188">
    <cfRule type="duplicateValues" dxfId="63" priority="66"/>
  </conditionalFormatting>
  <conditionalFormatting sqref="B189">
    <cfRule type="duplicateValues" dxfId="62" priority="65"/>
  </conditionalFormatting>
  <conditionalFormatting sqref="B190">
    <cfRule type="duplicateValues" dxfId="61" priority="64"/>
  </conditionalFormatting>
  <conditionalFormatting sqref="B191">
    <cfRule type="duplicateValues" dxfId="60" priority="63"/>
  </conditionalFormatting>
  <conditionalFormatting sqref="B192">
    <cfRule type="duplicateValues" dxfId="59" priority="62"/>
  </conditionalFormatting>
  <conditionalFormatting sqref="B193">
    <cfRule type="duplicateValues" dxfId="58" priority="61"/>
  </conditionalFormatting>
  <conditionalFormatting sqref="B195">
    <cfRule type="duplicateValues" dxfId="57" priority="60"/>
  </conditionalFormatting>
  <conditionalFormatting sqref="B196">
    <cfRule type="duplicateValues" dxfId="56" priority="59"/>
  </conditionalFormatting>
  <conditionalFormatting sqref="B197">
    <cfRule type="duplicateValues" dxfId="55" priority="58"/>
  </conditionalFormatting>
  <conditionalFormatting sqref="B198">
    <cfRule type="duplicateValues" dxfId="54" priority="57"/>
  </conditionalFormatting>
  <conditionalFormatting sqref="B199">
    <cfRule type="duplicateValues" dxfId="53" priority="56"/>
  </conditionalFormatting>
  <conditionalFormatting sqref="B200">
    <cfRule type="duplicateValues" dxfId="52" priority="55"/>
  </conditionalFormatting>
  <conditionalFormatting sqref="B201">
    <cfRule type="duplicateValues" dxfId="51" priority="54"/>
  </conditionalFormatting>
  <conditionalFormatting sqref="B202">
    <cfRule type="duplicateValues" dxfId="50" priority="53"/>
  </conditionalFormatting>
  <conditionalFormatting sqref="B203">
    <cfRule type="duplicateValues" dxfId="49" priority="52"/>
  </conditionalFormatting>
  <conditionalFormatting sqref="B204">
    <cfRule type="duplicateValues" dxfId="48" priority="51"/>
  </conditionalFormatting>
  <conditionalFormatting sqref="B205">
    <cfRule type="duplicateValues" dxfId="47" priority="50"/>
  </conditionalFormatting>
  <conditionalFormatting sqref="B206">
    <cfRule type="duplicateValues" dxfId="46" priority="49"/>
  </conditionalFormatting>
  <conditionalFormatting sqref="B207">
    <cfRule type="duplicateValues" dxfId="45" priority="48"/>
  </conditionalFormatting>
  <conditionalFormatting sqref="B215">
    <cfRule type="duplicateValues" dxfId="44" priority="47"/>
  </conditionalFormatting>
  <conditionalFormatting sqref="B218">
    <cfRule type="duplicateValues" dxfId="43" priority="46"/>
  </conditionalFormatting>
  <conditionalFormatting sqref="B220">
    <cfRule type="duplicateValues" dxfId="42" priority="45"/>
  </conditionalFormatting>
  <conditionalFormatting sqref="B222">
    <cfRule type="duplicateValues" dxfId="41" priority="44"/>
  </conditionalFormatting>
  <conditionalFormatting sqref="B223">
    <cfRule type="duplicateValues" dxfId="40" priority="43"/>
  </conditionalFormatting>
  <conditionalFormatting sqref="B224">
    <cfRule type="duplicateValues" dxfId="39" priority="42"/>
  </conditionalFormatting>
  <conditionalFormatting sqref="B225">
    <cfRule type="duplicateValues" dxfId="38" priority="41"/>
  </conditionalFormatting>
  <conditionalFormatting sqref="B227">
    <cfRule type="duplicateValues" dxfId="37" priority="40"/>
  </conditionalFormatting>
  <conditionalFormatting sqref="B229">
    <cfRule type="duplicateValues" dxfId="36" priority="39"/>
  </conditionalFormatting>
  <conditionalFormatting sqref="B230">
    <cfRule type="duplicateValues" dxfId="35" priority="38"/>
  </conditionalFormatting>
  <conditionalFormatting sqref="B232">
    <cfRule type="duplicateValues" dxfId="34" priority="37"/>
  </conditionalFormatting>
  <conditionalFormatting sqref="B233">
    <cfRule type="duplicateValues" dxfId="33" priority="36"/>
  </conditionalFormatting>
  <conditionalFormatting sqref="B234">
    <cfRule type="duplicateValues" dxfId="32" priority="35"/>
  </conditionalFormatting>
  <conditionalFormatting sqref="B235">
    <cfRule type="duplicateValues" dxfId="31" priority="34"/>
  </conditionalFormatting>
  <conditionalFormatting sqref="B236">
    <cfRule type="duplicateValues" dxfId="30" priority="33"/>
  </conditionalFormatting>
  <conditionalFormatting sqref="B237">
    <cfRule type="duplicateValues" dxfId="29" priority="32"/>
  </conditionalFormatting>
  <conditionalFormatting sqref="B239">
    <cfRule type="duplicateValues" dxfId="28" priority="30"/>
  </conditionalFormatting>
  <conditionalFormatting sqref="B240">
    <cfRule type="duplicateValues" dxfId="27" priority="29"/>
  </conditionalFormatting>
  <conditionalFormatting sqref="B241">
    <cfRule type="duplicateValues" dxfId="26" priority="28"/>
  </conditionalFormatting>
  <conditionalFormatting sqref="B242">
    <cfRule type="duplicateValues" dxfId="25" priority="27"/>
  </conditionalFormatting>
  <conditionalFormatting sqref="B243">
    <cfRule type="duplicateValues" dxfId="24" priority="26"/>
  </conditionalFormatting>
  <conditionalFormatting sqref="B250">
    <cfRule type="duplicateValues" dxfId="23" priority="25"/>
  </conditionalFormatting>
  <conditionalFormatting sqref="B251">
    <cfRule type="duplicateValues" dxfId="22" priority="24"/>
  </conditionalFormatting>
  <conditionalFormatting sqref="B253">
    <cfRule type="duplicateValues" dxfId="21" priority="23"/>
  </conditionalFormatting>
  <conditionalFormatting sqref="B255">
    <cfRule type="duplicateValues" dxfId="20" priority="22"/>
  </conditionalFormatting>
  <conditionalFormatting sqref="B258:B259">
    <cfRule type="duplicateValues" dxfId="19" priority="21"/>
  </conditionalFormatting>
  <conditionalFormatting sqref="B260">
    <cfRule type="duplicateValues" dxfId="18" priority="20"/>
  </conditionalFormatting>
  <conditionalFormatting sqref="B265:B267 B269">
    <cfRule type="duplicateValues" dxfId="17" priority="19"/>
  </conditionalFormatting>
  <conditionalFormatting sqref="B268">
    <cfRule type="duplicateValues" dxfId="16" priority="18"/>
  </conditionalFormatting>
  <conditionalFormatting sqref="B270">
    <cfRule type="duplicateValues" dxfId="15" priority="17"/>
  </conditionalFormatting>
  <conditionalFormatting sqref="B271">
    <cfRule type="duplicateValues" dxfId="14" priority="16"/>
  </conditionalFormatting>
  <conditionalFormatting sqref="B273">
    <cfRule type="duplicateValues" dxfId="13" priority="15"/>
  </conditionalFormatting>
  <conditionalFormatting sqref="B275">
    <cfRule type="duplicateValues" dxfId="12" priority="14"/>
  </conditionalFormatting>
  <conditionalFormatting sqref="B278">
    <cfRule type="duplicateValues" dxfId="11" priority="13"/>
  </conditionalFormatting>
  <conditionalFormatting sqref="B279">
    <cfRule type="duplicateValues" dxfId="10" priority="12"/>
  </conditionalFormatting>
  <conditionalFormatting sqref="B280">
    <cfRule type="duplicateValues" dxfId="9" priority="11"/>
  </conditionalFormatting>
  <conditionalFormatting sqref="B281">
    <cfRule type="duplicateValues" dxfId="8" priority="10"/>
  </conditionalFormatting>
  <conditionalFormatting sqref="B282">
    <cfRule type="duplicateValues" dxfId="7" priority="9"/>
  </conditionalFormatting>
  <conditionalFormatting sqref="B283">
    <cfRule type="duplicateValues" dxfId="6" priority="7"/>
  </conditionalFormatting>
  <conditionalFormatting sqref="B284:B286">
    <cfRule type="duplicateValues" dxfId="5" priority="6"/>
  </conditionalFormatting>
  <conditionalFormatting sqref="B287">
    <cfRule type="duplicateValues" dxfId="4" priority="5"/>
  </conditionalFormatting>
  <conditionalFormatting sqref="B288">
    <cfRule type="duplicateValues" dxfId="3" priority="4"/>
  </conditionalFormatting>
  <conditionalFormatting sqref="B291">
    <cfRule type="duplicateValues" dxfId="2" priority="3"/>
  </conditionalFormatting>
  <conditionalFormatting sqref="B292">
    <cfRule type="duplicateValues" dxfId="1" priority="2"/>
  </conditionalFormatting>
  <conditionalFormatting sqref="B293">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D3" sqref="D3"/>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274</v>
      </c>
      <c r="C1" s="22">
        <f>COUNTIF(sum!I:I, "completed")/(B1-COUNTIF(sum!I:I, "abandoned")-COUNTIF(sum!I:I, "late app"))</f>
        <v>0.96254681647940077</v>
      </c>
      <c r="D1" s="21">
        <f>COUNTIF(sum!I:I, "completed")</f>
        <v>257</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59</v>
      </c>
      <c r="C3" s="10">
        <f>COUNTIFS(sum!I:I,"completed", sum!K:K, "&lt;&gt;") / B3</f>
        <v>0.98305084745762716</v>
      </c>
    </row>
    <row r="5" spans="1:4" ht="26" x14ac:dyDescent="0.6">
      <c r="A5" s="11" t="s">
        <v>401</v>
      </c>
      <c r="B5" s="15">
        <f>COUNTA(sum!J:J) -1</f>
        <v>274</v>
      </c>
      <c r="C5" s="14">
        <f>B5/B1</f>
        <v>1</v>
      </c>
    </row>
    <row r="6" spans="1:4" x14ac:dyDescent="0.4">
      <c r="A6" s="13" t="s">
        <v>402</v>
      </c>
      <c r="B6" s="16">
        <f>COUNTIFS(sum!J:J,"no news")</f>
        <v>255</v>
      </c>
      <c r="C6" s="10">
        <f>B6/$B$5</f>
        <v>0.93065693430656937</v>
      </c>
    </row>
    <row r="7" spans="1:4" x14ac:dyDescent="0.4">
      <c r="A7" s="13" t="s">
        <v>403</v>
      </c>
      <c r="B7" s="16">
        <f>COUNTIFS(sum!J:J,"rejected")</f>
        <v>14</v>
      </c>
      <c r="C7" s="10">
        <f t="shared" ref="C7:C10" si="0">B7/$B$5</f>
        <v>5.1094890510948905E-2</v>
      </c>
    </row>
    <row r="8" spans="1:4" x14ac:dyDescent="0.4">
      <c r="A8" s="13" t="s">
        <v>404</v>
      </c>
      <c r="B8" s="16">
        <f>COUNTIFS(sum!J:J,"interview") + COUNTIFS(sum!J:J,"fly out") + COUNTIFS(sum!J:J,"offer")</f>
        <v>5</v>
      </c>
      <c r="C8" s="10">
        <f t="shared" si="0"/>
        <v>1.824817518248175E-2</v>
      </c>
    </row>
    <row r="9" spans="1:4" x14ac:dyDescent="0.4">
      <c r="A9" s="18" t="s">
        <v>405</v>
      </c>
      <c r="B9" s="16">
        <f xml:space="preserve"> COUNTIFS(sum!J:J,"fly out") + COUNTIFS(sum!J:J,"offer")</f>
        <v>1</v>
      </c>
      <c r="C9" s="10">
        <f t="shared" si="0"/>
        <v>3.6496350364963502E-3</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2025-12-10T22:45:32Z</dcterms:modified>
</cp:coreProperties>
</file>