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A4EE6198-228B-5C4D-98F2-B7C0D018765D}"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 name="stats" sheetId="3" r:id="rId3"/>
  </sheets>
  <definedNames>
    <definedName name="_xlnm._FilterDatabase" localSheetId="0" hidden="1">sum!$A$1:$U$19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3" l="1"/>
  <c r="B5" i="3"/>
  <c r="B10" i="3"/>
  <c r="B9" i="3"/>
  <c r="B8" i="3"/>
  <c r="B7" i="3"/>
  <c r="C3" i="3"/>
  <c r="C2" i="3"/>
  <c r="B3"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9">
    <bk>
      <extLst>
        <ext uri="{3e2802c4-a4d2-4d8b-9148-e3be6c30e623}">
          <xlrd:rvb i="0"/>
        </ext>
      </extLst>
    </bk>
    <bk>
      <extLst>
        <ext uri="{3e2802c4-a4d2-4d8b-9148-e3be6c30e623}">
          <xlrd:rvb i="869"/>
        </ext>
      </extLst>
    </bk>
    <bk>
      <extLst>
        <ext uri="{3e2802c4-a4d2-4d8b-9148-e3be6c30e623}">
          <xlrd:rvb i="948"/>
        </ext>
      </extLst>
    </bk>
    <bk>
      <extLst>
        <ext uri="{3e2802c4-a4d2-4d8b-9148-e3be6c30e623}">
          <xlrd:rvb i="18"/>
        </ext>
      </extLst>
    </bk>
    <bk>
      <extLst>
        <ext uri="{3e2802c4-a4d2-4d8b-9148-e3be6c30e623}">
          <xlrd:rvb i="959"/>
        </ext>
      </extLst>
    </bk>
    <bk>
      <extLst>
        <ext uri="{3e2802c4-a4d2-4d8b-9148-e3be6c30e623}">
          <xlrd:rvb i="1056"/>
        </ext>
      </extLst>
    </bk>
    <bk>
      <extLst>
        <ext uri="{3e2802c4-a4d2-4d8b-9148-e3be6c30e623}">
          <xlrd:rvb i="1139"/>
        </ext>
      </extLst>
    </bk>
    <bk>
      <extLst>
        <ext uri="{3e2802c4-a4d2-4d8b-9148-e3be6c30e623}">
          <xlrd:rvb i="1075"/>
        </ext>
      </extLst>
    </bk>
    <bk>
      <extLst>
        <ext uri="{3e2802c4-a4d2-4d8b-9148-e3be6c30e623}">
          <xlrd:rvb i="1148"/>
        </ext>
      </extLst>
    </bk>
    <bk>
      <extLst>
        <ext uri="{3e2802c4-a4d2-4d8b-9148-e3be6c30e623}">
          <xlrd:rvb i="98"/>
        </ext>
      </extLst>
    </bk>
    <bk>
      <extLst>
        <ext uri="{3e2802c4-a4d2-4d8b-9148-e3be6c30e623}">
          <xlrd:rvb i="63"/>
        </ext>
      </extLst>
    </bk>
    <bk>
      <extLst>
        <ext uri="{3e2802c4-a4d2-4d8b-9148-e3be6c30e623}">
          <xlrd:rvb i="94"/>
        </ext>
      </extLst>
    </bk>
    <bk>
      <extLst>
        <ext uri="{3e2802c4-a4d2-4d8b-9148-e3be6c30e623}">
          <xlrd:rvb i="1225"/>
        </ext>
      </extLst>
    </bk>
    <bk>
      <extLst>
        <ext uri="{3e2802c4-a4d2-4d8b-9148-e3be6c30e623}">
          <xlrd:rvb i="90"/>
        </ext>
      </extLst>
    </bk>
    <bk>
      <extLst>
        <ext uri="{3e2802c4-a4d2-4d8b-9148-e3be6c30e623}">
          <xlrd:rvb i="1290"/>
        </ext>
      </extLst>
    </bk>
    <bk>
      <extLst>
        <ext uri="{3e2802c4-a4d2-4d8b-9148-e3be6c30e623}">
          <xlrd:rvb i="96"/>
        </ext>
      </extLst>
    </bk>
    <bk>
      <extLst>
        <ext uri="{3e2802c4-a4d2-4d8b-9148-e3be6c30e623}">
          <xlrd:rvb i="1345"/>
        </ext>
      </extLst>
    </bk>
    <bk>
      <extLst>
        <ext uri="{3e2802c4-a4d2-4d8b-9148-e3be6c30e623}">
          <xlrd:rvb i="1356"/>
        </ext>
      </extLst>
    </bk>
    <bk>
      <extLst>
        <ext uri="{3e2802c4-a4d2-4d8b-9148-e3be6c30e623}">
          <xlrd:rvb i="58"/>
        </ext>
      </extLst>
    </bk>
    <bk>
      <extLst>
        <ext uri="{3e2802c4-a4d2-4d8b-9148-e3be6c30e623}">
          <xlrd:rvb i="1367"/>
        </ext>
      </extLst>
    </bk>
    <bk>
      <extLst>
        <ext uri="{3e2802c4-a4d2-4d8b-9148-e3be6c30e623}">
          <xlrd:rvb i="429"/>
        </ext>
      </extLst>
    </bk>
    <bk>
      <extLst>
        <ext uri="{3e2802c4-a4d2-4d8b-9148-e3be6c30e623}">
          <xlrd:rvb i="95"/>
        </ext>
      </extLst>
    </bk>
    <bk>
      <extLst>
        <ext uri="{3e2802c4-a4d2-4d8b-9148-e3be6c30e623}">
          <xlrd:rvb i="78"/>
        </ext>
      </extLst>
    </bk>
    <bk>
      <extLst>
        <ext uri="{3e2802c4-a4d2-4d8b-9148-e3be6c30e623}">
          <xlrd:rvb i="1442"/>
        </ext>
      </extLst>
    </bk>
    <bk>
      <extLst>
        <ext uri="{3e2802c4-a4d2-4d8b-9148-e3be6c30e623}">
          <xlrd:rvb i="1453"/>
        </ext>
      </extLst>
    </bk>
    <bk>
      <extLst>
        <ext uri="{3e2802c4-a4d2-4d8b-9148-e3be6c30e623}">
          <xlrd:rvb i="1464"/>
        </ext>
      </extLst>
    </bk>
    <bk>
      <extLst>
        <ext uri="{3e2802c4-a4d2-4d8b-9148-e3be6c30e623}">
          <xlrd:rvb i="148"/>
        </ext>
      </extLst>
    </bk>
    <bk>
      <extLst>
        <ext uri="{3e2802c4-a4d2-4d8b-9148-e3be6c30e623}">
          <xlrd:rvb i="1527"/>
        </ext>
      </extLst>
    </bk>
    <bk>
      <extLst>
        <ext uri="{3e2802c4-a4d2-4d8b-9148-e3be6c30e623}">
          <xlrd:rvb i="59"/>
        </ext>
      </extLst>
    </bk>
    <bk>
      <extLst>
        <ext uri="{3e2802c4-a4d2-4d8b-9148-e3be6c30e623}">
          <xlrd:rvb i="1371"/>
        </ext>
      </extLst>
    </bk>
    <bk>
      <extLst>
        <ext uri="{3e2802c4-a4d2-4d8b-9148-e3be6c30e623}">
          <xlrd:rvb i="80"/>
        </ext>
      </extLst>
    </bk>
    <bk>
      <extLst>
        <ext uri="{3e2802c4-a4d2-4d8b-9148-e3be6c30e623}">
          <xlrd:rvb i="1537"/>
        </ext>
      </extLst>
    </bk>
    <bk>
      <extLst>
        <ext uri="{3e2802c4-a4d2-4d8b-9148-e3be6c30e623}">
          <xlrd:rvb i="71"/>
        </ext>
      </extLst>
    </bk>
    <bk>
      <extLst>
        <ext uri="{3e2802c4-a4d2-4d8b-9148-e3be6c30e623}">
          <xlrd:rvb i="68"/>
        </ext>
      </extLst>
    </bk>
    <bk>
      <extLst>
        <ext uri="{3e2802c4-a4d2-4d8b-9148-e3be6c30e623}">
          <xlrd:rvb i="345"/>
        </ext>
      </extLst>
    </bk>
    <bk>
      <extLst>
        <ext uri="{3e2802c4-a4d2-4d8b-9148-e3be6c30e623}">
          <xlrd:rvb i="87"/>
        </ext>
      </extLst>
    </bk>
    <bk>
      <extLst>
        <ext uri="{3e2802c4-a4d2-4d8b-9148-e3be6c30e623}">
          <xlrd:rvb i="1548"/>
        </ext>
      </extLst>
    </bk>
    <bk>
      <extLst>
        <ext uri="{3e2802c4-a4d2-4d8b-9148-e3be6c30e623}">
          <xlrd:rvb i="1607"/>
        </ext>
      </extLst>
    </bk>
    <bk>
      <extLst>
        <ext uri="{3e2802c4-a4d2-4d8b-9148-e3be6c30e623}">
          <xlrd:rvb i="873"/>
        </ext>
      </extLst>
    </bk>
    <bk>
      <extLst>
        <ext uri="{3e2802c4-a4d2-4d8b-9148-e3be6c30e623}">
          <xlrd:rvb i="101"/>
        </ext>
      </extLst>
    </bk>
    <bk>
      <extLst>
        <ext uri="{3e2802c4-a4d2-4d8b-9148-e3be6c30e623}">
          <xlrd:rvb i="88"/>
        </ext>
      </extLst>
    </bk>
    <bk>
      <extLst>
        <ext uri="{3e2802c4-a4d2-4d8b-9148-e3be6c30e623}">
          <xlrd:rvb i="74"/>
        </ext>
      </extLst>
    </bk>
    <bk>
      <extLst>
        <ext uri="{3e2802c4-a4d2-4d8b-9148-e3be6c30e623}">
          <xlrd:rvb i="66"/>
        </ext>
      </extLst>
    </bk>
    <bk>
      <extLst>
        <ext uri="{3e2802c4-a4d2-4d8b-9148-e3be6c30e623}">
          <xlrd:rvb i="1683"/>
        </ext>
      </extLst>
    </bk>
    <bk>
      <extLst>
        <ext uri="{3e2802c4-a4d2-4d8b-9148-e3be6c30e623}">
          <xlrd:rvb i="1694"/>
        </ext>
      </extLst>
    </bk>
    <bk>
      <extLst>
        <ext uri="{3e2802c4-a4d2-4d8b-9148-e3be6c30e623}">
          <xlrd:rvb i="1703"/>
        </ext>
      </extLst>
    </bk>
    <bk>
      <extLst>
        <ext uri="{3e2802c4-a4d2-4d8b-9148-e3be6c30e623}">
          <xlrd:rvb i="917"/>
        </ext>
      </extLst>
    </bk>
    <bk>
      <extLst>
        <ext uri="{3e2802c4-a4d2-4d8b-9148-e3be6c30e623}">
          <xlrd:rvb i="1712"/>
        </ext>
      </extLst>
    </bk>
    <bk>
      <extLst>
        <ext uri="{3e2802c4-a4d2-4d8b-9148-e3be6c30e623}">
          <xlrd:rvb i="1723"/>
        </ext>
      </extLst>
    </bk>
    <bk>
      <extLst>
        <ext uri="{3e2802c4-a4d2-4d8b-9148-e3be6c30e623}">
          <xlrd:rvb i="1794"/>
        </ext>
      </extLst>
    </bk>
    <bk>
      <extLst>
        <ext uri="{3e2802c4-a4d2-4d8b-9148-e3be6c30e623}">
          <xlrd:rvb i="1805"/>
        </ext>
      </extLst>
    </bk>
    <bk>
      <extLst>
        <ext uri="{3e2802c4-a4d2-4d8b-9148-e3be6c30e623}">
          <xlrd:rvb i="1817"/>
        </ext>
      </extLst>
    </bk>
    <bk>
      <extLst>
        <ext uri="{3e2802c4-a4d2-4d8b-9148-e3be6c30e623}">
          <xlrd:rvb i="1824"/>
        </ext>
      </extLst>
    </bk>
    <bk>
      <extLst>
        <ext uri="{3e2802c4-a4d2-4d8b-9148-e3be6c30e623}">
          <xlrd:rvb i="1895"/>
        </ext>
      </extLst>
    </bk>
    <bk>
      <extLst>
        <ext uri="{3e2802c4-a4d2-4d8b-9148-e3be6c30e623}">
          <xlrd:rvb i="1964"/>
        </ext>
      </extLst>
    </bk>
    <bk>
      <extLst>
        <ext uri="{3e2802c4-a4d2-4d8b-9148-e3be6c30e623}">
          <xlrd:rvb i="1152"/>
        </ext>
      </extLst>
    </bk>
    <bk>
      <extLst>
        <ext uri="{3e2802c4-a4d2-4d8b-9148-e3be6c30e623}">
          <xlrd:rvb i="1060"/>
        </ext>
      </extLst>
    </bk>
    <bk>
      <extLst>
        <ext uri="{3e2802c4-a4d2-4d8b-9148-e3be6c30e623}">
          <xlrd:rvb i="93"/>
        </ext>
      </extLst>
    </bk>
    <bk>
      <extLst>
        <ext uri="{3e2802c4-a4d2-4d8b-9148-e3be6c30e623}">
          <xlrd:rvb i="1975"/>
        </ext>
      </extLst>
    </bk>
    <bk>
      <extLst>
        <ext uri="{3e2802c4-a4d2-4d8b-9148-e3be6c30e623}">
          <xlrd:rvb i="2036"/>
        </ext>
      </extLst>
    </bk>
    <bk>
      <extLst>
        <ext uri="{3e2802c4-a4d2-4d8b-9148-e3be6c30e623}">
          <xlrd:rvb i="2047"/>
        </ext>
      </extLst>
    </bk>
    <bk>
      <extLst>
        <ext uri="{3e2802c4-a4d2-4d8b-9148-e3be6c30e623}">
          <xlrd:rvb i="1729"/>
        </ext>
      </extLst>
    </bk>
    <bk>
      <extLst>
        <ext uri="{3e2802c4-a4d2-4d8b-9148-e3be6c30e623}">
          <xlrd:rvb i="1385"/>
        </ext>
      </extLst>
    </bk>
    <bk>
      <extLst>
        <ext uri="{3e2802c4-a4d2-4d8b-9148-e3be6c30e623}">
          <xlrd:rvb i="2059"/>
        </ext>
      </extLst>
    </bk>
    <bk>
      <extLst>
        <ext uri="{3e2802c4-a4d2-4d8b-9148-e3be6c30e623}">
          <xlrd:rvb i="2114"/>
        </ext>
      </extLst>
    </bk>
    <bk>
      <extLst>
        <ext uri="{3e2802c4-a4d2-4d8b-9148-e3be6c30e623}">
          <xlrd:rvb i="1483"/>
        </ext>
      </extLst>
    </bk>
    <bk>
      <extLst>
        <ext uri="{3e2802c4-a4d2-4d8b-9148-e3be6c30e623}">
          <xlrd:rvb i="2172"/>
        </ext>
      </extLst>
    </bk>
    <bk>
      <extLst>
        <ext uri="{3e2802c4-a4d2-4d8b-9148-e3be6c30e623}">
          <xlrd:rvb i="2238"/>
        </ext>
      </extLst>
    </bk>
    <bk>
      <extLst>
        <ext uri="{3e2802c4-a4d2-4d8b-9148-e3be6c30e623}">
          <xlrd:rvb i="2175"/>
        </ext>
      </extLst>
    </bk>
    <bk>
      <extLst>
        <ext uri="{3e2802c4-a4d2-4d8b-9148-e3be6c30e623}">
          <xlrd:rvb i="2292"/>
        </ext>
      </extLst>
    </bk>
    <bk>
      <extLst>
        <ext uri="{3e2802c4-a4d2-4d8b-9148-e3be6c30e623}">
          <xlrd:rvb i="2334"/>
        </ext>
      </extLst>
    </bk>
    <bk>
      <extLst>
        <ext uri="{3e2802c4-a4d2-4d8b-9148-e3be6c30e623}">
          <xlrd:rvb i="57"/>
        </ext>
      </extLst>
    </bk>
    <bk>
      <extLst>
        <ext uri="{3e2802c4-a4d2-4d8b-9148-e3be6c30e623}">
          <xlrd:rvb i="2065"/>
        </ext>
      </extLst>
    </bk>
    <bk>
      <extLst>
        <ext uri="{3e2802c4-a4d2-4d8b-9148-e3be6c30e623}">
          <xlrd:rvb i="778"/>
        </ext>
      </extLst>
    </bk>
    <bk>
      <extLst>
        <ext uri="{3e2802c4-a4d2-4d8b-9148-e3be6c30e623}">
          <xlrd:rvb i="2341"/>
        </ext>
      </extLst>
    </bk>
    <bk>
      <extLst>
        <ext uri="{3e2802c4-a4d2-4d8b-9148-e3be6c30e623}">
          <xlrd:rvb i="2416"/>
        </ext>
      </extLst>
    </bk>
    <bk>
      <extLst>
        <ext uri="{3e2802c4-a4d2-4d8b-9148-e3be6c30e623}">
          <xlrd:rvb i="76"/>
        </ext>
      </extLst>
    </bk>
    <bk>
      <extLst>
        <ext uri="{3e2802c4-a4d2-4d8b-9148-e3be6c30e623}">
          <xlrd:rvb i="2541"/>
        </ext>
      </extLst>
    </bk>
    <bk>
      <extLst>
        <ext uri="{3e2802c4-a4d2-4d8b-9148-e3be6c30e623}">
          <xlrd:rvb i="2550"/>
        </ext>
      </extLst>
    </bk>
    <bk>
      <extLst>
        <ext uri="{3e2802c4-a4d2-4d8b-9148-e3be6c30e623}">
          <xlrd:rvb i="1228"/>
        </ext>
      </extLst>
    </bk>
    <bk>
      <extLst>
        <ext uri="{3e2802c4-a4d2-4d8b-9148-e3be6c30e623}">
          <xlrd:rvb i="2597"/>
        </ext>
      </extLst>
    </bk>
    <bk>
      <extLst>
        <ext uri="{3e2802c4-a4d2-4d8b-9148-e3be6c30e623}">
          <xlrd:rvb i="62"/>
        </ext>
      </extLst>
    </bk>
    <bk>
      <extLst>
        <ext uri="{3e2802c4-a4d2-4d8b-9148-e3be6c30e623}">
          <xlrd:rvb i="2656"/>
        </ext>
      </extLst>
    </bk>
    <bk>
      <extLst>
        <ext uri="{3e2802c4-a4d2-4d8b-9148-e3be6c30e623}">
          <xlrd:rvb i="2708"/>
        </ext>
      </extLst>
    </bk>
    <bk>
      <extLst>
        <ext uri="{3e2802c4-a4d2-4d8b-9148-e3be6c30e623}">
          <xlrd:rvb i="86"/>
        </ext>
      </extLst>
    </bk>
    <bk>
      <extLst>
        <ext uri="{3e2802c4-a4d2-4d8b-9148-e3be6c30e623}">
          <xlrd:rvb i="2772"/>
        </ext>
      </extLst>
    </bk>
    <bk>
      <extLst>
        <ext uri="{3e2802c4-a4d2-4d8b-9148-e3be6c30e623}">
          <xlrd:rvb i="704"/>
        </ext>
      </extLst>
    </bk>
    <bk>
      <extLst>
        <ext uri="{3e2802c4-a4d2-4d8b-9148-e3be6c30e623}">
          <xlrd:rvb i="60"/>
        </ext>
      </extLst>
    </bk>
    <bk>
      <extLst>
        <ext uri="{3e2802c4-a4d2-4d8b-9148-e3be6c30e623}">
          <xlrd:rvb i="97"/>
        </ext>
      </extLst>
    </bk>
  </futureMetadata>
  <valueMetadata count="8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valueMetadata>
</metadata>
</file>

<file path=xl/sharedStrings.xml><?xml version="1.0" encoding="utf-8"?>
<sst xmlns="http://schemas.openxmlformats.org/spreadsheetml/2006/main" count="1436" uniqueCount="569">
  <si>
    <t>add_id</t>
  </si>
  <si>
    <t>add_category</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</si>
  <si>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</si>
  <si>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</si>
  <si>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</si>
  <si>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</si>
  <si>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</si>
  <si>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</si>
  <si>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</si>
  <si>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</si>
  <si>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</si>
  <si>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</si>
  <si>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</si>
  <si>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</si>
  <si>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</si>
  <si>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</si>
  <si>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</si>
  <si>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</si>
  <si>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</si>
  <si>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</si>
  <si>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</si>
  <si>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</si>
  <si>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</si>
  <si>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</si>
  <si>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</si>
  <si>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</si>
  <si>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</si>
  <si>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</si>
  <si>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</si>
  <si>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</si>
  <si>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</si>
  <si>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</si>
  <si>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</si>
  <si>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</si>
  <si>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</si>
  <si>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</si>
  <si>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</si>
  <si>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</si>
  <si>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</si>
  <si>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</si>
  <si>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</si>
  <si>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</si>
  <si>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</si>
  <si>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</si>
  <si>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</si>
  <si>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</si>
  <si>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</si>
  <si>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</si>
  <si>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</si>
  <si>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</si>
  <si>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</si>
  <si>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</si>
  <si>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</si>
  <si>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</si>
  <si>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</si>
  <si>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</si>
  <si>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</si>
  <si>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</si>
  <si>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</si>
  <si>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</si>
  <si>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</si>
  <si>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</si>
  <si>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</si>
  <si>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</si>
  <si>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</si>
  <si>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</si>
  <si>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</si>
  <si>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</si>
  <si>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</si>
  <si>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</si>
  <si>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</si>
  <si>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</si>
  <si>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</si>
  <si>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</si>
  <si>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</si>
  <si>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</si>
  <si>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</si>
  <si>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</si>
  <si>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</si>
  <si>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</si>
  <si>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</si>
  <si>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</si>
  <si>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</si>
  <si>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</si>
  <si>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</si>
  <si>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</si>
  <si>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</si>
  <si>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</si>
  <si>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</si>
  <si>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</si>
  <si>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</si>
  <si>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</si>
  <si>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</si>
  <si>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</si>
  <si>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</si>
  <si>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</si>
  <si>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</si>
  <si>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</si>
  <si>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</si>
  <si>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</si>
  <si>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</si>
  <si>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</si>
  <si>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</si>
  <si>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</si>
  <si>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</si>
  <si>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</si>
  <si>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</si>
  <si>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</si>
  <si>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</si>
  <si>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</si>
  <si>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</si>
  <si>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</si>
  <si>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</si>
  <si>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</si>
  <si>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</si>
  <si>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</si>
  <si>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</si>
  <si>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</si>
  <si>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</si>
  <si>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</si>
  <si>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</si>
  <si>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</si>
  <si>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</si>
  <si>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</si>
  <si>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</si>
  <si>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</si>
  <si>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</si>
  <si>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</si>
  <si>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</si>
  <si>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</si>
  <si>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</si>
  <si>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</si>
  <si>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</si>
  <si>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</si>
  <si>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</si>
  <si>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</si>
  <si>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</si>
  <si>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</si>
  <si>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</si>
  <si>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</si>
  <si>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</si>
  <si>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</si>
  <si>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</si>
  <si>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</si>
  <si>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</si>
  <si>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</si>
  <si>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</si>
  <si>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</si>
  <si>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</si>
  <si>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</si>
  <si>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</si>
  <si>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</si>
  <si>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</si>
  <si>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</si>
  <si>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</si>
  <si>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</si>
  <si>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</si>
  <si>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</si>
  <si>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</si>
  <si>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</si>
  <si>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</si>
  <si>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</si>
  <si>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</si>
  <si>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</si>
  <si>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</si>
  <si>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</si>
  <si>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</si>
  <si>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</si>
  <si>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</si>
  <si>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</si>
  <si>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</si>
  <si>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</si>
  <si>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</si>
  <si>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</si>
  <si>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</si>
  <si>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</si>
  <si>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</si>
  <si>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</si>
  <si>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</si>
  <si>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</si>
  <si>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</si>
  <si>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</si>
  <si>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</si>
  <si>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</si>
  <si>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</si>
  <si>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</si>
  <si>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</si>
  <si>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</si>
  <si>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</si>
  <si>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</si>
  <si>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</si>
  <si>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</si>
  <si>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</si>
  <si>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</si>
  <si>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</si>
  <si>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</si>
  <si>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</si>
  <si>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</si>
  <si>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</si>
  <si>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</si>
  <si>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</si>
  <si>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</si>
  <si>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</si>
  <si>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</si>
  <si>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</si>
  <si>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</si>
  <si>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</si>
  <si>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</si>
  <si>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</si>
  <si>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</si>
  <si>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</si>
  <si>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</si>
  <si>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</si>
  <si>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</si>
  <si>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</si>
  <si>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</si>
  <si>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</si>
  <si>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</si>
  <si>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</si>
  <si>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</si>
  <si>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</si>
  <si>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</si>
  <si>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</si>
  <si>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</si>
  <si>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</si>
  <si>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</si>
  <si>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</si>
  <si>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</si>
  <si>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</si>
  <si>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</si>
  <si>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</si>
  <si>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</si>
  <si>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</si>
  <si>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</si>
  <si>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</si>
  <si>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</si>
  <si>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</si>
  <si>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</si>
  <si>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</si>
  <si>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</si>
  <si>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</si>
  <si>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</si>
  <si>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</si>
  <si>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</si>
  <si>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</si>
  <si>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</si>
  <si>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</si>
  <si>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</si>
  <si>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</si>
  <si>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</si>
  <si>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</si>
  <si>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</si>
  <si>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</si>
  <si>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</si>
  <si>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</si>
  <si>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</si>
  <si>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</si>
  <si>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</si>
  <si>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</si>
  <si>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</si>
  <si>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</si>
  <si>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</si>
  <si>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</si>
  <si>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</si>
  <si>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</si>
  <si>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</si>
  <si>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</si>
  <si>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</si>
  <si>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</si>
  <si>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</si>
  <si>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</si>
  <si>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</si>
  <si>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</si>
  <si>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</si>
  <si>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</si>
  <si>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</si>
  <si>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</si>
  <si>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</si>
  <si>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</si>
  <si>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</si>
  <si>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</si>
  <si>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</si>
  <si>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</si>
  <si>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</si>
  <si>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</si>
  <si>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</si>
  <si>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</si>
  <si>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</si>
  <si>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</si>
  <si>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</si>
  <si>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</si>
  <si>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</si>
  <si>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</si>
  <si>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</si>
  <si>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</si>
  <si>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</si>
  <si>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</si>
  <si>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</si>
  <si>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</si>
  <si>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</si>
  <si>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</si>
  <si>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</si>
  <si>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</si>
  <si>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</si>
  <si>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</si>
  <si>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</si>
  <si>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</si>
  <si>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</si>
  <si>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</si>
  <si>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</si>
  <si>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</si>
  <si>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</si>
  <si>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</si>
  <si>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</si>
  <si>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</si>
  <si>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</si>
  <si>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</si>
  <si>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</si>
  <si>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</si>
  <si>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</si>
  <si>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</si>
  <si>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</si>
  <si>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</si>
  <si>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</si>
  <si>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</si>
  <si>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</si>
  <si>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</si>
  <si>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</si>
  <si>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</si>
  <si>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</si>
  <si>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</si>
  <si>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</si>
  <si>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</si>
  <si>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</si>
  <si>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</si>
  <si>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</si>
  <si>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</si>
  <si>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</si>
  <si>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</si>
  <si>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</si>
  <si>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</si>
  <si>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</si>
  <si>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</si>
  <si>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</si>
  <si>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</si>
  <si>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</si>
  <si>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</si>
  <si>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</si>
  <si>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</si>
  <si>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</si>
  <si>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</si>
  <si>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</si>
  <si>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</si>
  <si>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</si>
  <si>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</si>
  <si>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</si>
  <si>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</si>
  <si>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</si>
  <si>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</si>
  <si>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</si>
  <si>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</si>
  <si>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</si>
  <si>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</si>
  <si>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</si>
  <si>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</si>
  <si>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</si>
  <si>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</si>
  <si>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</si>
  <si>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</si>
  <si>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</si>
  <si>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</si>
  <si>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</si>
  <si>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</si>
  <si>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</si>
  <si>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</si>
  <si>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</si>
  <si>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</si>
  <si>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</si>
  <si>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</si>
  <si>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</si>
  <si>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</si>
  <si>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</si>
  <si>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</si>
  <si>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</si>
  <si>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</si>
  <si>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</si>
  <si>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</si>
  <si>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</si>
  <si>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</si>
  <si>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</si>
  <si>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</si>
  <si>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</si>
  <si>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</si>
  <si>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</si>
  <si>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</si>
  <si>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</si>
  <si>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</si>
  <si>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</si>
  <si>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</si>
  <si>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</si>
  <si>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</si>
  <si>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</si>
  <si>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</si>
  <si>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</si>
  <si>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</si>
  <si>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</si>
  <si>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</si>
  <si>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</si>
  <si>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</si>
  <si>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</si>
  <si>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</si>
  <si>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</si>
  <si>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</si>
  <si>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</si>
  <si>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</si>
  <si>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</si>
  <si>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</si>
  <si>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</si>
  <si>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</si>
  <si>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</si>
  <si>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</si>
  <si>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</si>
  <si>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</si>
  <si>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</si>
  <si>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</si>
  <si>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</si>
  <si>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</si>
  <si>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</si>
  <si>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</si>
  <si>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</si>
  <si>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</si>
  <si>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</si>
  <si>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</si>
  <si>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</si>
  <si>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</si>
  <si>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</si>
  <si>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</si>
  <si>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</si>
  <si>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</si>
  <si>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</si>
  <si>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</si>
  <si>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</si>
  <si>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</si>
  <si>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</si>
  <si>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</si>
  <si>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</si>
  <si>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lisbon_cat</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</si>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</sst>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0" fillId="0" borderId="0" xfId="0" applyAlignment="1"/>
  </cellXfs>
  <cellStyles count="3">
    <cellStyle name="Hyperlink" xfId="1" builtinId="8"/>
    <cellStyle name="Normal" xfId="0" builtinId="0"/>
    <cellStyle name="Percent" xfId="2" builtinId="5"/>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ymB-aUlVtIPobu-J0CqOfis9WIfVxNvQ7P37PoJG0Dw&amp;qlt=95" TargetMode="External"/><Relationship Id="rId21" Type="http://schemas.openxmlformats.org/officeDocument/2006/relationships/hyperlink" Target="https://www.bing.com/th?id=OSK.153231065b610cb99cb3435b59eccac2&amp;qlt=95" TargetMode="External"/><Relationship Id="rId42" Type="http://schemas.openxmlformats.org/officeDocument/2006/relationships/hyperlink" Target="https://www.bing.com/images/search?form=xlimg&amp;q=South%20Carolina" TargetMode="External"/><Relationship Id="rId63" Type="http://schemas.openxmlformats.org/officeDocument/2006/relationships/hyperlink" Target="https://www.bing.com/th?id=OSK.773b6665641a8c212ab63e5cae9d8ffd&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Switzerland"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South%20Korea" TargetMode="External"/><Relationship Id="rId107" Type="http://schemas.openxmlformats.org/officeDocument/2006/relationships/hyperlink" Target="https://www.bing.com/th?id=OSK.bed9fc3690f3414a4850855fee332f1c&amp;qlt=95" TargetMode="External"/><Relationship Id="rId11" Type="http://schemas.openxmlformats.org/officeDocument/2006/relationships/hyperlink" Target="https://www.bing.com/th?id=OSK.e3cff3492e954506af4fb2c8552f6135&amp;qlt=95" TargetMode="External"/><Relationship Id="rId32" Type="http://schemas.openxmlformats.org/officeDocument/2006/relationships/hyperlink" Target="https://www.bing.com/images/search?form=xlimg&amp;q=Nebraska" TargetMode="External"/><Relationship Id="rId53" Type="http://schemas.openxmlformats.org/officeDocument/2006/relationships/hyperlink" Target="https://www.bing.com/th?id=OSK.0678bd4067f4a421f3884b05dad25be4&amp;qlt=95" TargetMode="External"/><Relationship Id="rId74" Type="http://schemas.openxmlformats.org/officeDocument/2006/relationships/hyperlink" Target="https://www.bing.com/images/search?form=xlimg&amp;q=Tokyo" TargetMode="External"/><Relationship Id="rId128" Type="http://schemas.openxmlformats.org/officeDocument/2006/relationships/hyperlink" Target="https://www.bing.com/images/search?form=xlimg&amp;q=Sweden" TargetMode="External"/><Relationship Id="rId149" Type="http://schemas.openxmlformats.org/officeDocument/2006/relationships/hyperlink" Target="https://www.bing.com/th?id=OSK.3666846595b7a7ef3fd0663d5b9791f3&amp;qlt=95" TargetMode="External"/><Relationship Id="rId5" Type="http://schemas.openxmlformats.org/officeDocument/2006/relationships/hyperlink" Target="https://www.bing.com/th?id=OSK.mO4XHwrP6yfKa7Avo1I5bKuv0yIDhsmaBtDzMrZXF_E&amp;qlt=95" TargetMode="External"/><Relationship Id="rId95" Type="http://schemas.openxmlformats.org/officeDocument/2006/relationships/hyperlink" Target="https://www.bing.com/th?id=OSK.02dc9ff1a450802efeaa9ce03d0c03cc&amp;qlt=95" TargetMode="External"/><Relationship Id="rId160" Type="http://schemas.openxmlformats.org/officeDocument/2006/relationships/hyperlink" Target="https://www.bing.com/images/search?form=xlimg&amp;q=Denmark" TargetMode="External"/><Relationship Id="rId22" Type="http://schemas.openxmlformats.org/officeDocument/2006/relationships/hyperlink" Target="https://www.bing.com/images/search?form=xlimg&amp;q=Iowa" TargetMode="External"/><Relationship Id="rId43" Type="http://schemas.openxmlformats.org/officeDocument/2006/relationships/hyperlink" Target="https://www.bing.com/th?id=OSK.26f38040dc3621419471c380612daf02&amp;qlt=95" TargetMode="External"/><Relationship Id="rId64" Type="http://schemas.openxmlformats.org/officeDocument/2006/relationships/hyperlink" Target="https://www.bing.com/images/search?form=xlimg&amp;q=Burnaby" TargetMode="External"/><Relationship Id="rId118" Type="http://schemas.openxmlformats.org/officeDocument/2006/relationships/hyperlink" Target="https://www.bing.com/images/search?form=xlimg&amp;q=Colombia" TargetMode="External"/><Relationship Id="rId139" Type="http://schemas.openxmlformats.org/officeDocument/2006/relationships/hyperlink" Target="https://www.bing.com/th?id=OSK.09cf279ad5c4bf29528ac1780d0c14bc&amp;qlt=95" TargetMode="External"/><Relationship Id="rId85" Type="http://schemas.openxmlformats.org/officeDocument/2006/relationships/hyperlink" Target="https://www.bing.com/th?id=OSK.IJoB2IAflCzjheZJfaz5mfzEWw5jRcoWEgDQz1yU2Yk&amp;qlt=95" TargetMode="External"/><Relationship Id="rId150" Type="http://schemas.openxmlformats.org/officeDocument/2006/relationships/hyperlink" Target="https://www.bing.com/images/search?form=xlimg&amp;q=London" TargetMode="External"/><Relationship Id="rId171" Type="http://schemas.openxmlformats.org/officeDocument/2006/relationships/hyperlink" Target="https://www.bing.com/th?id=OSK.5ca82a675c844491e9b0ecb82e975a85&amp;qlt=95" TargetMode="External"/><Relationship Id="rId12" Type="http://schemas.openxmlformats.org/officeDocument/2006/relationships/hyperlink" Target="https://www.bing.com/images/search?form=xlimg&amp;q=Colorado" TargetMode="External"/><Relationship Id="rId33" Type="http://schemas.openxmlformats.org/officeDocument/2006/relationships/hyperlink" Target="https://www.bing.com/th?id=OSK.03c72211b35cb109bcdc7d51ef4f03c5&amp;qlt=95" TargetMode="External"/><Relationship Id="rId108" Type="http://schemas.openxmlformats.org/officeDocument/2006/relationships/hyperlink" Target="https://www.bing.com/images/search?form=xlimg&amp;q=Australia" TargetMode="External"/><Relationship Id="rId129" Type="http://schemas.openxmlformats.org/officeDocument/2006/relationships/hyperlink" Target="https://www.bing.com/th?id=OSK.e3Qk7VDK3s_UJdkFUPfcNiPKTMmjgFfoGSCJzeg6YI8&amp;qlt=95" TargetMode="External"/><Relationship Id="rId54" Type="http://schemas.openxmlformats.org/officeDocument/2006/relationships/hyperlink" Target="https://www.bing.com/images/search?form=xlimg&amp;q=Wisconsin" TargetMode="External"/><Relationship Id="rId75" Type="http://schemas.openxmlformats.org/officeDocument/2006/relationships/hyperlink" Target="https://www.bing.com/th?id=OSK.8dbe7163fcbe6a0f90507138513473b1&amp;qlt=95" TargetMode="External"/><Relationship Id="rId96" Type="http://schemas.openxmlformats.org/officeDocument/2006/relationships/hyperlink" Target="https://www.bing.com/images/search?form=xlimg&amp;q=Poughkeepsie,%20New%20York" TargetMode="External"/><Relationship Id="rId140" Type="http://schemas.openxmlformats.org/officeDocument/2006/relationships/hyperlink" Target="https://www.bing.com/images/search?form=xlimg&amp;q=Pittsburgh" TargetMode="External"/><Relationship Id="rId161" Type="http://schemas.openxmlformats.org/officeDocument/2006/relationships/hyperlink" Target="https://www.bing.com/th?id=OSK.cf17e786b97fde4860ff0b98a404701f&amp;qlt=95"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fa968de5bc9179e15dd5970b87b94444&amp;qlt=95" TargetMode="External"/><Relationship Id="rId28" Type="http://schemas.openxmlformats.org/officeDocument/2006/relationships/hyperlink" Target="https://www.bing.com/images/search?form=xlimg&amp;q=Minnesota" TargetMode="External"/><Relationship Id="rId49" Type="http://schemas.openxmlformats.org/officeDocument/2006/relationships/hyperlink" Target="https://www.bing.com/th?id=OSK.1cfcbb65e7439d46cfb4b0db17de4825&amp;qlt=95" TargetMode="External"/><Relationship Id="rId114" Type="http://schemas.openxmlformats.org/officeDocument/2006/relationships/hyperlink" Target="https://www.bing.com/images/search?form=xlimg&amp;q=Albany,%20New%20York" TargetMode="External"/><Relationship Id="rId119" Type="http://schemas.openxmlformats.org/officeDocument/2006/relationships/hyperlink" Target="https://www.bing.com/th?id=OSK.6641bf95272891c69b797660a285d90d&amp;qlt=95" TargetMode="External"/><Relationship Id="rId44" Type="http://schemas.openxmlformats.org/officeDocument/2006/relationships/hyperlink" Target="https://www.bing.com/images/search?form=xlimg&amp;q=Tennessee" TargetMode="External"/><Relationship Id="rId60" Type="http://schemas.openxmlformats.org/officeDocument/2006/relationships/hyperlink" Target="https://www.bing.com/images/search?form=xlimg&amp;q=Houston" TargetMode="External"/><Relationship Id="rId65" Type="http://schemas.openxmlformats.org/officeDocument/2006/relationships/hyperlink" Target="https://www.bing.com/th?id=OSK.f2dbd079068622692d8b57832120921d&amp;qlt=95" TargetMode="External"/><Relationship Id="rId81" Type="http://schemas.openxmlformats.org/officeDocument/2006/relationships/hyperlink" Target="https://www.bing.com/th?id=OSK.a49f4d89d8633cc23c43eee956972f90&amp;qlt=95" TargetMode="External"/><Relationship Id="rId86" Type="http://schemas.openxmlformats.org/officeDocument/2006/relationships/hyperlink" Target="https://www.bing.com/images/search?form=xlimg&amp;q=France" TargetMode="External"/><Relationship Id="rId130" Type="http://schemas.openxmlformats.org/officeDocument/2006/relationships/hyperlink" Target="https://www.bing.com/images/search?form=xlimg&amp;q=Stockholm" TargetMode="External"/><Relationship Id="rId135" Type="http://schemas.openxmlformats.org/officeDocument/2006/relationships/hyperlink" Target="https://www.bing.com/th?id=OSK.380316b6ec7e3f5c2fadae3206181af4&amp;qlt=95" TargetMode="External"/><Relationship Id="rId151" Type="http://schemas.openxmlformats.org/officeDocument/2006/relationships/hyperlink" Target="https://www.bing.com/th?id=OSK.ea703288926093d94f3ee0ae48dc323c&amp;qlt=95" TargetMode="External"/><Relationship Id="rId156" Type="http://schemas.openxmlformats.org/officeDocument/2006/relationships/hyperlink" Target="https://www.bing.com/images/search?form=xlimg&amp;q=Portugal" TargetMode="External"/><Relationship Id="rId172" Type="http://schemas.openxmlformats.org/officeDocument/2006/relationships/hyperlink" Target="https://www.bing.com/images/search?form=xlimg&amp;q=South%20Africa" TargetMode="External"/><Relationship Id="rId13" Type="http://schemas.openxmlformats.org/officeDocument/2006/relationships/hyperlink" Target="https://www.bing.com/th?id=OSK.30ceb575fb4214ce576b42df18666e43&amp;qlt=95" TargetMode="External"/><Relationship Id="rId18" Type="http://schemas.openxmlformats.org/officeDocument/2006/relationships/hyperlink" Target="https://www.bing.com/images/search?form=xlimg&amp;q=Georgia%20(U.S.%20state)" TargetMode="External"/><Relationship Id="rId39" Type="http://schemas.openxmlformats.org/officeDocument/2006/relationships/hyperlink" Target="https://www.bing.com/th?id=OSK.7bfbead25a8cd788f9ef5c17097be1bc&amp;qlt=95" TargetMode="External"/><Relationship Id="rId109" Type="http://schemas.openxmlformats.org/officeDocument/2006/relationships/hyperlink" Target="https://www.bing.com/th?id=OSK.acf52e657f7121979fdc9bcae43ce646&amp;qlt=95" TargetMode="External"/><Relationship Id="rId34" Type="http://schemas.openxmlformats.org/officeDocument/2006/relationships/hyperlink" Target="https://www.bing.com/images/search?form=xlimg&amp;q=North%20Carolina" TargetMode="External"/><Relationship Id="rId50" Type="http://schemas.openxmlformats.org/officeDocument/2006/relationships/hyperlink" Target="https://www.bing.com/images/search?form=xlimg&amp;q=Vermont" TargetMode="External"/><Relationship Id="rId55" Type="http://schemas.openxmlformats.org/officeDocument/2006/relationships/hyperlink" Target="https://www.bing.com/th?id=OSK.gwa-EN4TFCH7Z0dxE6E8LbA5EynvrRp4OgLZO4hNrQY&amp;qlt=95" TargetMode="External"/><Relationship Id="rId76" Type="http://schemas.openxmlformats.org/officeDocument/2006/relationships/hyperlink" Target="https://www.bing.com/images/search?form=xlimg&amp;q=Reus" TargetMode="External"/><Relationship Id="rId97" Type="http://schemas.openxmlformats.org/officeDocument/2006/relationships/hyperlink" Target="https://www.bing.com/th?id=OSK.5d4f58204601fa1f31c408c65607c0ed&amp;qlt=95" TargetMode="External"/><Relationship Id="rId104" Type="http://schemas.openxmlformats.org/officeDocument/2006/relationships/hyperlink" Target="https://www.bing.com/images/search?form=xlimg&amp;q=Lewiston,%20Maine" TargetMode="External"/><Relationship Id="rId120" Type="http://schemas.openxmlformats.org/officeDocument/2006/relationships/hyperlink" Target="https://www.bing.com/images/search?form=xlimg&amp;q=Ithaca,%20New%20York" TargetMode="External"/><Relationship Id="rId125" Type="http://schemas.openxmlformats.org/officeDocument/2006/relationships/hyperlink" Target="https://www.bing.com/th?id=OSK._Iya-udDkrlK0__v9ZcJMV2atfwt1DFcE6QTi3fgLfU&amp;qlt=95" TargetMode="External"/><Relationship Id="rId141" Type="http://schemas.openxmlformats.org/officeDocument/2006/relationships/hyperlink" Target="https://www.bing.com/th?id=OSK.7ea08d999100e33f03f970c4c3a5b798&amp;qlt=95" TargetMode="External"/><Relationship Id="rId146" Type="http://schemas.openxmlformats.org/officeDocument/2006/relationships/hyperlink" Target="https://www.bing.com/images/search?form=xlimg&amp;q=Getafe" TargetMode="External"/><Relationship Id="rId167" Type="http://schemas.openxmlformats.org/officeDocument/2006/relationships/hyperlink" Target="https://www.bing.com/th?id=OSK.d9b621cc7d88019e0d716dda1c17a307&amp;qlt=95" TargetMode="External"/><Relationship Id="rId7" Type="http://schemas.openxmlformats.org/officeDocument/2006/relationships/hyperlink" Target="https://www.bing.com/th?id=OSK.753ebef48024a78057065fde53116aa7&amp;qlt=95" TargetMode="External"/><Relationship Id="rId71" Type="http://schemas.openxmlformats.org/officeDocument/2006/relationships/hyperlink" Target="https://www.bing.com/th?id=OSK.mTs9AdlNDLziaMN3BIhJpWCGZaOOUwqIR2jN3FJEeTw&amp;qlt=95" TargetMode="External"/><Relationship Id="rId92" Type="http://schemas.openxmlformats.org/officeDocument/2006/relationships/hyperlink" Target="https://www.bing.com/images/search?form=xlimg&amp;q=Netherlands" TargetMode="External"/><Relationship Id="rId162" Type="http://schemas.openxmlformats.org/officeDocument/2006/relationships/hyperlink" Target="https://www.bing.com/images/search?form=xlimg&amp;q=Mexico"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1cd4f85af3824efb5042b916ad3717a9&amp;qlt=95" TargetMode="External"/><Relationship Id="rId24" Type="http://schemas.openxmlformats.org/officeDocument/2006/relationships/hyperlink" Target="https://www.bing.com/images/search?form=xlimg&amp;q=Louisiana" TargetMode="External"/><Relationship Id="rId40" Type="http://schemas.openxmlformats.org/officeDocument/2006/relationships/hyperlink" Target="https://www.bing.com/images/search?form=xlimg&amp;q=Pennsylvania" TargetMode="External"/><Relationship Id="rId45" Type="http://schemas.openxmlformats.org/officeDocument/2006/relationships/hyperlink" Target="https://www.bing.com/th?id=OSK.64a722b3d40292398291610dc8c47d2c&amp;qlt=95" TargetMode="External"/><Relationship Id="rId66" Type="http://schemas.openxmlformats.org/officeDocument/2006/relationships/hyperlink" Target="https://www.bing.com/images/search?form=xlimg&amp;q=Canada"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ydney" TargetMode="External"/><Relationship Id="rId115" Type="http://schemas.openxmlformats.org/officeDocument/2006/relationships/hyperlink" Target="https://www.bing.com/th?id=OSK.YyStd3n6FeCyDWZVKn54i8IqezKRsFpq7XThd1PUiDk&amp;qlt=95" TargetMode="External"/><Relationship Id="rId131" Type="http://schemas.openxmlformats.org/officeDocument/2006/relationships/hyperlink" Target="https://www.bing.com/th?id=OSK.337e8134685d10178f58f9902cf80329&amp;qlt=95" TargetMode="External"/><Relationship Id="rId136" Type="http://schemas.openxmlformats.org/officeDocument/2006/relationships/hyperlink" Target="https://www.bing.com/images/search?form=xlimg&amp;q=Brazil" TargetMode="External"/><Relationship Id="rId157" Type="http://schemas.openxmlformats.org/officeDocument/2006/relationships/hyperlink" Target="https://www.bing.com/th?id=OSK.25df30c19d33bb8b6b2e0396595bbfd6&amp;qlt=95" TargetMode="External"/><Relationship Id="rId61" Type="http://schemas.openxmlformats.org/officeDocument/2006/relationships/hyperlink" Target="https://www.bing.com/th?id=OSK.aa77111f4bd33218be847893f0d58cbf&amp;qlt=95" TargetMode="External"/><Relationship Id="rId82" Type="http://schemas.openxmlformats.org/officeDocument/2006/relationships/hyperlink" Target="https://www.bing.com/images/search?form=xlimg&amp;q=Wellesley,%20Massachusetts" TargetMode="External"/><Relationship Id="rId152" Type="http://schemas.openxmlformats.org/officeDocument/2006/relationships/hyperlink" Target="https://www.bing.com/images/search?form=xlimg&amp;q=Finland" TargetMode="External"/><Relationship Id="rId173" Type="http://schemas.openxmlformats.org/officeDocument/2006/relationships/hyperlink" Target="https://www.bing.com/th?id=OSK.1edc269d232791835391410ad86aef09&amp;qlt=95" TargetMode="External"/><Relationship Id="rId19" Type="http://schemas.openxmlformats.org/officeDocument/2006/relationships/hyperlink" Target="https://www.bing.com/th?id=OSK.25a374587d56b5b92ef759ecb4ca433e&amp;qlt=95" TargetMode="External"/><Relationship Id="rId14" Type="http://schemas.openxmlformats.org/officeDocument/2006/relationships/hyperlink" Target="https://www.bing.com/images/search?form=xlimg&amp;q=Connecticut" TargetMode="External"/><Relationship Id="rId30" Type="http://schemas.openxmlformats.org/officeDocument/2006/relationships/hyperlink" Target="https://www.bing.com/images/search?form=xlimg&amp;q=Missouri" TargetMode="External"/><Relationship Id="rId35" Type="http://schemas.openxmlformats.org/officeDocument/2006/relationships/hyperlink" Target="https://www.bing.com/th?id=OSK.c7564e2587d2574bf5d87241964f6496&amp;qlt=95" TargetMode="External"/><Relationship Id="rId56" Type="http://schemas.openxmlformats.org/officeDocument/2006/relationships/hyperlink" Target="https://www.bing.com/images/search?form=xlimg&amp;q=Chicago" TargetMode="External"/><Relationship Id="rId77" Type="http://schemas.openxmlformats.org/officeDocument/2006/relationships/hyperlink" Target="https://www.bing.com/th?id=OSK.fbb71d5e592f7fda00cf81328e03b81f&amp;qlt=95" TargetMode="External"/><Relationship Id="rId100" Type="http://schemas.openxmlformats.org/officeDocument/2006/relationships/hyperlink" Target="https://www.bing.com/images/search?form=xlimg&amp;q=Germany" TargetMode="External"/><Relationship Id="rId105" Type="http://schemas.openxmlformats.org/officeDocument/2006/relationships/hyperlink" Target="https://www.bing.com/th?id=OSK.8715b8e5a0275c579963b6d5bf20d290&amp;qlt=95" TargetMode="External"/><Relationship Id="rId126" Type="http://schemas.openxmlformats.org/officeDocument/2006/relationships/hyperlink" Target="https://www.bing.com/images/search?form=xlimg&amp;q=Portland,%20Oregon" TargetMode="External"/><Relationship Id="rId147" Type="http://schemas.openxmlformats.org/officeDocument/2006/relationships/hyperlink" Target="https://www.bing.com/th?id=OSK.1a33b5115bfc290abc8869de29ebd567&amp;qlt=95" TargetMode="External"/><Relationship Id="rId168" Type="http://schemas.openxmlformats.org/officeDocument/2006/relationships/hyperlink" Target="https://www.bing.com/images/search?form=xlimg&amp;q=Slovakia" TargetMode="External"/><Relationship Id="rId8" Type="http://schemas.openxmlformats.org/officeDocument/2006/relationships/hyperlink" Target="https://www.bing.com/images/search?form=xlimg&amp;q=Arkansas" TargetMode="External"/><Relationship Id="rId51" Type="http://schemas.openxmlformats.org/officeDocument/2006/relationships/hyperlink" Target="https://www.bing.com/th?id=OSK.14d323e3784d30722d6785a6cef8f9c3&amp;qlt=95" TargetMode="External"/><Relationship Id="rId72" Type="http://schemas.openxmlformats.org/officeDocument/2006/relationships/hyperlink" Target="https://www.bing.com/images/search?form=xlimg&amp;q=Japan" TargetMode="External"/><Relationship Id="rId93" Type="http://schemas.openxmlformats.org/officeDocument/2006/relationships/hyperlink" Target="https://www.bing.com/th?id=OSK.da9f1ba81b537e79571230c8ed6cac8a&amp;qlt=95" TargetMode="External"/><Relationship Id="rId98" Type="http://schemas.openxmlformats.org/officeDocument/2006/relationships/hyperlink" Target="https://www.bing.com/images/search?form=xlimg&amp;q=Hanover" TargetMode="External"/><Relationship Id="rId121" Type="http://schemas.openxmlformats.org/officeDocument/2006/relationships/hyperlink" Target="https://www.bing.com/th?id=OSK.5de40238d1b2968500f71cdf66cc13ef&amp;qlt=95" TargetMode="External"/><Relationship Id="rId142" Type="http://schemas.openxmlformats.org/officeDocument/2006/relationships/hyperlink" Target="https://www.bing.com/images/search?form=xlimg&amp;q=Uruguay" TargetMode="External"/><Relationship Id="rId163" Type="http://schemas.openxmlformats.org/officeDocument/2006/relationships/hyperlink" Target="https://www.bing.com/th?id=OSK.-vv9GBngWnUSPvi3oyl0yHQjBgdeoIaih8KMBshpXcM&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987b2cac28f5ea262ad37b9b21c25b33&amp;qlt=95" TargetMode="External"/><Relationship Id="rId46" Type="http://schemas.openxmlformats.org/officeDocument/2006/relationships/hyperlink" Target="https://www.bing.com/images/search?form=xlimg&amp;q=Texas" TargetMode="External"/><Relationship Id="rId67" Type="http://schemas.openxmlformats.org/officeDocument/2006/relationships/hyperlink" Target="https://www.bing.com/th?id=OSK.105070553dccf583f36eb435ac6a9eed&amp;qlt=95" TargetMode="External"/><Relationship Id="rId116" Type="http://schemas.openxmlformats.org/officeDocument/2006/relationships/hyperlink" Target="https://www.bing.com/images/search?form=xlimg&amp;q=Italy" TargetMode="External"/><Relationship Id="rId137" Type="http://schemas.openxmlformats.org/officeDocument/2006/relationships/hyperlink" Target="https://www.bing.com/th?id=OSK.f7fdc0797674edd230ee73aba17b77d2&amp;qlt=95" TargetMode="External"/><Relationship Id="rId158" Type="http://schemas.openxmlformats.org/officeDocument/2006/relationships/hyperlink" Target="https://www.bing.com/images/search?form=xlimg&amp;q=Norway" TargetMode="External"/><Relationship Id="rId20" Type="http://schemas.openxmlformats.org/officeDocument/2006/relationships/hyperlink" Target="https://www.bing.com/images/search?form=xlimg&amp;q=Illinois" TargetMode="External"/><Relationship Id="rId41" Type="http://schemas.openxmlformats.org/officeDocument/2006/relationships/hyperlink" Target="https://www.bing.com/th?id=OSK.f57f7916e76fc47c2a83efc3859d6379&amp;qlt=95" TargetMode="External"/><Relationship Id="rId62" Type="http://schemas.openxmlformats.org/officeDocument/2006/relationships/hyperlink" Target="https://www.bing.com/images/search?form=xlimg&amp;q=Richmond,%20Virginia"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86be05b8862ef85dc64cd47dab645e4d&amp;qlt=95" TargetMode="External"/><Relationship Id="rId132" Type="http://schemas.openxmlformats.org/officeDocument/2006/relationships/hyperlink" Target="https://www.bing.com/images/search?form=xlimg&amp;q=Waterville,%20Maine" TargetMode="External"/><Relationship Id="rId153" Type="http://schemas.openxmlformats.org/officeDocument/2006/relationships/hyperlink" Target="https://www.bing.com/th?id=OSK.797f76ed51949e08ea702ec98e939444&amp;qlt=95" TargetMode="External"/><Relationship Id="rId174" Type="http://schemas.openxmlformats.org/officeDocument/2006/relationships/hyperlink" Target="https://www.bing.com/images/search?form=xlimg&amp;q=Argentina" TargetMode="External"/><Relationship Id="rId15" Type="http://schemas.openxmlformats.org/officeDocument/2006/relationships/hyperlink" Target="https://www.bing.com/th?id=OSK.5c9644308dc1fc218d48a103b8cf93f9&amp;qlt=95" TargetMode="External"/><Relationship Id="rId36" Type="http://schemas.openxmlformats.org/officeDocument/2006/relationships/hyperlink" Target="https://www.bing.com/images/search?form=xlimg&amp;q=Ohio" TargetMode="External"/><Relationship Id="rId57" Type="http://schemas.openxmlformats.org/officeDocument/2006/relationships/hyperlink" Target="https://www.bing.com/th?id=OSK.75566aa5e1e18385639b494fd140ff6e&amp;qlt=95" TargetMode="External"/><Relationship Id="rId106" Type="http://schemas.openxmlformats.org/officeDocument/2006/relationships/hyperlink" Target="https://www.bing.com/images/search?form=xlimg&amp;q=College%20Station,%20Texas" TargetMode="External"/><Relationship Id="rId127" Type="http://schemas.openxmlformats.org/officeDocument/2006/relationships/hyperlink" Target="https://www.bing.com/th?id=OSK.66c2ebf9a8cace2226269d70b1d3b0fc&amp;qlt=95" TargetMode="External"/><Relationship Id="rId10" Type="http://schemas.openxmlformats.org/officeDocument/2006/relationships/hyperlink" Target="https://www.bing.com/images/search?form=xlimg&amp;q=California" TargetMode="External"/><Relationship Id="rId31" Type="http://schemas.openxmlformats.org/officeDocument/2006/relationships/hyperlink" Target="https://www.bing.com/th?id=OSK.09fb0d37cacee3c3feb04b7452bd8436&amp;qlt=95" TargetMode="External"/><Relationship Id="rId52" Type="http://schemas.openxmlformats.org/officeDocument/2006/relationships/hyperlink" Target="https://www.bing.com/images/search?form=xlimg&amp;q=Virginia" TargetMode="External"/><Relationship Id="rId73" Type="http://schemas.openxmlformats.org/officeDocument/2006/relationships/hyperlink" Target="https://www.bing.com/th?id=OSK.a5e66df12e2c87d6b1c2825f3d9fd432&amp;qlt=95" TargetMode="External"/><Relationship Id="rId78" Type="http://schemas.openxmlformats.org/officeDocument/2006/relationships/hyperlink" Target="https://www.bing.com/images/search?form=xlimg&amp;q=Spain" TargetMode="External"/><Relationship Id="rId94" Type="http://schemas.openxmlformats.org/officeDocument/2006/relationships/hyperlink" Target="https://www.bing.com/images/search?form=xlimg&amp;q=Barcelona" TargetMode="External"/><Relationship Id="rId99" Type="http://schemas.openxmlformats.org/officeDocument/2006/relationships/hyperlink" Target="https://www.bing.com/th?id=OSK.7_iYqjXftHmThTCYlh51zbqPoNnoe4Qk7UaH59Ba1Z0&amp;qlt=95" TargetMode="External"/><Relationship Id="rId101" Type="http://schemas.openxmlformats.org/officeDocument/2006/relationships/hyperlink" Target="https://www.bing.com/th?id=OSK.a1512a61cf778ac466208259f8dc24f5&amp;qlt=95" TargetMode="External"/><Relationship Id="rId122" Type="http://schemas.openxmlformats.org/officeDocument/2006/relationships/hyperlink" Target="https://www.bing.com/images/search?form=xlimg&amp;q=Williamstown,%20Massachusetts" TargetMode="External"/><Relationship Id="rId143" Type="http://schemas.openxmlformats.org/officeDocument/2006/relationships/hyperlink" Target="https://www.bing.com/th?id=OSK.27388ff1aa280ccb16792627f99b03e5&amp;qlt=95" TargetMode="External"/><Relationship Id="rId148" Type="http://schemas.openxmlformats.org/officeDocument/2006/relationships/hyperlink" Target="https://www.bing.com/images/search?form=xlimg&amp;q=United%20Kingdom" TargetMode="External"/><Relationship Id="rId164" Type="http://schemas.openxmlformats.org/officeDocument/2006/relationships/hyperlink" Target="https://www.bing.com/images/search?form=xlimg&amp;q=Russia" TargetMode="External"/><Relationship Id="rId169" Type="http://schemas.openxmlformats.org/officeDocument/2006/relationships/hyperlink" Target="https://www.bing.com/th?id=OSK.3ad9dc82b4ada40031ce05d559610900&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00be164b931c0a9427c0a2ebdae3e140&amp;qlt=95" TargetMode="External"/><Relationship Id="rId26" Type="http://schemas.openxmlformats.org/officeDocument/2006/relationships/hyperlink" Target="https://www.bing.com/images/search?form=xlimg&amp;q=Massachusetts" TargetMode="External"/><Relationship Id="rId47" Type="http://schemas.openxmlformats.org/officeDocument/2006/relationships/hyperlink" Target="https://www.bing.com/th?id=OSK.1973703d864373b47ab825b2a978ab2d&amp;qlt=95" TargetMode="External"/><Relationship Id="rId68" Type="http://schemas.openxmlformats.org/officeDocument/2006/relationships/hyperlink" Target="https://www.bing.com/images/search?form=xlimg&amp;q=Ontario" TargetMode="External"/><Relationship Id="rId89" Type="http://schemas.openxmlformats.org/officeDocument/2006/relationships/hyperlink" Target="https://www.bing.com/th?id=OSK.79dcfcb50bb489b9abd805e3a32b4d69&amp;qlt=95" TargetMode="External"/><Relationship Id="rId112" Type="http://schemas.openxmlformats.org/officeDocument/2006/relationships/hyperlink" Target="https://www.bing.com/images/search?form=xlimg&amp;q=Montreal" TargetMode="External"/><Relationship Id="rId133" Type="http://schemas.openxmlformats.org/officeDocument/2006/relationships/hyperlink" Target="https://www.bing.com/th?id=OSK.292818c96d13281efc2bcf0621712879&amp;qlt=95" TargetMode="External"/><Relationship Id="rId154" Type="http://schemas.openxmlformats.org/officeDocument/2006/relationships/hyperlink" Target="https://www.bing.com/images/search?form=xlimg&amp;q=Cascais" TargetMode="External"/><Relationship Id="rId175" Type="http://schemas.openxmlformats.org/officeDocument/2006/relationships/hyperlink" Target="https://www.bing.com/th?id=OSK.p7DiS3CCEjXs27sVPoTvop2_pYLlj7uihgkvC1WT4IE&amp;qlt=95" TargetMode="External"/><Relationship Id="rId16" Type="http://schemas.openxmlformats.org/officeDocument/2006/relationships/hyperlink" Target="https://www.bing.com/images/search?form=xlimg&amp;q=Florida" TargetMode="External"/><Relationship Id="rId37" Type="http://schemas.openxmlformats.org/officeDocument/2006/relationships/hyperlink" Target="https://www.bing.com/th?id=OSK.dc4854218778b6f007a0fb39483a9a3f&amp;qlt=95" TargetMode="External"/><Relationship Id="rId58" Type="http://schemas.openxmlformats.org/officeDocument/2006/relationships/hyperlink" Target="https://www.bing.com/images/search?form=xlimg&amp;q=Boston" TargetMode="External"/><Relationship Id="rId79" Type="http://schemas.openxmlformats.org/officeDocument/2006/relationships/hyperlink" Target="https://www.bing.com/th?id=OSK.12f7533dca5f011065a431e87678062b&amp;qlt=95" TargetMode="External"/><Relationship Id="rId102" Type="http://schemas.openxmlformats.org/officeDocument/2006/relationships/hyperlink" Target="https://www.bing.com/images/search?form=xlimg&amp;q=Berlin" TargetMode="External"/><Relationship Id="rId123" Type="http://schemas.openxmlformats.org/officeDocument/2006/relationships/hyperlink" Target="https://www.bing.com/th?id=OSK.06822149f642a583d99bbab688eca680&amp;qlt=95" TargetMode="External"/><Relationship Id="rId144" Type="http://schemas.openxmlformats.org/officeDocument/2006/relationships/hyperlink" Target="https://www.bing.com/images/search?form=xlimg&amp;q=Toulouse" TargetMode="External"/><Relationship Id="rId90" Type="http://schemas.openxmlformats.org/officeDocument/2006/relationships/hyperlink" Target="https://www.bing.com/images/search?form=xlimg&amp;q=Chile" TargetMode="External"/><Relationship Id="rId165" Type="http://schemas.openxmlformats.org/officeDocument/2006/relationships/hyperlink" Target="https://www.bing.com/th?id=OSK.20b781e13bc391ce9e66ee42c5e9c504&amp;qlt=95" TargetMode="External"/><Relationship Id="rId27" Type="http://schemas.openxmlformats.org/officeDocument/2006/relationships/hyperlink" Target="https://www.bing.com/th?id=OSK.40b19650ace0234fdb053333f72c8df0&amp;qlt=95" TargetMode="External"/><Relationship Id="rId48" Type="http://schemas.openxmlformats.org/officeDocument/2006/relationships/hyperlink" Target="https://www.bing.com/images/search?form=xlimg&amp;q=Utah" TargetMode="External"/><Relationship Id="rId69" Type="http://schemas.openxmlformats.org/officeDocument/2006/relationships/hyperlink" Target="https://www.bing.com/th?id=OSK.fAhOaFi6M5ZKJxodrHZF9yR2AQ3voI-PGG1ga5v3t0U&amp;qlt=95" TargetMode="External"/><Relationship Id="rId113" Type="http://schemas.openxmlformats.org/officeDocument/2006/relationships/hyperlink" Target="https://www.bing.com/th?id=OSK.71865562d5e20abbd6adcbad9e32525d&amp;qlt=95" TargetMode="External"/><Relationship Id="rId134" Type="http://schemas.openxmlformats.org/officeDocument/2006/relationships/hyperlink" Target="https://www.bing.com/images/search?form=xlimg&amp;q=Indianapolis" TargetMode="External"/><Relationship Id="rId80" Type="http://schemas.openxmlformats.org/officeDocument/2006/relationships/hyperlink" Target="https://www.bing.com/images/search?form=xlimg&amp;q=Madrid" TargetMode="External"/><Relationship Id="rId155" Type="http://schemas.openxmlformats.org/officeDocument/2006/relationships/hyperlink" Target="https://www.bing.com/th?id=OSK.2d7b7af86f9a55648a4aec7fbe3969e6&amp;qlt=95" TargetMode="External"/><Relationship Id="rId176" Type="http://schemas.openxmlformats.org/officeDocument/2006/relationships/hyperlink" Target="https://www.bing.com/images/search?form=xlimg&amp;q=Miami" TargetMode="External"/><Relationship Id="rId17" Type="http://schemas.openxmlformats.org/officeDocument/2006/relationships/hyperlink" Target="https://www.bing.com/th?id=OSK.iPzXUKHWAaw04XjL2EOEYVLq1LOFWzsqpmjL3hkyFFc&amp;qlt=95" TargetMode="External"/><Relationship Id="rId38" Type="http://schemas.openxmlformats.org/officeDocument/2006/relationships/hyperlink" Target="https://www.bing.com/images/search?form=xlimg&amp;q=Oklahoma" TargetMode="External"/><Relationship Id="rId59" Type="http://schemas.openxmlformats.org/officeDocument/2006/relationships/hyperlink" Target="https://www.bing.com/th?id=OSK.fa4514eac6dc7cbde45b9401def6292c&amp;qlt=95" TargetMode="External"/><Relationship Id="rId103" Type="http://schemas.openxmlformats.org/officeDocument/2006/relationships/hyperlink" Target="https://www.bing.com/th?id=OSK.9fae920b3d161f824cf10283350e3e1e&amp;qlt=95" TargetMode="External"/><Relationship Id="rId124" Type="http://schemas.openxmlformats.org/officeDocument/2006/relationships/hyperlink" Target="https://www.bing.com/images/search?form=xlimg&amp;q=Grinnell,%20Iowa" TargetMode="External"/><Relationship Id="rId70" Type="http://schemas.openxmlformats.org/officeDocument/2006/relationships/hyperlink" Target="https://www.bing.com/images/search?form=xlimg&amp;q=Hamilton,%20Ontario" TargetMode="External"/><Relationship Id="rId91" Type="http://schemas.openxmlformats.org/officeDocument/2006/relationships/hyperlink" Target="https://www.bing.com/th?id=OSK.8p2k5lHoxkLkVFhhRavwz0TU1HJcwyyrphMGrCfxYiE&amp;qlt=95" TargetMode="External"/><Relationship Id="rId145" Type="http://schemas.openxmlformats.org/officeDocument/2006/relationships/hyperlink" Target="https://www.bing.com/th?id=OSK.98487a595574daf008032d4858074c6c&amp;qlt=95" TargetMode="External"/><Relationship Id="rId166" Type="http://schemas.openxmlformats.org/officeDocument/2006/relationships/hyperlink" Target="https://www.bing.com/images/search?form=xlimg&amp;q=Prag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Srd>
</file>

<file path=xl/richData/rdarray.xml><?xml version="1.0" encoding="utf-8"?>
<arrayData xmlns="http://schemas.microsoft.com/office/spreadsheetml/2017/richdata2" count="165">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152</v>
    <v t="r">153</v>
    <v t="r">154</v>
    <v t="r">155</v>
  </a>
  <a r="1">
    <v t="s">Central Time Zone</v>
  </a>
  <a r="4">
    <v t="r">187</v>
    <v t="r">188</v>
    <v t="r">189</v>
    <v t="r">190</v>
  </a>
  <a r="1">
    <v t="s">English</v>
  </a>
  <a r="1">
    <v t="s">Pacific Time Zone</v>
  </a>
  <a r="4">
    <v t="r">222</v>
    <v t="r">223</v>
    <v t="r">224</v>
    <v t="r">225</v>
  </a>
  <a r="1">
    <v t="s">UTC−07:00</v>
  </a>
  <a r="4">
    <v t="r">256</v>
    <v t="r">257</v>
    <v t="r">258</v>
    <v t="r">259</v>
  </a>
  <a r="3">
    <v t="r">289</v>
    <v t="r">290</v>
    <v t="r">291</v>
  </a>
  <a r="2">
    <v t="s">Eastern Time Zone</v>
    <v t="s">Central Time Zone</v>
  </a>
  <a r="4">
    <v t="r">318</v>
    <v t="r">319</v>
    <v t="r">320</v>
    <v t="r">321</v>
  </a>
  <a r="4">
    <v t="r">346</v>
    <v t="r">347</v>
    <v t="r">348</v>
    <v t="r">349</v>
  </a>
  <a r="4">
    <v t="r">374</v>
    <v t="r">375</v>
    <v t="r">376</v>
    <v t="r">377</v>
  </a>
  <a r="4">
    <v t="r">403</v>
    <v t="r">404</v>
    <v t="r">405</v>
    <v t="r">406</v>
  </a>
  <a r="1">
    <v t="s">Louisiana French</v>
  </a>
  <a r="4">
    <v t="r">433</v>
    <v t="r">434</v>
    <v t="r">435</v>
    <v t="r">436</v>
  </a>
  <a r="4">
    <v t="r">461</v>
    <v t="r">462</v>
    <v t="r">463</v>
    <v t="r">464</v>
  </a>
  <a r="4">
    <v t="r">489</v>
    <v t="r">490</v>
    <v t="r">491</v>
    <v t="r">492</v>
  </a>
  <a r="4">
    <v t="r">515</v>
    <v t="r">516</v>
    <v t="r">517</v>
    <v t="r">518</v>
  </a>
  <a r="4">
    <v t="r">543</v>
    <v t="r">544</v>
    <v t="r">545</v>
    <v t="r">546</v>
  </a>
  <a r="4">
    <v t="r">569</v>
    <v t="r">570</v>
    <v t="r">571</v>
    <v t="r">572</v>
  </a>
  <a r="3">
    <v t="s">English</v>
    <v t="s">De facto</v>
    <v t="s">De jure</v>
  </a>
  <a r="4">
    <v t="r">597</v>
    <v t="r">598</v>
    <v t="r">599</v>
    <v t="r">600</v>
  </a>
  <a r="4">
    <v t="r">624</v>
    <v t="r">625</v>
    <v t="r">626</v>
    <v t="r">627</v>
  </a>
  <a r="4">
    <v t="r">654</v>
    <v t="r">655</v>
    <v t="r">656</v>
    <v t="r">657</v>
  </a>
  <a r="4">
    <v t="r">681</v>
    <v t="r">682</v>
    <v t="r">683</v>
    <v t="r">684</v>
  </a>
  <a r="4">
    <v t="r">705</v>
    <v t="r">706</v>
    <v t="r">707</v>
    <v t="r">708</v>
  </a>
  <a r="4">
    <v t="r">731</v>
    <v t="r">732</v>
    <v t="r">733</v>
    <v t="r">734</v>
  </a>
  <a r="1">
    <v t="s">Mountain Time Zone</v>
  </a>
  <a r="4">
    <v t="r">758</v>
    <v t="r">759</v>
    <v t="r">760</v>
    <v t="r">761</v>
  </a>
  <a r="4">
    <v t="r">783</v>
    <v t="r">784</v>
    <v t="r">785</v>
    <v t="r">786</v>
  </a>
  <a r="4">
    <v t="r">807</v>
    <v t="r">808</v>
    <v t="r">809</v>
    <v t="r">810</v>
  </a>
  <a r="1">
    <v t="r">832</v>
  </a>
  <a r="2">
    <v t="s">UTC−05:00</v>
    <v t="s">UTC−06:00</v>
  </a>
  <a r="1">
    <v t="r">844</v>
  </a>
  <a r="1">
    <v t="r">854</v>
  </a>
  <a r="1">
    <v t="r">863</v>
  </a>
  <a r="1">
    <v t="r">876</v>
  </a>
  <a r="2">
    <v t="r">901</v>
    <v t="r">902</v>
  </a>
  <a r="2">
    <v t="s">Canadian French</v>
    <v t="s">Canadian English</v>
  </a>
  <a r="13">
    <v t="r">917</v>
    <v t="r">918</v>
    <v t="r">919</v>
    <v t="r">920</v>
    <v t="r">921</v>
    <v t="r">922</v>
    <v t="r">923</v>
    <v t="r">924</v>
    <v t="r">925</v>
    <v t="r">926</v>
    <v t="r">927</v>
    <v t="r">928</v>
    <v t="r">870</v>
  </a>
  <a r="6">
    <v t="s">Newfoundland Time Zone</v>
    <v t="s">Atlantic Time Zone</v>
    <v t="s">Eastern Time Zone</v>
    <v t="s">Central Time Zone</v>
    <v t="s">Mountain Time Zone</v>
    <v t="s">Pacific Time Zone</v>
  </a>
  <a r="2">
    <v t="r">940</v>
    <v t="r">941</v>
  </a>
  <a r="1">
    <v t="s">Canadian English</v>
  </a>
  <a r="1">
    <v t="r">953</v>
  </a>
  <a r="2">
    <v t="r">979</v>
    <v t="r">980</v>
  </a>
  <a r="1">
    <v t="s">Japanese language</v>
  </a>
  <a r="46">
    <v t="r">995</v>
    <v t="r">996</v>
    <v t="r">997</v>
    <v t="r">998</v>
    <v t="r">999</v>
    <v t="r">1000</v>
    <v t="r">1001</v>
    <v t="r">1002</v>
    <v t="r">1003</v>
    <v t="r">1004</v>
    <v t="r">1005</v>
    <v t="r">1006</v>
    <v t="r">965</v>
    <v t="r">1007</v>
    <v t="r">1008</v>
    <v t="r">1009</v>
    <v t="r">1010</v>
    <v t="r">1011</v>
    <v t="r">1012</v>
    <v t="r">1013</v>
    <v t="r">1014</v>
    <v t="r">1015</v>
    <v t="r">1016</v>
    <v t="r">1017</v>
    <v t="r">1018</v>
    <v t="r">1019</v>
    <v t="r">1020</v>
    <v t="r">1021</v>
    <v t="r">1022</v>
    <v t="r">1023</v>
    <v t="r">1024</v>
    <v t="r">1025</v>
    <v t="r">1026</v>
    <v t="r">1027</v>
    <v t="r">1028</v>
    <v t="r">1029</v>
    <v t="r">1030</v>
    <v t="r">1031</v>
    <v t="r">1032</v>
    <v t="r">1033</v>
    <v t="r">1034</v>
    <v t="r">1035</v>
    <v t="r">1036</v>
    <v t="r">1037</v>
    <v t="r">1038</v>
    <v t="r">1039</v>
  </a>
  <a r="1">
    <v t="s">Japan Standard Time</v>
  </a>
  <a r="1">
    <v t="r">1051</v>
  </a>
  <a r="1">
    <v t="r">1063</v>
  </a>
  <a r="2">
    <v t="s">UTC+02:00</v>
    <v t="s">UTC+01:00</v>
  </a>
  <a r="2">
    <v t="r">1089</v>
    <v t="r">1090</v>
  </a>
  <a r="1">
    <v t="s">Spanish language</v>
  </a>
  <a r="18">
    <v t="r">1106</v>
    <v t="r">1107</v>
    <v t="r">1108</v>
    <v t="r">1109</v>
    <v t="r">1110</v>
    <v t="r">1111</v>
    <v t="r">1112</v>
    <v t="r">1113</v>
    <v t="r">1114</v>
    <v t="r">1115</v>
    <v t="r">1116</v>
    <v t="r">1117</v>
    <v t="r">1118</v>
    <v t="r">1119</v>
    <v t="r">1120</v>
    <v t="r">1121</v>
    <v t="r">1122</v>
    <v t="r">1123</v>
  </a>
  <a r="1">
    <v t="r">1133</v>
  </a>
  <a r="1">
    <v t="r">1155</v>
  </a>
  <a r="2">
    <v t="r">1179</v>
    <v t="r">1180</v>
  </a>
  <a r="1">
    <v t="s">French language</v>
  </a>
  <a r="25">
    <v t="r">1194</v>
    <v t="r">1195</v>
    <v t="r">1196</v>
    <v t="r">1150</v>
    <v t="r">1197</v>
    <v t="r">1198</v>
    <v t="r">1199</v>
    <v t="r">1200</v>
    <v t="r">1201</v>
    <v t="r">1202</v>
    <v t="r">1203</v>
    <v t="r">1204</v>
    <v t="r">1205</v>
    <v t="r">1206</v>
    <v t="r">1207</v>
    <v t="r">1208</v>
    <v t="r">1209</v>
    <v t="r">1210</v>
    <v t="r">1211</v>
    <v t="r">1212</v>
    <v t="r">1213</v>
    <v t="r">1214</v>
    <v t="r">1215</v>
    <v t="r">1216</v>
    <v t="r">1217</v>
  </a>
  <a r="1">
    <v t="s">Central European Time</v>
  </a>
  <a r="1">
    <v t="r">1231</v>
  </a>
  <a r="1">
    <v t="r">1255</v>
  </a>
  <a r="15">
    <v t="r">1269</v>
    <v t="r">1270</v>
    <v t="r">1271</v>
    <v t="r">1272</v>
    <v t="r">1273</v>
    <v t="r">1274</v>
    <v t="r">1275</v>
    <v t="r">1276</v>
    <v t="r">1277</v>
    <v t="r">1278</v>
    <v t="r">1279</v>
    <v t="r">1280</v>
    <v t="r">1281</v>
    <v t="r">1282</v>
    <v t="r">1226</v>
  </a>
  <a r="3">
    <v t="s">UTC−05:00</v>
    <v t="s">UTC−04:00</v>
    <v t="s">UTC−03:00</v>
  </a>
  <a r="2">
    <v t="r">1310</v>
    <v t="r">1311</v>
  </a>
  <a r="1">
    <v t="s">Dutch language</v>
  </a>
  <a r="14">
    <v t="r">1324</v>
    <v t="r">1325</v>
    <v t="r">1326</v>
    <v t="r">1327</v>
    <v t="r">1328</v>
    <v t="r">1329</v>
    <v t="r">1330</v>
    <v t="r">1331</v>
    <v t="r">1332</v>
    <v t="r">1333</v>
    <v t="r">1334</v>
    <v t="r">1335</v>
    <v t="r">1336</v>
    <v t="r">1337</v>
  </a>
  <a r="1">
    <v t="s">Atlantic Time Zone</v>
  </a>
  <a r="1">
    <v t="r">1350</v>
  </a>
  <a r="1">
    <v t="r">1361</v>
  </a>
  <a r="1">
    <v t="r">1374</v>
  </a>
  <a r="2">
    <v t="r">1398</v>
    <v t="r">1399</v>
  </a>
  <a r="1">
    <v t="s">German language</v>
  </a>
  <a r="15">
    <v t="r">1413</v>
    <v t="r">1414</v>
    <v t="r">1385</v>
    <v t="r">1415</v>
    <v t="r">1416</v>
    <v t="r">1417</v>
    <v t="r">1368</v>
    <v t="r">1418</v>
    <v t="r">1419</v>
    <v t="r">1420</v>
    <v t="r">1421</v>
    <v t="r">1422</v>
    <v t="r">1423</v>
    <v t="r">1424</v>
    <v t="r">1425</v>
  </a>
  <a r="1">
    <v t="r">1436</v>
  </a>
  <a r="1">
    <v t="r">1447</v>
  </a>
  <a r="1">
    <v t="r">1458</v>
  </a>
  <a r="2">
    <v t="r">901</v>
    <v t="r">1484</v>
  </a>
  <a r="1">
    <v t="s">Australian English</v>
  </a>
  <a r="15">
    <v t="r">1498</v>
    <v t="r">1499</v>
    <v t="r">1500</v>
    <v t="r">1501</v>
    <v t="r">1502</v>
    <v t="r">1503</v>
    <v t="r">1504</v>
    <v t="r">1505</v>
    <v t="r">1506</v>
    <v t="r">1507</v>
    <v t="r">1508</v>
    <v t="r">1509</v>
    <v t="r">1510</v>
    <v t="r">1511</v>
    <v t="r">1512</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1531</v>
  </a>
  <a r="1">
    <v t="r">1542</v>
  </a>
  <a r="2">
    <v t="r">1568</v>
    <v t="r">1569</v>
  </a>
  <a r="1">
    <v t="s">Italian language</v>
  </a>
  <a r="20">
    <v t="r">1581</v>
    <v t="r">1582</v>
    <v t="r">1583</v>
    <v t="r">1584</v>
    <v t="r">1585</v>
    <v t="r">1586</v>
    <v t="r">1587</v>
    <v t="r">1588</v>
    <v t="r">1589</v>
    <v t="r">1590</v>
    <v t="r">1591</v>
    <v t="r">1592</v>
    <v t="r">1593</v>
    <v t="r">1594</v>
    <v t="r">1595</v>
    <v t="r">1596</v>
    <v t="r">1597</v>
    <v t="r">1598</v>
    <v t="r">1599</v>
    <v t="r">1600</v>
  </a>
  <a r="2">
    <v t="r">1627</v>
    <v t="r">1628</v>
  </a>
  <a r="1">
    <v t="s">Colombian Spanish</v>
  </a>
  <a r="33">
    <v t="r">1645</v>
    <v t="r">1646</v>
    <v t="r">1647</v>
    <v t="r">1648</v>
    <v t="r">1649</v>
    <v t="r">1650</v>
    <v t="r">1651</v>
    <v t="r">1652</v>
    <v t="r">1653</v>
    <v t="r">1654</v>
    <v t="r">1655</v>
    <v t="r">1656</v>
    <v t="r">1657</v>
    <v t="r">1658</v>
    <v t="r">1659</v>
    <v t="r">1660</v>
    <v t="r">1661</v>
    <v t="r">1662</v>
    <v t="r">1663</v>
    <v t="r">1664</v>
    <v t="r">1665</v>
    <v t="r">1666</v>
    <v t="r">1667</v>
    <v t="r">1668</v>
    <v t="r">1669</v>
    <v t="r">1670</v>
    <v t="r">1671</v>
    <v t="r">1672</v>
    <v t="r">1673</v>
    <v t="r">1674</v>
    <v t="r">1675</v>
    <v t="r">1676</v>
    <v t="r">1613</v>
  </a>
  <a r="1">
    <v t="s">UTC−05:00</v>
  </a>
  <a r="1">
    <v t="r">1688</v>
  </a>
  <a r="1">
    <v t="r">1717</v>
  </a>
  <a r="2">
    <v t="r">1743</v>
    <v t="r">1744</v>
  </a>
  <a r="1">
    <v t="s">Swedish language</v>
  </a>
  <a r="21">
    <v t="r">1757</v>
    <v t="r">1758</v>
    <v t="r">1759</v>
    <v t="r">1760</v>
    <v t="r">1761</v>
    <v t="r">1762</v>
    <v t="r">1763</v>
    <v t="r">1764</v>
    <v t="r">1765</v>
    <v t="r">1766</v>
    <v t="r">1767</v>
    <v t="r">1768</v>
    <v t="r">1769</v>
    <v t="r">1770</v>
    <v t="r">1771</v>
    <v t="r">1772</v>
    <v t="r">1773</v>
    <v t="r">1774</v>
    <v t="r">1775</v>
    <v t="r">1776</v>
    <v t="r">1777</v>
  </a>
  <a r="1">
    <v t="r">1788</v>
  </a>
  <a r="1">
    <v t="r">1799</v>
  </a>
  <a r="1">
    <v t="r">1810</v>
  </a>
  <a r="2">
    <v t="s">UTC−05:00</v>
    <v t="s">UTC−04:00</v>
  </a>
  <a r="2">
    <v t="r">1845</v>
    <v t="r">1846</v>
  </a>
  <a r="1">
    <v t="s">Portuguese language</v>
  </a>
  <a r="27">
    <v t="r">1861</v>
    <v t="r">1862</v>
    <v t="r">1863</v>
    <v t="r">1864</v>
    <v t="r">1865</v>
    <v t="r">1866</v>
    <v t="r">1867</v>
    <v t="r">1868</v>
    <v t="r">1869</v>
    <v t="r">1870</v>
    <v t="r">1871</v>
    <v t="r">1872</v>
    <v t="r">1873</v>
    <v t="r">1874</v>
    <v t="r">1875</v>
    <v t="r">1876</v>
    <v t="r">1877</v>
    <v t="r">1878</v>
    <v t="r">1879</v>
    <v t="r">1880</v>
    <v t="r">1881</v>
    <v t="r">1882</v>
    <v t="r">1883</v>
    <v t="r">1884</v>
    <v t="r">1885</v>
    <v t="r">1886</v>
    <v t="r">1887</v>
  </a>
  <a r="3">
    <v t="s">Fernando de Noronha Time Zone</v>
    <v t="s">Brasília Time Zone</v>
    <v t="s">Amazon Time Zone</v>
  </a>
  <a r="7">
    <v t="r">1916</v>
    <v t="r">1917</v>
    <v t="r">1918</v>
    <v t="r">1919</v>
    <v t="r">1920</v>
    <v t="r">1921</v>
    <v t="r">1922</v>
  </a>
  <a r="4">
    <v t="s">Italian language</v>
    <v t="s">Romansh language</v>
    <v t="s">German language</v>
    <v t="s">French language</v>
  </a>
  <a r="25">
    <v t="r">1934</v>
    <v t="r">1935</v>
    <v t="r">1936</v>
    <v t="r">1937</v>
    <v t="r">1938</v>
    <v t="r">1939</v>
    <v t="r">1940</v>
    <v t="r">1941</v>
    <v t="r">1942</v>
    <v t="r">1943</v>
    <v t="r">1944</v>
    <v t="r">1945</v>
    <v t="r">1946</v>
    <v t="r">1947</v>
    <v t="r">1948</v>
    <v t="r">1949</v>
    <v t="r">1950</v>
    <v t="r">1951</v>
    <v t="r">1952</v>
    <v t="r">1953</v>
    <v t="r">1954</v>
    <v t="r">1955</v>
    <v t="r">1956</v>
    <v t="r">1957</v>
    <v t="r">1958</v>
  </a>
  <a r="1">
    <v t="r">1969</v>
  </a>
  <a r="2">
    <v t="r">1995</v>
    <v t="r">1996</v>
  </a>
  <a r="2">
    <v t="s">Rioplatense Spanish</v>
    <v t="s">Uruguayan Sign Language</v>
  </a>
  <a r="19">
    <v t="r">2010</v>
    <v t="r">2011</v>
    <v t="r">2012</v>
    <v t="r">2013</v>
    <v t="r">2014</v>
    <v t="r">2015</v>
    <v t="r">2016</v>
    <v t="r">2017</v>
    <v t="r">2018</v>
    <v t="r">2019</v>
    <v t="r">2020</v>
    <v t="r">2021</v>
    <v t="r">2022</v>
    <v t="r">2023</v>
    <v t="r">2024</v>
    <v t="r">2025</v>
    <v t="r">2026</v>
    <v t="r">2027</v>
    <v t="r">2028</v>
  </a>
  <a r="1">
    <v t="s">UTC−03:00</v>
  </a>
  <a r="1">
    <v t="r">2041</v>
  </a>
  <a r="1">
    <v t="r">2052</v>
  </a>
  <a r="1">
    <v t="s">UTC+01:00</v>
  </a>
  <a r="2">
    <v t="r">901</v>
    <v t="r">2079</v>
  </a>
  <a r="4">
    <v t="r">2092</v>
    <v t="r">2093</v>
    <v t="r">2094</v>
    <v t="r">2095</v>
  </a>
  <a r="2">
    <v t="s">Greenwich Mean Time</v>
    <v t="s">Western European Time</v>
  </a>
  <a r="1">
    <v t="r">2107</v>
  </a>
  <a r="1">
    <v t="s">Greenwich Mean Time</v>
  </a>
  <a r="2">
    <v t="r">2133</v>
    <v t="r">2134</v>
  </a>
  <a r="2">
    <v t="s">Swedish language</v>
    <v t="s">Finnish language</v>
  </a>
  <a r="19">
    <v t="r">2147</v>
    <v t="r">2148</v>
    <v t="r">2149</v>
    <v t="r">2150</v>
    <v t="r">2151</v>
    <v t="r">2152</v>
    <v t="r">2153</v>
    <v t="r">2154</v>
    <v t="r">2155</v>
    <v t="r">2156</v>
    <v t="r">2157</v>
    <v t="r">2158</v>
    <v t="r">2159</v>
    <v t="r">2160</v>
    <v t="r">2161</v>
    <v t="r">2162</v>
    <v t="r">2163</v>
    <v t="r">2164</v>
    <v t="r">2165</v>
  </a>
  <a r="4">
    <v t="s">UTC+03:00</v>
    <v t="s">Eastern European Summer Time</v>
    <v t="s">UTC+02:00</v>
    <v t="s">Eastern European Time</v>
  </a>
  <a r="3">
    <v t="r">2198</v>
    <v t="r">2199</v>
    <v t="r">2200</v>
  </a>
  <a r="20">
    <v t="r">2173</v>
    <v t="r">2212</v>
    <v t="r">2213</v>
    <v t="r">2214</v>
    <v t="r">2215</v>
    <v t="r">2216</v>
    <v t="r">2217</v>
    <v t="r">2218</v>
    <v t="r">2219</v>
    <v t="r">2220</v>
    <v t="r">2221</v>
    <v t="r">2222</v>
    <v t="r">2223</v>
    <v t="r">2224</v>
    <v t="r">2225</v>
    <v t="r">2226</v>
    <v t="r">2227</v>
    <v t="r">2228</v>
    <v t="r">2229</v>
    <v t="r">2230</v>
  </a>
  <a r="2">
    <v t="s">Western European Summer Time</v>
    <v t="s">Western European Time</v>
  </a>
  <a r="3">
    <v t="r">2257</v>
    <v t="r">2258</v>
    <v t="r">2259</v>
  </a>
  <a r="1">
    <v t="s">Norwegian language</v>
  </a>
  <a r="14">
    <v t="r">2273</v>
    <v t="r">2244</v>
    <v t="r">2274</v>
    <v t="r">2275</v>
    <v t="r">2276</v>
    <v t="r">2277</v>
    <v t="r">2278</v>
    <v t="r">2279</v>
    <v t="r">2280</v>
    <v t="r">2281</v>
    <v t="r">2282</v>
    <v t="r">2283</v>
    <v t="r">2284</v>
    <v t="r">2285</v>
  </a>
  <a r="2">
    <v t="r">2310</v>
    <v t="r">2311</v>
  </a>
  <a r="1">
    <v t="s">Danish language</v>
  </a>
  <a r="5">
    <v t="r">2323</v>
    <v t="r">2324</v>
    <v t="r">2325</v>
    <v t="r">2326</v>
    <v t="r">2327</v>
  </a>
  <a r="2">
    <v t="r">2361</v>
    <v t="r">2362</v>
  </a>
  <a r="1">
    <v t="s">Mexican Spanish</v>
  </a>
  <a r="32">
    <v t="r">2347</v>
    <v t="r">2378</v>
    <v t="r">2379</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a>
  <a r="4">
    <v t="s">Central Time Zone</v>
    <v t="s">Mountain Time Zone</v>
    <v t="s">Pacific Time Zone</v>
    <v t="s">Eastern Time Zone</v>
  </a>
  <a r="2">
    <v t="r">2436</v>
    <v t="r">2437</v>
  </a>
  <a r="1">
    <v t="s">Russian language</v>
  </a>
  <a r="83">
    <v t="r">2452</v>
    <v t="r">2453</v>
    <v t="r">2454</v>
    <v t="r">2455</v>
    <v t="r">2456</v>
    <v t="r">2457</v>
    <v t="r">2458</v>
    <v t="r">2459</v>
    <v t="r">2460</v>
    <v t="r">2461</v>
    <v t="r">2462</v>
    <v t="r">2463</v>
    <v t="r">2464</v>
    <v t="r">2465</v>
    <v t="r">2466</v>
    <v t="r">2467</v>
    <v t="r">2468</v>
    <v t="r">2469</v>
    <v t="r">2470</v>
    <v t="r">2471</v>
    <v t="r">2472</v>
    <v t="r">2473</v>
    <v t="r">2474</v>
    <v t="r">2475</v>
    <v t="r">2476</v>
    <v t="r">2477</v>
    <v t="r">2478</v>
    <v t="r">2479</v>
    <v t="r">2480</v>
    <v t="r">2481</v>
    <v t="r">2482</v>
    <v t="r">2483</v>
    <v t="r">2484</v>
    <v t="r">2485</v>
    <v t="r">2486</v>
    <v t="r">2487</v>
    <v t="r">2488</v>
    <v t="r">2489</v>
    <v t="r">2490</v>
    <v t="r">2491</v>
    <v t="r">2492</v>
    <v t="r">2493</v>
    <v t="r">2494</v>
    <v t="r">2495</v>
    <v t="r">2496</v>
    <v t="r">2497</v>
    <v t="r">2498</v>
    <v t="r">2499</v>
    <v t="r">2500</v>
    <v t="r">2501</v>
    <v t="r">2502</v>
    <v t="r">2503</v>
    <v t="r">2504</v>
    <v t="r">2505</v>
    <v t="r">2506</v>
    <v t="r">2507</v>
    <v t="r">2508</v>
    <v t="r">2509</v>
    <v t="r">2510</v>
    <v t="r">2511</v>
    <v t="r">2512</v>
    <v t="r">2513</v>
    <v t="r">2514</v>
    <v t="r">2515</v>
    <v t="r">2516</v>
    <v t="r">2517</v>
    <v t="r">2518</v>
    <v t="r">2519</v>
    <v t="r">2520</v>
    <v t="r">2521</v>
    <v t="r">2522</v>
    <v t="r">2523</v>
    <v t="r">2524</v>
    <v t="r">2525</v>
    <v t="r">2526</v>
    <v t="r">2422</v>
    <v t="r">2527</v>
    <v t="r">2528</v>
    <v t="r">2529</v>
    <v t="r">2530</v>
    <v t="r">2531</v>
    <v t="r">2532</v>
    <v t="r">2533</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2545</v>
  </a>
  <a r="2">
    <v t="r">2568</v>
    <v t="r">2569</v>
  </a>
  <a r="1">
    <v t="s">Slovak language</v>
  </a>
  <a r="8">
    <v t="r">2583</v>
    <v t="r">2584</v>
    <v t="r">2585</v>
    <v t="r">2586</v>
    <v t="r">2587</v>
    <v t="r">2588</v>
    <v t="r">2589</v>
    <v t="r">2590</v>
  </a>
  <a r="4">
    <v t="r">2617</v>
    <v t="r">2618</v>
    <v t="r">2619</v>
    <v t="r">2620</v>
  </a>
  <a r="2">
    <v t="s">Korean Sign Language</v>
    <v t="s">Korean language</v>
  </a>
  <a r="17">
    <v t="r">2603</v>
    <v t="r">2633</v>
    <v t="r">2634</v>
    <v t="r">2635</v>
    <v t="r">2636</v>
    <v t="r">2637</v>
    <v t="r">2638</v>
    <v t="r">2639</v>
    <v t="r">2640</v>
    <v t="r">2641</v>
    <v t="r">2642</v>
    <v t="r">2643</v>
    <v t="r">2644</v>
    <v t="r">2645</v>
    <v t="r">2646</v>
    <v t="r">2647</v>
    <v t="r">2648</v>
  </a>
  <a r="1">
    <v t="s">Time in South Korea</v>
  </a>
  <a r="2">
    <v t="r">2677</v>
    <v t="r">2678</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2692</v>
    <v t="r">2693</v>
    <v t="r">2694</v>
    <v t="r">2695</v>
    <v t="r">2696</v>
    <v t="r">2697</v>
    <v t="r">2698</v>
    <v t="r">2699</v>
    <v t="r">2700</v>
  </a>
  <a r="1">
    <v t="s">Africa/Johannesburg</v>
  </a>
  <a r="2">
    <v t="r">2728</v>
    <v t="r">2729</v>
  </a>
  <a r="1">
    <v t="s">Rioplatense Spanish</v>
  </a>
  <a r="23">
    <v t="r">2742</v>
    <v t="r">2743</v>
    <v t="r">2744</v>
    <v t="r">2745</v>
    <v t="r">2746</v>
    <v t="r">2747</v>
    <v t="r">2748</v>
    <v t="r">2749</v>
    <v t="r">2750</v>
    <v t="r">2751</v>
    <v t="r">2752</v>
    <v t="r">2753</v>
    <v t="r">2754</v>
    <v t="r">2755</v>
    <v t="r">2756</v>
    <v t="r">2757</v>
    <v t="r">2758</v>
    <v t="r">2759</v>
    <v t="r">2760</v>
    <v t="r">2761</v>
    <v t="r">2762</v>
    <v t="r">2763</v>
    <v t="r">2764</v>
  </a>
  <a r="1">
    <v t="s">Time in Argentina</v>
  </a>
  <a r="1">
    <v t="r">2777</v>
  </a>
</arrayData>
</file>

<file path=xl/richData/rdrichvalue.xml><?xml version="1.0" encoding="utf-8"?>
<rvData xmlns="http://schemas.microsoft.com/office/spreadsheetml/2017/richdata" count="2783">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137733</fb>
    <v>8</v>
  </rv>
  <rv s="1">
    <fb>9474</fb>
    <v>8</v>
  </rv>
  <rv s="0">
    <v>536870912</v>
    <v>Little Rock, Arkansas</v>
    <v>2039fcee-c7a5-4241-930b-d2c6d17bae74</v>
    <v>en-US</v>
    <v>Map</v>
  </rv>
  <rv s="0">
    <v>536870912</v>
    <v>United States</v>
    <v>5232ed96-85b1-2edb-12c6-63e6c597a1de</v>
    <v>en-US</v>
    <v>Map</v>
  </rv>
  <rv s="1">
    <fb>1138025</fb>
    <v>8</v>
  </rv>
  <rv s="1">
    <fb>1354762</fb>
    <v>8</v>
  </rv>
  <rv s="2">
    <v>3</v>
    <v>6</v>
    <v>44</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7</v>
  </rv>
  <rv s="4">
    <v>https://www.bing.com/search?q=arkansas&amp;form=skydnc</v>
    <v>Learn more on Bing</v>
  </rv>
  <rv s="1">
    <fb>677</fb>
    <v>35</v>
  </rv>
  <rv s="1">
    <fb>41371</fb>
    <v>35</v>
  </rv>
  <rv s="1">
    <fb>111400</fb>
    <v>35</v>
  </rv>
  <rv s="1">
    <fb>2.5299999999999998</fb>
    <v>30</v>
  </rv>
  <rv s="1">
    <fb>3088354</fb>
    <v>8</v>
  </rv>
  <rv s="1">
    <fb>2.5000000000000001E-2</fb>
    <v>29</v>
  </rv>
  <rv s="1">
    <fb>0.16</fb>
    <v>29</v>
  </rv>
  <rv s="1">
    <fb>0.01</fb>
    <v>43</v>
  </rv>
  <rv s="1">
    <fb>1.6E-2</fb>
    <v>29</v>
  </rv>
  <rv s="1">
    <fb>0.21100000000000002</fb>
    <v>29</v>
  </rv>
  <rv s="1">
    <fb>0.157</fb>
    <v>29</v>
  </rv>
  <rv s="1">
    <fb>4.7E-2</fb>
    <v>29</v>
  </rv>
  <rv s="1">
    <fb>0.84799999999999998</fb>
    <v>29</v>
  </rv>
  <rv s="1">
    <fb>7.2000000000000008E-2</fb>
    <v>29</v>
  </rv>
  <rv s="1">
    <fb>0.58499999999999996</fb>
    <v>29</v>
  </rv>
  <rv s="1">
    <fb>3.0000000000000001E-3</fb>
    <v>29</v>
  </rv>
  <rv s="1">
    <fb>0.12300000000000001</fb>
    <v>29</v>
  </rv>
  <rv s="1">
    <fb>0.02</fb>
    <v>29</v>
  </rv>
  <rv s="1">
    <fb>0.23699999999999999</fb>
    <v>29</v>
  </rv>
  <rv s="1">
    <fb>0.79500000000000004</fb>
    <v>29</v>
  </rv>
  <rv s="3">
    <v>8</v>
  </rv>
  <rv s="8">
    <v>#VALUE!</v>
    <v>47</v>
    <v>48</v>
    <v>Arkansas</v>
    <v>4</v>
    <v>5</v>
    <v>Map</v>
    <v>6</v>
    <v>49</v>
    <v>en-US</v>
    <v>b939db72-08f2-4ea6-a16a-a53bf32e6612</v>
    <v>536870912</v>
    <v>1</v>
    <v>US-AR</v>
    <v>145</v>
    <v>146</v>
    <v>147</v>
    <v>148</v>
    <v>Arkansas is a landlocked state in the West South Central region of the Southern United States. It borders Missouri to the north, Tennessee and Mississippi to the east, Louisiana to the south, Texas to the southwest, and Oklahoma to the west. Its ...</v>
    <v>149</v>
    <v>150</v>
    <v>151</v>
    <v>147</v>
    <v>156</v>
    <v>157</v>
    <v>158</v>
    <v>159</v>
    <v>160</v>
    <v>Arkansas</v>
    <v>42</v>
    <v>161</v>
    <v>162</v>
    <v>163</v>
    <v>164</v>
    <v>165</v>
    <v>166</v>
    <v>167</v>
    <v>168</v>
    <v>169</v>
    <v>170</v>
    <v>171</v>
    <v>172</v>
    <v>173</v>
    <v>174</v>
    <v>175</v>
    <v>176</v>
    <v>142</v>
    <v>177</v>
    <v>178</v>
    <v>Arkansas</v>
    <v>mdp/vdpid/1951</v>
  </rv>
  <rv s="1">
    <fb>423970</fb>
    <v>8</v>
  </rv>
  <rv s="1">
    <fb>102350</fb>
    <v>8</v>
  </rv>
  <rv s="0">
    <v>536870912</v>
    <v>Sacramento, California</v>
    <v>4a1a8070-cc3d-4060-af9c-08ccbbca73d7</v>
    <v>en-US</v>
    <v>Map</v>
  </rv>
  <rv s="1">
    <fb>12717801</fb>
    <v>8</v>
  </rv>
  <rv s="1">
    <fb>14060525</fb>
    <v>8</v>
  </rv>
  <rv s="2">
    <v>4</v>
    <v>6</v>
    <v>50</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9</v>
  </rv>
  <rv s="4">
    <v>https://www.bing.com/search?q=california&amp;form=skydnc</v>
    <v>Learn more on Bing</v>
  </rv>
  <rv s="1">
    <fb>1255</fb>
    <v>35</v>
  </rv>
  <rv s="1">
    <fb>61818</fb>
    <v>35</v>
  </rv>
  <rv s="1">
    <fb>385500</fb>
    <v>35</v>
  </rv>
  <rv s="3">
    <v>10</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11</v>
  </rv>
  <rv s="8">
    <v>#VALUE!</v>
    <v>53</v>
    <v>48</v>
    <v>California</v>
    <v>4</v>
    <v>5</v>
    <v>Map</v>
    <v>6</v>
    <v>49</v>
    <v>en-US</v>
    <v>3009d91d-d582-4c34-85ba-772ba09e5be1</v>
    <v>536870912</v>
    <v>1</v>
    <v>US-CA</v>
    <v>180</v>
    <v>181</v>
    <v>182</v>
    <v>148</v>
    <v>California is a state in the Western region of the United States that lies on the Pacific Coast. It borders Oregon to the north, Nevada and Arizona to the east, and shares an international border with the Mexican state of Baja California to the ...</v>
    <v>183</v>
    <v>184</v>
    <v>185</v>
    <v>186</v>
    <v>191</v>
    <v>192</v>
    <v>193</v>
    <v>194</v>
    <v>195</v>
    <v>California</v>
    <v>196</v>
    <v>197</v>
    <v>198</v>
    <v>199</v>
    <v>200</v>
    <v>201</v>
    <v>202</v>
    <v>203</v>
    <v>204</v>
    <v>205</v>
    <v>206</v>
    <v>207</v>
    <v>208</v>
    <v>209</v>
    <v>210</v>
    <v>211</v>
    <v>212</v>
    <v>142</v>
    <v>213</v>
    <v>214</v>
    <v>California</v>
    <v>mdp/vdpid/5599</v>
  </rv>
  <rv s="1">
    <fb>269837</fb>
    <v>8</v>
  </rv>
  <rv s="1">
    <fb>38974</fb>
    <v>8</v>
  </rv>
  <rv s="0">
    <v>536870912</v>
    <v>Denver</v>
    <v>5a7229b6-72d3-4bfc-a95e-9c35e297c9ff</v>
    <v>en-US</v>
    <v>Map</v>
  </rv>
  <rv s="1">
    <fb>2024468</fb>
    <v>8</v>
  </rv>
  <rv s="1">
    <fb>2339118</fb>
    <v>8</v>
  </rv>
  <rv s="2">
    <v>5</v>
    <v>6</v>
    <v>54</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12</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2.8999999999999998E-2</fb>
    <v>29</v>
  </rv>
  <rv s="1">
    <fb>0.23</fb>
    <v>29</v>
  </rv>
  <rv s="1">
    <fb>6.2E-2</fb>
    <v>29</v>
  </rv>
  <rv s="1">
    <fb>0.875</fb>
    <v>29</v>
  </rv>
  <rv s="3">
    <v>13</v>
  </rv>
  <rv s="8">
    <v>#VALUE!</v>
    <v>57</v>
    <v>48</v>
    <v>Colorado</v>
    <v>4</v>
    <v>5</v>
    <v>Map</v>
    <v>6</v>
    <v>49</v>
    <v>en-US</v>
    <v>a070c5c2-b22d-41d8-b869-f20e583c4f80</v>
    <v>536870912</v>
    <v>1</v>
    <v>US-CO</v>
    <v>216</v>
    <v>217</v>
    <v>218</v>
    <v>148</v>
    <v>Colorado is a state in the Western United States. It is one of the Mountain states, sharing the Four Corners region with Arizona, New Mexico, and Utah. It is also bordered by Wyoming to the north, Nebraska to the northeast, Kansas to the east, ...</v>
    <v>219</v>
    <v>220</v>
    <v>221</v>
    <v>218</v>
    <v>226</v>
    <v>227</v>
    <v>228</v>
    <v>229</v>
    <v>230</v>
    <v>Colorado</v>
    <v>196</v>
    <v>231</v>
    <v>232</v>
    <v>233</v>
    <v>234</v>
    <v>235</v>
    <v>236</v>
    <v>237</v>
    <v>238</v>
    <v>239</v>
    <v>240</v>
    <v>241</v>
    <v>242</v>
    <v>138</v>
    <v>171</v>
    <v>243</v>
    <v>244</v>
    <v>245</v>
    <v>246</v>
    <v>247</v>
    <v>Colorado</v>
    <v>mdp/vdpid/7636</v>
  </rv>
  <rv s="1">
    <fb>14357</fb>
    <v>8</v>
  </rv>
  <rv s="1">
    <fb>5504</fb>
    <v>8</v>
  </rv>
  <rv s="0">
    <v>536870912</v>
    <v>Hartford, Connecticut</v>
    <v>b8b8ebf2-e2da-483f-8643-880dd55aad13</v>
    <v>en-US</v>
    <v>Map</v>
  </rv>
  <rv s="1">
    <fb>1352583</fb>
    <v>8</v>
  </rv>
  <rv s="1">
    <fb>1499116</fb>
    <v>8</v>
  </rv>
  <rv s="2">
    <v>6</v>
    <v>6</v>
    <v>58</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14</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61</v>
    <v>62</v>
    <v>Connecticut</v>
    <v>4</v>
    <v>5</v>
    <v>Map</v>
    <v>6</v>
    <v>49</v>
    <v>en-US</v>
    <v>b3ca6523-435e-4a3b-8f78-1ad900a52cf8</v>
    <v>536870912</v>
    <v>1</v>
    <v>US-CT</v>
    <v>249</v>
    <v>250</v>
    <v>251</v>
    <v>148</v>
    <v>Connecticut is a state in the New England region of the Northeastern United States. It borders Rhode Island to the east, Massachusetts to the north, New York to the west, and Long Island Sound to the south. Its capital is Hartford, and its most ...</v>
    <v>252</v>
    <v>253</v>
    <v>254</v>
    <v>255</v>
    <v>260</v>
    <v>261</v>
    <v>262</v>
    <v>263</v>
    <v>264</v>
    <v>Connecticut</v>
    <v>265</v>
    <v>266</v>
    <v>267</v>
    <v>268</v>
    <v>269</v>
    <v>270</v>
    <v>271</v>
    <v>272</v>
    <v>273</v>
    <v>274</v>
    <v>275</v>
    <v>276</v>
    <v>267</v>
    <v>277</v>
    <v>278</v>
    <v>241</v>
    <v>279</v>
    <v>280</v>
    <v>11</v>
    <v>Connecticut</v>
    <v>mdp/vdpid/7798</v>
  </rv>
  <rv s="1">
    <fb>170304</fb>
    <v>8</v>
  </rv>
  <rv s="1">
    <fb>116240</fb>
    <v>8</v>
  </rv>
  <rv s="0">
    <v>536870912</v>
    <v>Tallahassee, Florida</v>
    <v>fe8036d9-2764-4483-9405-f07a59b69915</v>
    <v>en-US</v>
    <v>Map</v>
  </rv>
  <rv s="1">
    <fb>7300494</fb>
    <v>8</v>
  </rv>
  <rv s="1">
    <fb>9301642</fb>
    <v>8</v>
  </rv>
  <rv s="2">
    <v>7</v>
    <v>6</v>
    <v>63</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15</v>
  </rv>
  <rv s="4">
    <v>https://www.bing.com/search?q=florida&amp;form=skydnc</v>
    <v>Learn more on Bing</v>
  </rv>
  <rv s="1">
    <fb>47507</fb>
    <v>35</v>
  </rv>
  <rv s="1">
    <fb>159000</fb>
    <v>35</v>
  </rv>
  <rv s="1">
    <fb>2.63</fb>
    <v>30</v>
  </rv>
  <rv s="1">
    <fb>23372215</fb>
    <v>8</v>
  </rv>
  <rv s="1">
    <fb>9.6000000000000002E-2</fb>
    <v>29</v>
  </rv>
  <rv s="1">
    <fb>0.19399999999999998</fb>
    <v>29</v>
  </rv>
  <rv s="1">
    <fb>2.7999999999999997E-2</fb>
    <v>29</v>
  </rv>
  <rv s="1">
    <fb>0.27300000000000002</fb>
    <v>29</v>
  </rv>
  <rv s="1">
    <fb>0.16800000000000001</fb>
    <v>29</v>
  </rv>
  <rv s="1">
    <fb>0.19699999999999998</fb>
    <v>29</v>
  </rv>
  <rv s="1">
    <fb>0.86900000000000011</fb>
    <v>29</v>
  </rv>
  <rv s="1">
    <fb>0.245</fb>
    <v>29</v>
  </rv>
  <rv s="1">
    <fb>0.58799999999999997</fb>
    <v>29</v>
  </rv>
  <rv s="1">
    <fb>8.5000000000000006E-2</fb>
    <v>29</v>
  </rv>
  <rv s="1">
    <fb>0.20300000000000001</fb>
    <v>29</v>
  </rv>
  <rv s="1">
    <fb>0.77700000000000002</fb>
    <v>29</v>
  </rv>
  <rv s="3">
    <v>16</v>
  </rv>
  <rv s="8">
    <v>#VALUE!</v>
    <v>66</v>
    <v>48</v>
    <v>Florida</v>
    <v>4</v>
    <v>5</v>
    <v>Map</v>
    <v>6</v>
    <v>49</v>
    <v>en-US</v>
    <v>5fece3f4-e8e8-4159-843e-f725a930ad50</v>
    <v>536870912</v>
    <v>1</v>
    <v>US-FL</v>
    <v>282</v>
    <v>283</v>
    <v>284</v>
    <v>148</v>
    <v>Florida is a state in the Southeastern region of the United States. It borders the Gulf of Mexico to the west, Alabama to the northwest, Georgia to the north, the Atlantic Ocean to the east, and the Straits of Florida and Cuba to the south. ...</v>
    <v>285</v>
    <v>286</v>
    <v>287</v>
    <v>288</v>
    <v>292</v>
    <v>293</v>
    <v>228</v>
    <v>294</v>
    <v>295</v>
    <v>Florida</v>
    <v>196</v>
    <v>296</v>
    <v>297</v>
    <v>298</v>
    <v>299</v>
    <v>269</v>
    <v>300</v>
    <v>301</v>
    <v>302</v>
    <v>303</v>
    <v>304</v>
    <v>305</v>
    <v>306</v>
    <v>267</v>
    <v>307</v>
    <v>175</v>
    <v>308</v>
    <v>199</v>
    <v>309</v>
    <v>310</v>
    <v>Florida</v>
    <v>mdp/vdpid/11032</v>
  </rv>
  <rv s="1">
    <fb>153909</fb>
    <v>8</v>
  </rv>
  <rv s="1">
    <fb>51675</fb>
    <v>8</v>
  </rv>
  <rv s="0">
    <v>536870912</v>
    <v>Atlanta</v>
    <v>1a92f3fa-61f9-4e89-b606-40c945cf18d1</v>
    <v>en-US</v>
    <v>Map</v>
  </rv>
  <rv s="1">
    <fb>3574362</fb>
    <v>8</v>
  </rv>
  <rv s="1">
    <fb>4218776</fb>
    <v>8</v>
  </rv>
  <rv s="2">
    <v>8</v>
    <v>6</v>
    <v>67</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17</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0.61599999999999999</fb>
    <v>29</v>
  </rv>
  <rv s="8">
    <v>#VALUE!</v>
    <v>70</v>
    <v>48</v>
    <v>Georgia</v>
    <v>4</v>
    <v>5</v>
    <v>Map</v>
    <v>6</v>
    <v>49</v>
    <v>en-US</v>
    <v>84604bc7-2c47-4f8d-8ea5-b6ac8c018a20</v>
    <v>536870912</v>
    <v>1</v>
    <v>US-GA</v>
    <v>312</v>
    <v>313</v>
    <v>314</v>
    <v>148</v>
    <v>Georgia, officially the State of Georgia, is a state in the Southeastern region of the United States. It borders Tennessee and North Carolina to the north, South Carolina and the Atlantic Ocean to the east, Florida to the south, and Alabama to ...</v>
    <v>315</v>
    <v>316</v>
    <v>317</v>
    <v>314</v>
    <v>322</v>
    <v>323</v>
    <v>324</v>
    <v>325</v>
    <v>326</v>
    <v>Georgia</v>
    <v>196</v>
    <v>327</v>
    <v>328</v>
    <v>142</v>
    <v>329</v>
    <v>269</v>
    <v>330</v>
    <v>331</v>
    <v>332</v>
    <v>239</v>
    <v>333</v>
    <v>334</v>
    <v>335</v>
    <v>267</v>
    <v>336</v>
    <v>175</v>
    <v>305</v>
    <v>204</v>
    <v>337</v>
    <v>11</v>
    <v>Georgia</v>
    <v>mdp/vdpid/12004</v>
  </rv>
  <rv s="1">
    <fb>149998</fb>
    <v>8</v>
  </rv>
  <rv s="1">
    <fb>22603</fb>
    <v>8</v>
  </rv>
  <rv s="0">
    <v>536870912</v>
    <v>Springfield, Illinois</v>
    <v>dc562bf8-bf83-4505-8a1b-0bdb5bd605f8</v>
    <v>en-US</v>
    <v>Map</v>
  </rv>
  <rv s="1">
    <fb>4786388</fb>
    <v>8</v>
  </rv>
  <rv s="1">
    <fb>5326970</fb>
    <v>8</v>
  </rv>
  <rv s="2">
    <v>9</v>
    <v>6</v>
    <v>71</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18</v>
  </rv>
  <rv s="4">
    <v>https://www.bing.com/search?q=illinois&amp;form=skydnc</v>
    <v>Learn more on Bing</v>
  </rv>
  <rv s="1">
    <fb>907</fb>
    <v>35</v>
  </rv>
  <rv s="1">
    <fb>57574</fb>
    <v>35</v>
  </rv>
  <rv s="1">
    <fb>173800</fb>
    <v>35</v>
  </rv>
  <rv s="1">
    <fb>12710158</fb>
    <v>8</v>
  </rv>
  <rv s="1">
    <fb>-2E-3</fb>
    <v>29</v>
  </rv>
  <rv s="1">
    <fb>0.14199999999999999</fb>
    <v>29</v>
  </rv>
  <rv s="1">
    <fb>5.5E-2</fb>
    <v>29</v>
  </rv>
  <rv s="1">
    <fb>0.32299999999999995</fb>
    <v>29</v>
  </rv>
  <rv s="1">
    <fb>0.14000000000000001</fb>
    <v>29</v>
  </rv>
  <rv s="1">
    <fb>0.879</fb>
    <v>29</v>
  </rv>
  <rv s="1">
    <fb>0.16899999999999998</fb>
    <v>29</v>
  </rv>
  <rv s="1">
    <fb>0.65599999999999992</fb>
    <v>29</v>
  </rv>
  <rv s="1">
    <fb>1.9E-2</fb>
    <v>29</v>
  </rv>
  <rv s="1">
    <fb>6.0999999999999999E-2</fb>
    <v>29</v>
  </rv>
  <rv s="1">
    <fb>0.77300000000000002</fb>
    <v>29</v>
  </rv>
  <rv s="8">
    <v>#VALUE!</v>
    <v>74</v>
    <v>48</v>
    <v>Illinois</v>
    <v>4</v>
    <v>5</v>
    <v>Map</v>
    <v>6</v>
    <v>49</v>
    <v>en-US</v>
    <v>4131acb8-628a-4241-8920-ca79eab9dade</v>
    <v>536870912</v>
    <v>1</v>
    <v>US-IL</v>
    <v>339</v>
    <v>340</v>
    <v>341</v>
    <v>148</v>
    <v>Illinois is a state in the Midwestern region of the United States. It borders on Lake Michigan to its northeast, the Mississippi River to its west, and the Wabash and Ohio rivers to its south. Of the fifty U.S. states, Illinois has the ...</v>
    <v>342</v>
    <v>343</v>
    <v>344</v>
    <v>345</v>
    <v>350</v>
    <v>351</v>
    <v>352</v>
    <v>353</v>
    <v>354</v>
    <v>Illinois</v>
    <v>196</v>
    <v>296</v>
    <v>355</v>
    <v>356</v>
    <v>357</v>
    <v>130</v>
    <v>358</v>
    <v>359</v>
    <v>202</v>
    <v>360</v>
    <v>361</v>
    <v>362</v>
    <v>363</v>
    <v>267</v>
    <v>277</v>
    <v>364</v>
    <v>244</v>
    <v>365</v>
    <v>366</v>
    <v>178</v>
    <v>Illinois</v>
    <v>mdp/vdpid/14808</v>
  </rv>
  <rv s="1">
    <fb>145746</fb>
    <v>8</v>
  </rv>
  <rv s="1">
    <fb>14317</fb>
    <v>8</v>
  </rv>
  <rv s="0">
    <v>536870912</v>
    <v>Des Moines, Iowa</v>
    <v>a4592975-b658-4874-8c06-906edcde2841</v>
    <v>en-US</v>
    <v>Map</v>
  </rv>
  <rv s="1">
    <fb>1236409</fb>
    <v>8</v>
  </rv>
  <rv s="1">
    <fb>1380162</fb>
    <v>8</v>
  </rv>
  <rv s="2">
    <v>10</v>
    <v>6</v>
    <v>75</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19</v>
  </rv>
  <rv s="4">
    <v>https://www.bing.com/search?q=iowa&amp;form=skydnc</v>
    <v>Learn more on Bing</v>
  </rv>
  <rv s="1">
    <fb>697</fb>
    <v>35</v>
  </rv>
  <rv s="1">
    <fb>53183</fb>
    <v>35</v>
  </rv>
  <rv s="1">
    <fb>129200</fb>
    <v>35</v>
  </rv>
  <rv s="1">
    <fb>2.42</fb>
    <v>30</v>
  </rv>
  <rv s="1">
    <fb>3241488</fb>
    <v>8</v>
  </rv>
  <rv s="1">
    <fb>0.161</fb>
    <v>29</v>
  </rv>
  <rv s="1">
    <fb>2.4E-2</fb>
    <v>29</v>
  </rv>
  <rv s="1">
    <fb>0.26700000000000002</fb>
    <v>29</v>
  </rv>
  <rv s="1">
    <fb>3.5000000000000003E-2</fb>
    <v>29</v>
  </rv>
  <rv s="1">
    <fb>0.91500000000000004</fb>
    <v>29</v>
  </rv>
  <rv s="1">
    <fb>5.7000000000000002E-2</fb>
    <v>29</v>
  </rv>
  <rv s="1">
    <fb>7.9000000000000001E-2</fb>
    <v>29</v>
  </rv>
  <rv s="1">
    <fb>1.8000000000000002E-2</fb>
    <v>29</v>
  </rv>
  <rv s="1">
    <fb>6.3E-2</fb>
    <v>29</v>
  </rv>
  <rv s="1">
    <fb>0.91799999999999993</fb>
    <v>29</v>
  </rv>
  <rv s="8">
    <v>#VALUE!</v>
    <v>78</v>
    <v>48</v>
    <v>Iowa</v>
    <v>4</v>
    <v>5</v>
    <v>Map</v>
    <v>6</v>
    <v>49</v>
    <v>en-US</v>
    <v>77850824-b07a-487a-af58-37f9949afc27</v>
    <v>536870912</v>
    <v>1</v>
    <v>US-IA</v>
    <v>368</v>
    <v>369</v>
    <v>370</v>
    <v>148</v>
    <v>Iowa is a state in the upper Midwestern region of the United States. It borders the Mississippi River to the east and the Missouri River and Big Sioux River to the west; Wisconsin to the northeast, Illinois to the east and southeast, Missouri to ...</v>
    <v>371</v>
    <v>372</v>
    <v>373</v>
    <v>370</v>
    <v>378</v>
    <v>379</v>
    <v>380</v>
    <v>381</v>
    <v>382</v>
    <v>Iowa</v>
    <v>196</v>
    <v>383</v>
    <v>384</v>
    <v>243</v>
    <v>385</v>
    <v>269</v>
    <v>386</v>
    <v>387</v>
    <v>388</v>
    <v>169</v>
    <v>389</v>
    <v>390</v>
    <v>242</v>
    <v>267</v>
    <v>391</v>
    <v>392</v>
    <v>212</v>
    <v>393</v>
    <v>394</v>
    <v>178</v>
    <v>Iowa</v>
    <v>mdp/vdpid/14987</v>
  </rv>
  <rv s="1">
    <fb>135382</fb>
    <v>8</v>
  </rv>
  <rv s="1">
    <fb>14503</fb>
    <v>8</v>
  </rv>
  <rv s="0">
    <v>536870912</v>
    <v>Baton Rouge, Louisiana</v>
    <v>dc17dbc5-08e4-4782-8f58-e5ce764122b6</v>
    <v>en-US</v>
    <v>Map</v>
  </rv>
  <rv s="1">
    <fb>1727919</fb>
    <v>8</v>
  </rv>
  <rv s="1">
    <fb>2036975</fb>
    <v>8</v>
  </rv>
  <rv s="2">
    <v>11</v>
    <v>6</v>
    <v>79</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20</v>
  </rv>
  <rv s="4">
    <v>https://www.bing.com/search?q=louisiana&amp;form=skydnc</v>
    <v>Learn more on Bing</v>
  </rv>
  <rv s="1">
    <fb>788</fb>
    <v>35</v>
  </rv>
  <rv s="1">
    <fb>45047</fb>
    <v>35</v>
  </rv>
  <rv s="1">
    <fb>144100</fb>
    <v>35</v>
  </rv>
  <rv s="3">
    <v>21</v>
  </rv>
  <rv s="1">
    <fb>2.6</fb>
    <v>30</v>
  </rv>
  <rv s="1">
    <fb>4597740</fb>
    <v>8</v>
  </rv>
  <rv s="1">
    <fb>3.3000000000000002E-2</fb>
    <v>29</v>
  </rv>
  <rv s="1">
    <fb>8.0000000000000002E-3</fb>
    <v>43</v>
  </rv>
  <rv s="1">
    <fb>0.22500000000000001</fb>
    <v>29</v>
  </rv>
  <rv s="1">
    <fb>0.32500000000000001</fb>
    <v>29</v>
  </rv>
  <rv s="1">
    <fb>0.83400000000000007</fb>
    <v>29</v>
  </rv>
  <rv s="1">
    <fb>0.05</fb>
    <v>29</v>
  </rv>
  <rv s="1">
    <fb>0.60399999999999998</fb>
    <v>29</v>
  </rv>
  <rv s="1">
    <fb>0.11</fb>
    <v>29</v>
  </rv>
  <rv s="1">
    <fb>0.23899999999999999</fb>
    <v>29</v>
  </rv>
  <rv s="1">
    <fb>6.7000000000000004E-2</fb>
    <v>29</v>
  </rv>
  <rv s="1">
    <fb>0.63200000000000001</fb>
    <v>29</v>
  </rv>
  <rv s="8">
    <v>#VALUE!</v>
    <v>82</v>
    <v>48</v>
    <v>Louisiana</v>
    <v>4</v>
    <v>5</v>
    <v>Map</v>
    <v>6</v>
    <v>49</v>
    <v>en-US</v>
    <v>0ca1e87f-e2f6-43fb-8deb-d22bd09a9cae</v>
    <v>536870912</v>
    <v>1</v>
    <v>US-LA</v>
    <v>396</v>
    <v>397</v>
    <v>398</v>
    <v>148</v>
    <v>Louisiana is a state in the Deep South and South Central regions of the United States. It borders Texas to the west, Arkansas to the north, and Mississippi to the east. Of the 50 U.S. states, it ranks 31st in area and 25th in population, with ...</v>
    <v>399</v>
    <v>400</v>
    <v>401</v>
    <v>402</v>
    <v>407</v>
    <v>408</v>
    <v>409</v>
    <v>410</v>
    <v>411</v>
    <v>Louisiana</v>
    <v>412</v>
    <v>413</v>
    <v>414</v>
    <v>415</v>
    <v>360</v>
    <v>416</v>
    <v>392</v>
    <v>417</v>
    <v>418</v>
    <v>330</v>
    <v>419</v>
    <v>420</v>
    <v>421</v>
    <v>267</v>
    <v>422</v>
    <v>166</v>
    <v>423</v>
    <v>424</v>
    <v>425</v>
    <v>178</v>
    <v>Louisiana</v>
    <v>mdp/vdpid/19283</v>
  </rv>
  <rv s="1">
    <fb>27336</fb>
    <v>8</v>
  </rv>
  <rv s="1">
    <fb>16288</fb>
    <v>8</v>
  </rv>
  <rv s="0">
    <v>536870912</v>
    <v>Boston</v>
    <v>f0f5899a-361f-4fe4-89d1-11130aa2c653</v>
    <v>en-US</v>
    <v>Map</v>
  </rv>
  <rv s="1">
    <fb>2549721</fb>
    <v>8</v>
  </rv>
  <rv s="1">
    <fb>2858026</fb>
    <v>8</v>
  </rv>
  <rv s="2">
    <v>12</v>
    <v>6</v>
    <v>83</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22</v>
  </rv>
  <rv s="4">
    <v>https://www.bing.com/search?q=massachusetts&amp;form=skydnc</v>
    <v>Learn more on Bing</v>
  </rv>
  <rv s="1">
    <fb>1102</fb>
    <v>35</v>
  </rv>
  <rv s="1">
    <fb>68563</fb>
    <v>35</v>
  </rv>
  <rv s="1">
    <fb>333100</fb>
    <v>35</v>
  </rv>
  <rv s="1">
    <fb>7136171</fb>
    <v>8</v>
  </rv>
  <rv s="1">
    <fb>6.6000000000000003E-2</fb>
    <v>29</v>
  </rv>
  <rv s="1">
    <fb>0.40500000000000003</fb>
    <v>29</v>
  </rv>
  <rv s="1">
    <fb>8.4000000000000005E-2</fb>
    <v>29</v>
  </rv>
  <rv s="1">
    <fb>0.155</fb>
    <v>29</v>
  </rv>
  <rv s="1">
    <fb>0.89800000000000002</fb>
    <v>29</v>
  </rv>
  <rv s="1">
    <fb>0.11199999999999999</fb>
    <v>29</v>
  </rv>
  <rv s="1">
    <fb>0.67500000000000004</fb>
    <v>29</v>
  </rv>
  <rv s="1">
    <fb>2.3E-2</fb>
    <v>29</v>
  </rv>
  <rv s="1">
    <fb>0.20399999999999999</fb>
    <v>29</v>
  </rv>
  <rv s="1">
    <fb>0.82099999999999995</fb>
    <v>29</v>
  </rv>
  <rv s="8">
    <v>#VALUE!</v>
    <v>86</v>
    <v>48</v>
    <v>Massachusetts</v>
    <v>4</v>
    <v>5</v>
    <v>Map</v>
    <v>6</v>
    <v>49</v>
    <v>en-US</v>
    <v>845219d5-3650-4199-b926-964ca27c863c</v>
    <v>536870912</v>
    <v>1</v>
    <v>US-MA</v>
    <v>427</v>
    <v>428</v>
    <v>429</v>
    <v>148</v>
    <v>Massachusetts, officially the Commonwealth of Massachusetts, is a state in the New England region of the Northeastern United States. It borders the Atlantic Ocean and Gulf of Maine to its east, Connecticut and Rhode Island to its south, New ...</v>
    <v>430</v>
    <v>431</v>
    <v>432</v>
    <v>429</v>
    <v>437</v>
    <v>438</v>
    <v>439</v>
    <v>440</v>
    <v>441</v>
    <v>Massachusetts</v>
    <v>42</v>
    <v>161</v>
    <v>442</v>
    <v>330</v>
    <v>275</v>
    <v>269</v>
    <v>443</v>
    <v>444</v>
    <v>445</v>
    <v>446</v>
    <v>447</v>
    <v>448</v>
    <v>449</v>
    <v>267</v>
    <v>391</v>
    <v>450</v>
    <v>451</v>
    <v>199</v>
    <v>452</v>
    <v>11</v>
    <v>Massachusetts</v>
    <v>mdp/vdpid/20543</v>
  </rv>
  <rv s="1">
    <fb>225163</fb>
    <v>8</v>
  </rv>
  <rv s="1">
    <fb>21449</fb>
    <v>8</v>
  </rv>
  <rv s="0">
    <v>536870912</v>
    <v>Saint Paul, Minnesota</v>
    <v>1cc78952-7fdf-3532-7f33-51048c23af61</v>
    <v>en-US</v>
    <v>Map</v>
  </rv>
  <rv s="1">
    <fb>2124745</fb>
    <v>8</v>
  </rv>
  <rv s="1">
    <fb>2409935</fb>
    <v>8</v>
  </rv>
  <rv s="2">
    <v>13</v>
    <v>6</v>
    <v>87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23</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0.7</fb>
    <v>29</v>
  </rv>
  <rv s="1">
    <fb>0.23399999999999999</fb>
    <v>29</v>
  </rv>
  <rv s="9">
    <v>#VALUE!</v>
    <v>90</v>
    <v>62</v>
    <v>Minnesota</v>
    <v>4</v>
    <v>5</v>
    <v>Map</v>
    <v>6</v>
    <v>49</v>
    <v>en-US</v>
    <v>77f97f6f-7e93-46e5-b486-6198effe8dea</v>
    <v>536870912</v>
    <v>1</v>
    <v>US-MN</v>
    <v>454</v>
    <v>455</v>
    <v>456</v>
    <v>148</v>
    <v>Minnesota is a state in the Upper Midwestern region of the United States. It is bordered by the Canadian provinces of Manitoba and Ontario to the north and east and by the U.S. states of Wisconsin to the east, Iowa to the south, and North Dakota ...</v>
    <v>457</v>
    <v>458</v>
    <v>459</v>
    <v>460</v>
    <v>465</v>
    <v>466</v>
    <v>467</v>
    <v>468</v>
    <v>469</v>
    <v>Minnesota</v>
    <v>470</v>
    <v>471</v>
    <v>472</v>
    <v>202</v>
    <v>473</v>
    <v>474</v>
    <v>475</v>
    <v>476</v>
    <v>477</v>
    <v>478</v>
    <v>279</v>
    <v>479</v>
    <v>267</v>
    <v>277</v>
    <v>386</v>
    <v>480</v>
    <v>142</v>
    <v>333</v>
    <v>178</v>
    <v>Minnesota</v>
    <v>mdp/vdpid/21412</v>
  </rv>
  <rv s="1">
    <fb>181533</fb>
    <v>8</v>
  </rv>
  <rv s="1">
    <fb>18997</fb>
    <v>8</v>
  </rv>
  <rv s="0">
    <v>536870912</v>
    <v>Jefferson City, Missouri</v>
    <v>81535f0b-c6a8-d0ca-9542-f43e51dc1f18</v>
    <v>en-US</v>
    <v>Map</v>
  </rv>
  <rv s="1">
    <fb>2364688</fb>
    <v>8</v>
  </rv>
  <rv s="1">
    <fb>2760084</fb>
    <v>8</v>
  </rv>
  <rv s="2">
    <v>14</v>
    <v>6</v>
    <v>91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24</v>
  </rv>
  <rv s="4">
    <v>https://www.bing.com/search?q=missouri&amp;form=skydnc</v>
    <v>Learn more on Bing</v>
  </rv>
  <rv s="1">
    <fb>746</fb>
    <v>35</v>
  </rv>
  <rv s="1">
    <fb>48173</fb>
    <v>35</v>
  </rv>
  <rv s="1">
    <fb>138400</fb>
    <v>35</v>
  </rv>
  <rv s="1">
    <fb>2.48</fb>
    <v>30</v>
  </rv>
  <rv s="1">
    <fb>6245466</fb>
    <v>8</v>
  </rv>
  <rv s="1">
    <fb>0.27100000000000002</fb>
    <v>29</v>
  </rv>
  <rv s="1">
    <fb>0.11800000000000001</fb>
    <v>29</v>
  </rv>
  <rv s="1">
    <fb>3.9E-2</fb>
    <v>29</v>
  </rv>
  <rv s="1">
    <fb>0.88400000000000001</fb>
    <v>29</v>
  </rv>
  <rv s="1">
    <fb>0.10400000000000001</fb>
    <v>29</v>
  </rv>
  <rv s="1">
    <fb>0.22899999999999998</fb>
    <v>29</v>
  </rv>
  <rv s="1">
    <fb>0.83299999999999996</fb>
    <v>29</v>
  </rv>
  <rv s="8">
    <v>#VALUE!</v>
    <v>94</v>
    <v>48</v>
    <v>Missouri</v>
    <v>4</v>
    <v>5</v>
    <v>Map</v>
    <v>6</v>
    <v>49</v>
    <v>en-US</v>
    <v>6185f8cb-44e1-4da6-9bf0-b75286aeb591</v>
    <v>536870912</v>
    <v>1</v>
    <v>US-MO</v>
    <v>482</v>
    <v>483</v>
    <v>484</v>
    <v>148</v>
    <v>Missouri is a state in the Midwestern region of the United States. Ranking 21st in land area, it borders Iowa to the north, Illinois, Kentucky and Tennessee to the east, Arkansas to the south and Oklahoma, Kansas, and Nebraska to the west. In ...</v>
    <v>485</v>
    <v>486</v>
    <v>487</v>
    <v>488</v>
    <v>493</v>
    <v>494</v>
    <v>495</v>
    <v>496</v>
    <v>497</v>
    <v>Missouri</v>
    <v>196</v>
    <v>498</v>
    <v>499</v>
    <v>49</v>
    <v>168</v>
    <v>130</v>
    <v>175</v>
    <v>500</v>
    <v>501</v>
    <v>502</v>
    <v>503</v>
    <v>472</v>
    <v>425</v>
    <v>267</v>
    <v>504</v>
    <v>278</v>
    <v>505</v>
    <v>245</v>
    <v>506</v>
    <v>178</v>
    <v>Missouri</v>
    <v>mdp/vdpid/21512</v>
  </rv>
  <rv s="1">
    <fb>200520</fb>
    <v>8</v>
  </rv>
  <rv s="1">
    <fb>8078</fb>
    <v>8</v>
  </rv>
  <rv s="0">
    <v>536870912</v>
    <v>Lincoln, Nebraska</v>
    <v>38974d3e-7769-4d06-b772-31a57932a126</v>
    <v>en-US</v>
    <v>Map</v>
  </rv>
  <rv s="1">
    <fb>736613</fb>
    <v>8</v>
  </rv>
  <rv s="1">
    <fb>827156</fb>
    <v>8</v>
  </rv>
  <rv s="2">
    <v>15</v>
    <v>6</v>
    <v>95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25</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0.29299999999999998</fb>
    <v>29</v>
  </rv>
  <rv s="1">
    <fb>0.69900000000000007</fb>
    <v>29</v>
  </rv>
  <rv s="1">
    <fb>7.2999999999999995E-2</fb>
    <v>29</v>
  </rv>
  <rv s="1">
    <fb>2.1000000000000001E-2</fb>
    <v>29</v>
  </rv>
  <rv s="1">
    <fb>0.248</fb>
    <v>29</v>
  </rv>
  <rv s="1">
    <fb>6.9000000000000006E-2</fb>
    <v>29</v>
  </rv>
  <rv s="1">
    <fb>0.8909999999999999</fb>
    <v>29</v>
  </rv>
  <rv s="8">
    <v>#VALUE!</v>
    <v>98</v>
    <v>48</v>
    <v>Nebraska</v>
    <v>4</v>
    <v>5</v>
    <v>Map</v>
    <v>6</v>
    <v>49</v>
    <v>en-US</v>
    <v>3e64ff5d-6b40-4dbe-91b1-0e554e892496</v>
    <v>536870912</v>
    <v>1</v>
    <v>US-NE</v>
    <v>508</v>
    <v>509</v>
    <v>510</v>
    <v>148</v>
    <v>Nebraska is a landlocked state in the Midwestern region of the United States. It borders South Dakota to the north; Iowa to the east and Missouri to the southeast, both across the Missouri River; Kansas to the south; Colorado to the southwest; ...</v>
    <v>511</v>
    <v>512</v>
    <v>513</v>
    <v>514</v>
    <v>519</v>
    <v>520</v>
    <v>521</v>
    <v>522</v>
    <v>523</v>
    <v>Nebraska</v>
    <v>196</v>
    <v>524</v>
    <v>525</v>
    <v>526</v>
    <v>202</v>
    <v>527</v>
    <v>450</v>
    <v>528</v>
    <v>420</v>
    <v>443</v>
    <v>240</v>
    <v>504</v>
    <v>529</v>
    <v>267</v>
    <v>530</v>
    <v>531</v>
    <v>532</v>
    <v>533</v>
    <v>534</v>
    <v>247</v>
    <v>Nebraska</v>
    <v>mdp/vdpid/22869</v>
  </rv>
  <rv s="1">
    <fb>139390</fb>
    <v>8</v>
  </rv>
  <rv s="1">
    <fb>60550</fb>
    <v>8</v>
  </rv>
  <rv s="0">
    <v>536870912</v>
    <v>Raleigh, North Carolina</v>
    <v>7b706445-83c5-46a4-bb70-cff23cd555d3</v>
    <v>en-US</v>
    <v>Map</v>
  </rv>
  <rv s="1">
    <fb>3775581</fb>
    <v>8</v>
  </rv>
  <rv s="1">
    <fb>4540498</fb>
    <v>8</v>
  </rv>
  <rv s="2">
    <v>16</v>
    <v>6</v>
    <v>99</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26</v>
  </rv>
  <rv s="4">
    <v>https://www.bing.com/search?q=north+carolina&amp;form=skydnc</v>
    <v>Learn more on Bing</v>
  </rv>
  <rv s="1">
    <fb>797</fb>
    <v>35</v>
  </rv>
  <rv s="1">
    <fb>46868</fb>
    <v>35</v>
  </rv>
  <rv s="1">
    <fb>154900</fb>
    <v>35</v>
  </rv>
  <rv s="1">
    <fb>2.54</fb>
    <v>30</v>
  </rv>
  <rv s="1">
    <fb>11046024</fb>
    <v>8</v>
  </rv>
  <rv s="1">
    <fb>0.151</fb>
    <v>29</v>
  </rv>
  <rv s="1">
    <fb>0.28399999999999997</fb>
    <v>29</v>
  </rv>
  <rv s="1">
    <fb>0.221</fb>
    <v>29</v>
  </rv>
  <rv s="1">
    <fb>0.85799999999999998</fb>
    <v>29</v>
  </rv>
  <rv s="1">
    <fb>9.0999999999999998E-2</fb>
    <v>29</v>
  </rv>
  <rv s="1">
    <fb>0.61799999999999999</fb>
    <v>29</v>
  </rv>
  <rv s="1">
    <fb>0.22800000000000001</fb>
    <v>29</v>
  </rv>
  <rv s="1">
    <fb>0.71200000000000008</fb>
    <v>29</v>
  </rv>
  <rv s="8">
    <v>#VALUE!</v>
    <v>102</v>
    <v>48</v>
    <v>North Carolina</v>
    <v>4</v>
    <v>5</v>
    <v>Map</v>
    <v>6</v>
    <v>49</v>
    <v>en-US</v>
    <v>9e2bf053-dd80-4646-8f26-65075e7085c0</v>
    <v>536870912</v>
    <v>1</v>
    <v>US-NC</v>
    <v>536</v>
    <v>537</v>
    <v>538</v>
    <v>148</v>
    <v>North Carolina is a state in the Southeastern region of the United States. It is bordered by Virginia to the north, the Atlantic Ocean to the east, South Carolina to the south, Georgia to the southwest, and Tennessee to the west. The state is ...</v>
    <v>539</v>
    <v>540</v>
    <v>541</v>
    <v>542</v>
    <v>547</v>
    <v>548</v>
    <v>549</v>
    <v>550</v>
    <v>551</v>
    <v>North Carolina</v>
    <v>196</v>
    <v>552</v>
    <v>553</v>
    <v>142</v>
    <v>554</v>
    <v>235</v>
    <v>300</v>
    <v>555</v>
    <v>556</v>
    <v>477</v>
    <v>557</v>
    <v>558</v>
    <v>559</v>
    <v>267</v>
    <v>298</v>
    <v>531</v>
    <v>560</v>
    <v>476</v>
    <v>561</v>
    <v>11</v>
    <v>North Carolina</v>
    <v>mdp/vdpid/23611</v>
  </rv>
  <rv s="1">
    <fb>116096</fb>
    <v>8</v>
  </rv>
  <rv s="1">
    <fb>22816</fb>
    <v>8</v>
  </rv>
  <rv s="0">
    <v>536870912</v>
    <v>Columbus, Ohio</v>
    <v>5b78da0b-6447-4f71-92b2-f1fafe94ba51</v>
    <v>en-US</v>
    <v>Map</v>
  </rv>
  <rv s="1">
    <fb>4585084</fb>
    <v>8</v>
  </rv>
  <rv s="1">
    <fb>5164361</fb>
    <v>8</v>
  </rv>
  <rv s="2">
    <v>17</v>
    <v>6</v>
    <v>103</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27</v>
  </rv>
  <rv s="4">
    <v>https://www.bing.com/search?q=ohio&amp;form=skydnc</v>
    <v>Learn more on Bing</v>
  </rv>
  <rv s="1">
    <fb>730</fb>
    <v>35</v>
  </rv>
  <rv s="1">
    <fb>49429</fb>
    <v>35</v>
  </rv>
  <rv s="1">
    <fb>129900</fb>
    <v>35</v>
  </rv>
  <rv s="3">
    <v>28</v>
  </rv>
  <rv s="1">
    <fb>2.46</fb>
    <v>30</v>
  </rv>
  <rv s="1">
    <fb>11883304</fb>
    <v>8</v>
  </rv>
  <rv s="1">
    <fb>6.9999999999999993E-3</fb>
    <v>29</v>
  </rv>
  <rv s="1">
    <fb>0.159</fb>
    <v>29</v>
  </rv>
  <rv s="1">
    <fb>3.0000000000000001E-3</fb>
    <v>43</v>
  </rv>
  <rv s="1">
    <fb>0.26100000000000001</fb>
    <v>29</v>
  </rv>
  <rv s="1">
    <fb>0.127</fb>
    <v>29</v>
  </rv>
  <rv s="1">
    <fb>3.6000000000000004E-2</fb>
    <v>29</v>
  </rv>
  <rv s="1">
    <fb>0.63300000000000001</fb>
    <v>29</v>
  </rv>
  <rv s="1">
    <fb>9.9000000000000005E-2</fb>
    <v>29</v>
  </rv>
  <rv s="1">
    <fb>0.82700000000000007</fb>
    <v>29</v>
  </rv>
  <rv s="8">
    <v>#VALUE!</v>
    <v>106</v>
    <v>48</v>
    <v>Ohio</v>
    <v>4</v>
    <v>5</v>
    <v>Map</v>
    <v>6</v>
    <v>49</v>
    <v>en-US</v>
    <v>6f3df7da-1ef6-48e3-b2b3-b5b5fce3e846</v>
    <v>536870912</v>
    <v>1</v>
    <v>US-OH</v>
    <v>563</v>
    <v>564</v>
    <v>565</v>
    <v>148</v>
    <v>Ohio is a state in the Midwestern region of the United States. It borders Lake Erie to the north, Pennsylvania to the east, West Virginia to the southeast, Kentucky to the southwest, Indiana to the west, and Michigan to the northwest. Of the 50 ...</v>
    <v>566</v>
    <v>567</v>
    <v>568</v>
    <v>565</v>
    <v>573</v>
    <v>574</v>
    <v>575</v>
    <v>576</v>
    <v>577</v>
    <v>Ohio</v>
    <v>578</v>
    <v>579</v>
    <v>580</v>
    <v>581</v>
    <v>582</v>
    <v>583</v>
    <v>531</v>
    <v>584</v>
    <v>585</v>
    <v>472</v>
    <v>534</v>
    <v>586</v>
    <v>587</v>
    <v>267</v>
    <v>588</v>
    <v>531</v>
    <v>46</v>
    <v>476</v>
    <v>589</v>
    <v>11</v>
    <v>Ohio</v>
    <v>mdp/vdpid/24230</v>
  </rv>
  <rv s="1">
    <fb>181195</fb>
    <v>8</v>
  </rv>
  <rv s="1">
    <fb>12092</fb>
    <v>8</v>
  </rv>
  <rv s="0">
    <v>536870912</v>
    <v>Oklahoma City</v>
    <v>59d212a0-2f5f-4681-a7a0-a8a6e25853e1</v>
    <v>en-US</v>
    <v>Map</v>
  </rv>
  <rv s="1">
    <fb>1455321</fb>
    <v>8</v>
  </rv>
  <rv s="1">
    <fb>1721045</fb>
    <v>8</v>
  </rv>
  <rv s="2">
    <v>18</v>
    <v>6</v>
    <v>107</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29</v>
  </rv>
  <rv s="4">
    <v>https://www.bing.com/search?q=oklahoma&amp;form=skydnc</v>
    <v>Learn more on Bing</v>
  </rv>
  <rv s="1">
    <fb>727</fb>
    <v>35</v>
  </rv>
  <rv s="1">
    <fb>46879</fb>
    <v>35</v>
  </rv>
  <rv s="1">
    <fb>117900</fb>
    <v>35</v>
  </rv>
  <rv s="1">
    <fb>3959353</fb>
    <v>8</v>
  </rv>
  <rv s="1">
    <fb>9.0999999999999998E-2</fb>
    <v>43</v>
  </rv>
  <rv s="1">
    <fb>0.24100000000000002</fb>
    <v>29</v>
  </rv>
  <rv s="1">
    <fb>7.8E-2</fb>
    <v>29</v>
  </rv>
  <rv s="1">
    <fb>5.7999999999999996E-2</fb>
    <v>29</v>
  </rv>
  <rv s="1">
    <fb>0.10099999999999999</fb>
    <v>29</v>
  </rv>
  <rv s="1">
    <fb>0.61099999999999999</fb>
    <v>29</v>
  </rv>
  <rv s="1">
    <fb>0.113</fb>
    <v>29</v>
  </rv>
  <rv s="1">
    <fb>0.24600000000000002</fb>
    <v>29</v>
  </rv>
  <rv s="1">
    <fb>0.748</fb>
    <v>29</v>
  </rv>
  <rv s="10">
    <v>#VALUE!</v>
    <v>110</v>
    <v>111</v>
    <v>Oklahoma</v>
    <v>4</v>
    <v>5</v>
    <v>Map</v>
    <v>6</v>
    <v>42</v>
    <v>en-US</v>
    <v>cbcf556f-952a-4665-bb95-0500b27f9976</v>
    <v>536870912</v>
    <v>1</v>
    <v>US-OK</v>
    <v>591</v>
    <v>592</v>
    <v>593</v>
    <v>3</v>
    <v>Oklahoma is a state in the South Central region of the United States. It borders Texas to the south and west, Kansas to the north, Missouri to the northeast, Arkansas to the east, New Mexico to the west, and Colorado to the northwest. Partially ...</v>
    <v>594</v>
    <v>595</v>
    <v>596</v>
    <v>593</v>
    <v>601</v>
    <v>602</v>
    <v>603</v>
    <v>604</v>
    <v>605</v>
    <v>Oklahoma</v>
    <v>42</v>
    <v>265</v>
    <v>606</v>
    <v>270</v>
    <v>202</v>
    <v>607</v>
    <v>278</v>
    <v>608</v>
    <v>609</v>
    <v>610</v>
    <v>304</v>
    <v>611</v>
    <v>612</v>
    <v>138</v>
    <v>613</v>
    <v>476</v>
    <v>614</v>
    <v>533</v>
    <v>615</v>
    <v>Oklahoma</v>
    <v>mdp/vdpid/24293</v>
  </rv>
  <rv s="1">
    <fb>119283</fb>
    <v>8</v>
  </rv>
  <rv s="1">
    <fb>23303</fb>
    <v>8</v>
  </rv>
  <rv s="0">
    <v>536870912</v>
    <v>Harrisburg, Pennsylvania</v>
    <v>c0411c8e-89cf-5f47-d2f3-d5e52d320fff</v>
    <v>en-US</v>
    <v>Map</v>
  </rv>
  <rv s="1">
    <fb>4958859</fb>
    <v>8</v>
  </rv>
  <rv s="1">
    <fb>5612002</fb>
    <v>8</v>
  </rv>
  <rv s="2">
    <v>19</v>
    <v>6</v>
    <v>112</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30</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0.89200000000000002</fb>
    <v>29</v>
  </rv>
  <rv s="1">
    <fb>0.628</fb>
    <v>29</v>
  </rv>
  <rv s="1">
    <fb>9.5000000000000001E-2</fb>
    <v>29</v>
  </rv>
  <rv s="1">
    <fb>0.21</fb>
    <v>29</v>
  </rv>
  <rv s="1">
    <fb>5.5999999999999994E-2</fb>
    <v>29</v>
  </rv>
  <rv s="1">
    <fb>0.82599999999999996</fb>
    <v>29</v>
  </rv>
  <rv s="8">
    <v>#VALUE!</v>
    <v>115</v>
    <v>48</v>
    <v>Pennsylvania</v>
    <v>4</v>
    <v>5</v>
    <v>Map</v>
    <v>6</v>
    <v>49</v>
    <v>en-US</v>
    <v>6304580e-c803-4266-818a-971619176547</v>
    <v>536870912</v>
    <v>1</v>
    <v>US-PA</v>
    <v>617</v>
    <v>618</v>
    <v>619</v>
    <v>148</v>
    <v>Pennsylvania, officially the Commonwealth of Pennsylvania, is a state spanning the Mid-Atlantic, Northeastern, Appalachian, and Great Lakes regions of the United States. It borders Delaware to its southeast, Maryland to its south, West Virginia ...</v>
    <v>620</v>
    <v>621</v>
    <v>622</v>
    <v>623</v>
    <v>628</v>
    <v>629</v>
    <v>630</v>
    <v>631</v>
    <v>632</v>
    <v>Pennsylvania</v>
    <v>42</v>
    <v>470</v>
    <v>633</v>
    <v>634</v>
    <v>635</v>
    <v>636</v>
    <v>637</v>
    <v>638</v>
    <v>639</v>
    <v>393</v>
    <v>640</v>
    <v>210</v>
    <v>641</v>
    <v>267</v>
    <v>642</v>
    <v>364</v>
    <v>643</v>
    <v>644</v>
    <v>645</v>
    <v>11</v>
    <v>Pennsylvania</v>
    <v>mdp/vdpid/25623</v>
  </rv>
  <rv s="1">
    <fb>82931</fb>
    <v>8</v>
  </rv>
  <rv s="1">
    <fb>32165</fb>
    <v>8</v>
  </rv>
  <rv s="0">
    <v>536870912</v>
    <v>Columbia, South Carolina</v>
    <v>0c8f6663-0a97-4263-b3e1-3cfe0b623552</v>
    <v>en-US</v>
    <v>Map</v>
  </rv>
  <rv s="1">
    <fb>1815094</fb>
    <v>8</v>
  </rv>
  <rv s="1">
    <fb>2236153</fb>
    <v>8</v>
  </rv>
  <rv s="2">
    <v>20</v>
    <v>6</v>
    <v>116</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31</v>
  </rv>
  <rv s="4">
    <v>https://www.bing.com/search?q=south+carolina&amp;form=skydnc</v>
    <v>Learn more on Bing</v>
  </rv>
  <rv s="1">
    <fb>790</fb>
    <v>35</v>
  </rv>
  <rv s="1">
    <fb>45483</fb>
    <v>35</v>
  </rv>
  <rv s="1">
    <fb>139900</fb>
    <v>35</v>
  </rv>
  <rv s="1">
    <fb>2.56</fb>
    <v>30</v>
  </rv>
  <rv s="1">
    <fb>5478831</fb>
    <v>8</v>
  </rv>
  <rv s="1">
    <fb>0.16200000000000001</fb>
    <v>29</v>
  </rv>
  <rv s="1">
    <fb>0.25800000000000001</fb>
    <v>29</v>
  </rv>
  <rv s="1">
    <fb>0.27600000000000002</fb>
    <v>29</v>
  </rv>
  <rv s="1">
    <fb>4.8000000000000001E-2</fb>
    <v>29</v>
  </rv>
  <rv s="1">
    <fb>0.85599999999999998</fb>
    <v>29</v>
  </rv>
  <rv s="1">
    <fb>0.60099999999999998</fb>
    <v>29</v>
  </rv>
  <rv s="1">
    <fb>0.223</fb>
    <v>29</v>
  </rv>
  <rv s="1">
    <fb>5.9000000000000004E-2</fb>
    <v>29</v>
  </rv>
  <rv s="1">
    <fb>0.68400000000000005</fb>
    <v>29</v>
  </rv>
  <rv s="8">
    <v>#VALUE!</v>
    <v>119</v>
    <v>48</v>
    <v>South Carolina</v>
    <v>4</v>
    <v>5</v>
    <v>Map</v>
    <v>6</v>
    <v>49</v>
    <v>en-US</v>
    <v>810015e8-b10b-4232-9e2c-de87a67bd26e</v>
    <v>536870912</v>
    <v>1</v>
    <v>US-SC</v>
    <v>647</v>
    <v>648</v>
    <v>649</v>
    <v>148</v>
    <v>South Carolina is a state in the Southeastern region of the United States. It borders North Carolina to the north and northeast, the Atlantic Ocean to the southeast, and Georgia to the west and south across the Savannah River. Along with North ...</v>
    <v>650</v>
    <v>651</v>
    <v>652</v>
    <v>653</v>
    <v>658</v>
    <v>659</v>
    <v>660</v>
    <v>661</v>
    <v>662</v>
    <v>South Carolina</v>
    <v>42</v>
    <v>663</v>
    <v>664</v>
    <v>530</v>
    <v>665</v>
    <v>269</v>
    <v>166</v>
    <v>666</v>
    <v>667</v>
    <v>668</v>
    <v>669</v>
    <v>358</v>
    <v>670</v>
    <v>267</v>
    <v>51</v>
    <v>392</v>
    <v>671</v>
    <v>672</v>
    <v>673</v>
    <v>11</v>
    <v>South Carolina</v>
    <v>mdp/vdpid/31410</v>
  </rv>
  <rv s="1">
    <fb>109247</fb>
    <v>8</v>
  </rv>
  <rv s="1">
    <fb>36157</fb>
    <v>8</v>
  </rv>
  <rv s="0">
    <v>536870912</v>
    <v>Nashville, Tennessee</v>
    <v>e2accb9d-ccea-5b7c-7bbc-0db831476d61</v>
    <v>en-US</v>
    <v>Map</v>
  </rv>
  <rv s="1">
    <fb>2504556</fb>
    <v>8</v>
  </rv>
  <rv s="1">
    <fb>2919671</fb>
    <v>8</v>
  </rv>
  <rv s="2">
    <v>21</v>
    <v>6</v>
    <v>120</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32</v>
  </rv>
  <rv s="4">
    <v>https://www.bing.com/search?q=tennessee&amp;form=skydnc</v>
    <v>Learn more on Bing</v>
  </rv>
  <rv s="1">
    <fb>764</fb>
    <v>35</v>
  </rv>
  <rv s="1">
    <fb>45219</fb>
    <v>35</v>
  </rv>
  <rv s="1">
    <fb>142100</fb>
    <v>35</v>
  </rv>
  <rv s="1">
    <fb>7227750</fb>
    <v>8</v>
  </rv>
  <rv s="1">
    <fb>0.249</fb>
    <v>29</v>
  </rv>
  <rv s="1">
    <fb>0.17100000000000001</fb>
    <v>29</v>
  </rv>
  <rv s="1">
    <fb>0.85499999999999998</fb>
    <v>29</v>
  </rv>
  <rv s="1">
    <fb>0.61</fb>
    <v>29</v>
  </rv>
  <rv s="1">
    <fb>0.22699999999999998</fb>
    <v>29</v>
  </rv>
  <rv s="1">
    <fb>0.78799999999999992</fb>
    <v>29</v>
  </rv>
  <rv s="8">
    <v>#VALUE!</v>
    <v>123</v>
    <v>48</v>
    <v>Tennessee</v>
    <v>4</v>
    <v>5</v>
    <v>Map</v>
    <v>6</v>
    <v>49</v>
    <v>en-US</v>
    <v>9bbc9c72-1bf1-4ef6-b66d-a6cdef70f4f3</v>
    <v>536870912</v>
    <v>1</v>
    <v>US-TN</v>
    <v>675</v>
    <v>676</v>
    <v>677</v>
    <v>148</v>
    <v>Tennessee is a landlocked state in the Southeastern region of the United States. It borders Kentucky to the north, Virginia to the northeast, North Carolina to the east, Georgia, Alabama, and Mississippi to the south, Arkansas to the southwest, ...</v>
    <v>678</v>
    <v>679</v>
    <v>680</v>
    <v>677</v>
    <v>685</v>
    <v>686</v>
    <v>687</v>
    <v>688</v>
    <v>689</v>
    <v>Tennessee</v>
    <v>196</v>
    <v>161</v>
    <v>690</v>
    <v>668</v>
    <v>275</v>
    <v>636</v>
    <v>392</v>
    <v>691</v>
    <v>692</v>
    <v>668</v>
    <v>693</v>
    <v>279</v>
    <v>694</v>
    <v>267</v>
    <v>448</v>
    <v>392</v>
    <v>695</v>
    <v>365</v>
    <v>696</v>
    <v>310</v>
    <v>Tennessee</v>
    <v>mdp/vdpid/33025</v>
  </rv>
  <rv s="1">
    <fb>696241</fb>
    <v>8</v>
  </rv>
  <rv s="1">
    <fb>165853</fb>
    <v>8</v>
  </rv>
  <rv s="0">
    <v>536870912</v>
    <v>Austin, Texas</v>
    <v>afd7d7f6-01a2-401c-bb4d-59f7e34d585c</v>
    <v>en-US</v>
    <v>Map</v>
  </rv>
  <rv s="1">
    <fb>9149196</fb>
    <v>8</v>
  </rv>
  <rv s="1">
    <fb>10753629</fb>
    <v>8</v>
  </rv>
  <rv s="2">
    <v>22</v>
    <v>6</v>
    <v>124</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33</v>
  </rv>
  <rv s="4">
    <v>https://www.bing.com/search?q=texas&amp;form=skydnc</v>
    <v>Learn more on Bing</v>
  </rv>
  <rv s="1">
    <fb>882</fb>
    <v>35</v>
  </rv>
  <rv s="1">
    <fb>53207</fb>
    <v>35</v>
  </rv>
  <rv s="1">
    <fb>136000</fb>
    <v>35</v>
  </rv>
  <rv s="1">
    <fb>2.84</fb>
    <v>30</v>
  </rv>
  <rv s="1">
    <fb>31290831</fb>
    <v>8</v>
  </rv>
  <rv s="1">
    <fb>0.10800000000000001</fb>
    <v>29</v>
  </rv>
  <rv s="1">
    <fb>0.125</fb>
    <v>29</v>
  </rv>
  <rv s="1">
    <fb>0.16600000000000001</fb>
    <v>29</v>
  </rv>
  <rv s="1">
    <fb>0.81900000000000006</fb>
    <v>29</v>
  </rv>
  <rv s="1">
    <fb>0.64300000000000002</fb>
    <v>29</v>
  </rv>
  <rv s="1">
    <fb>8.1000000000000003E-2</fb>
    <v>29</v>
  </rv>
  <rv s="1">
    <fb>0.26300000000000001</fb>
    <v>29</v>
  </rv>
  <rv s="1">
    <fb>0.79700000000000004</fb>
    <v>29</v>
  </rv>
  <rv s="9">
    <v>#VALUE!</v>
    <v>127</v>
    <v>62</v>
    <v>Texas</v>
    <v>4</v>
    <v>5</v>
    <v>Map</v>
    <v>6</v>
    <v>49</v>
    <v>en-US</v>
    <v>00a23ccd-3344-461c-8b9f-c2bb55be5815</v>
    <v>536870912</v>
    <v>1</v>
    <v>US-TX</v>
    <v>698</v>
    <v>699</v>
    <v>700</v>
    <v>148</v>
    <v>Texas is the most populous state in the South Central region of the United States. It borders Louisiana to the east, Arkansas to the northeast, Oklahoma to the north, New Mexico to the west, and has an international border with the Mexican ...</v>
    <v>701</v>
    <v>702</v>
    <v>703</v>
    <v>704</v>
    <v>709</v>
    <v>710</v>
    <v>711</v>
    <v>712</v>
    <v>713</v>
    <v>Texas</v>
    <v>714</v>
    <v>715</v>
    <v>716</v>
    <v>639</v>
    <v>165</v>
    <v>169</v>
    <v>667</v>
    <v>717</v>
    <v>718</v>
    <v>719</v>
    <v>207</v>
    <v>720</v>
    <v>267</v>
    <v>721</v>
    <v>364</v>
    <v>722</v>
    <v>171</v>
    <v>723</v>
    <v>178</v>
    <v>Texas</v>
    <v>mdp/vdpid/33145</v>
  </rv>
  <rv s="1">
    <fb>219653</fb>
    <v>8</v>
  </rv>
  <rv s="1">
    <fb>22662</fb>
    <v>8</v>
  </rv>
  <rv s="0">
    <v>536870912</v>
    <v>Salt Lake City</v>
    <v>520b8048-39fe-4c55-8cbf-a52f9d8756fd</v>
    <v>en-US</v>
    <v>Map</v>
  </rv>
  <rv s="1">
    <fb>906292</fb>
    <v>8</v>
  </rv>
  <rv s="1">
    <fb>1054164</fb>
    <v>8</v>
  </rv>
  <rv s="2">
    <v>23</v>
    <v>6</v>
    <v>128</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34</v>
  </rv>
  <rv s="4">
    <v>https://www.bing.com/search?q=utah&amp;form=skydnc</v>
    <v>Learn more on Bing</v>
  </rv>
  <rv s="1">
    <fb>887</fb>
    <v>35</v>
  </rv>
  <rv s="1">
    <fb>60727</fb>
    <v>35</v>
  </rv>
  <rv s="1">
    <fb>215900</fb>
    <v>35</v>
  </rv>
  <rv s="1">
    <fb>3.15</fb>
    <v>30</v>
  </rv>
  <rv s="1">
    <fb>3503613</fb>
    <v>8</v>
  </rv>
  <rv s="1">
    <fb>1.4999999999999999E-2</fb>
    <v>43</v>
  </rv>
  <rv s="1">
    <fb>0.311</fb>
    <v>29</v>
  </rv>
  <rv s="1">
    <fb>1.3000000000000001E-2</fb>
    <v>29</v>
  </rv>
  <rv s="1">
    <fb>0.91200000000000003</fb>
    <v>29</v>
  </rv>
  <rv s="1">
    <fb>0.13699999999999998</fb>
    <v>29</v>
  </rv>
  <rv s="1">
    <fb>0.67700000000000005</fb>
    <v>29</v>
  </rv>
  <rv s="1">
    <fb>0.01</fb>
    <v>29</v>
  </rv>
  <rv s="3">
    <v>35</v>
  </rv>
  <rv s="8">
    <v>#VALUE!</v>
    <v>131</v>
    <v>48</v>
    <v>Utah</v>
    <v>4</v>
    <v>5</v>
    <v>Map</v>
    <v>6</v>
    <v>49</v>
    <v>en-US</v>
    <v>c6705e44-d27f-4240-95a2-54e802e3b524</v>
    <v>536870912</v>
    <v>1</v>
    <v>US-UT</v>
    <v>725</v>
    <v>726</v>
    <v>727</v>
    <v>148</v>
    <v>Utah is a state in the western United States. It is one of the Mountain States, sharing the Four Corners region with Arizona, Colorado, and New Mexico. It also borders Wyoming to the northeast, Idaho to the north, and Nevada to the west. In ...</v>
    <v>728</v>
    <v>729</v>
    <v>730</v>
    <v>727</v>
    <v>735</v>
    <v>736</v>
    <v>737</v>
    <v>738</v>
    <v>739</v>
    <v>Utah</v>
    <v>196</v>
    <v>740</v>
    <v>741</v>
    <v>504</v>
    <v>51</v>
    <v>742</v>
    <v>163</v>
    <v>743</v>
    <v>744</v>
    <v>445</v>
    <v>745</v>
    <v>746</v>
    <v>747</v>
    <v>748</v>
    <v>443</v>
    <v>386</v>
    <v>47</v>
    <v>445</v>
    <v>745</v>
    <v>749</v>
    <v>Utah</v>
    <v>mdp/vdpid/34626</v>
  </rv>
  <rv s="1">
    <fb>24923</fb>
    <v>8</v>
  </rv>
  <rv s="1">
    <fb>1771</fb>
    <v>8</v>
  </rv>
  <rv s="0">
    <v>536870912</v>
    <v>Montpelier, Vermont</v>
    <v>6a01399d-d09a-4bda-4500-012bb3271e9d</v>
    <v>en-US</v>
    <v>Map</v>
  </rv>
  <rv s="1">
    <fb>257167</fb>
    <v>8</v>
  </rv>
  <rv s="1">
    <fb>329525</fb>
    <v>8</v>
  </rv>
  <rv s="2">
    <v>24</v>
    <v>6</v>
    <v>132</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36</v>
  </rv>
  <rv s="4">
    <v>https://www.bing.com/search?q=vermont&amp;form=skydnc</v>
    <v>Learn more on Bing</v>
  </rv>
  <rv s="1">
    <fb>895</fb>
    <v>35</v>
  </rv>
  <rv s="1">
    <fb>55176</fb>
    <v>35</v>
  </rv>
  <rv s="1">
    <fb>217500</fb>
    <v>35</v>
  </rv>
  <rv s="1">
    <fb>2.34</fb>
    <v>30</v>
  </rv>
  <rv s="1">
    <fb>648493</fb>
    <v>8</v>
  </rv>
  <rv s="1">
    <fb>0.36</fb>
    <v>29</v>
  </rv>
  <rv s="1">
    <fb>4.2999999999999997E-2</fb>
    <v>29</v>
  </rv>
  <rv s="1">
    <fb>0.66599999999999993</fb>
    <v>29</v>
  </rv>
  <rv s="1">
    <fb>0.1</fb>
    <v>29</v>
  </rv>
  <rv s="1">
    <fb>0.192</fb>
    <v>29</v>
  </rv>
  <rv s="1">
    <fb>0.94799999999999995</fb>
    <v>29</v>
  </rv>
  <rv s="11">
    <v>#VALUE!</v>
    <v>135</v>
    <v>136</v>
    <v>Vermont</v>
    <v>4</v>
    <v>5</v>
    <v>Map</v>
    <v>6</v>
    <v>137</v>
    <v>en-US</v>
    <v>221864cc-447e-4e78-847c-59e485d73bff</v>
    <v>536870912</v>
    <v>1</v>
    <v>US-VT</v>
    <v>751</v>
    <v>752</v>
    <v>753</v>
    <v>148</v>
    <v>Vermont is a state in the New England region of the Northeastern United States. It borders Massachusetts to the south, New Hampshire to the east, New York to the west, and the Canadian province of Quebec to the north. According to the most ...</v>
    <v>754</v>
    <v>755</v>
    <v>756</v>
    <v>757</v>
    <v>762</v>
    <v>763</v>
    <v>764</v>
    <v>765</v>
    <v>766</v>
    <v>Vermont</v>
    <v>767</v>
    <v>768</v>
    <v>356</v>
    <v>141</v>
    <v>636</v>
    <v>166</v>
    <v>769</v>
    <v>744</v>
    <v>770</v>
    <v>394</v>
    <v>392</v>
    <v>771</v>
    <v>772</v>
    <v>364</v>
    <v>773</v>
    <v>474</v>
    <v>774</v>
    <v>11</v>
    <v>Vermont</v>
    <v>mdp/vdpid/35022</v>
  </rv>
  <rv s="1">
    <fb>110862</fb>
    <v>8</v>
  </rv>
  <rv s="1">
    <fb>31132</fb>
    <v>8</v>
  </rv>
  <rv s="0">
    <v>536870912</v>
    <v>Richmond, Virginia</v>
    <v>59263810-6a82-4930-943c-1fa0693b17b0</v>
    <v>en-US</v>
    <v>Map</v>
  </rv>
  <rv s="1">
    <fb>3062783</fb>
    <v>8</v>
  </rv>
  <rv s="1">
    <fb>3491054</fb>
    <v>8</v>
  </rv>
  <rv s="2">
    <v>25</v>
    <v>6</v>
    <v>138</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37</v>
  </rv>
  <rv s="4">
    <v>https://www.bing.com/search?q=virginia&amp;form=skydnc</v>
    <v>Learn more on Bing</v>
  </rv>
  <rv s="1">
    <fb>1116</fb>
    <v>35</v>
  </rv>
  <rv s="1">
    <fb>65015</fb>
    <v>35</v>
  </rv>
  <rv s="1">
    <fb>245000</fb>
    <v>35</v>
  </rv>
  <rv s="1">
    <fb>2.62</fb>
    <v>30</v>
  </rv>
  <rv s="1">
    <fb>8811195</fb>
    <v>8</v>
  </rv>
  <rv s="1">
    <fb>0.36299999999999999</fb>
    <v>29</v>
  </rv>
  <rv s="1">
    <fb>0.88300000000000001</fb>
    <v>29</v>
  </rv>
  <rv s="1">
    <fb>0.09</fb>
    <v>29</v>
  </rv>
  <rv s="1">
    <fb>0.64700000000000002</fb>
    <v>29</v>
  </rv>
  <rv s="1">
    <fb>0.70200000000000007</fb>
    <v>29</v>
  </rv>
  <rv s="8">
    <v>#VALUE!</v>
    <v>141</v>
    <v>48</v>
    <v>Virginia</v>
    <v>4</v>
    <v>5</v>
    <v>Map</v>
    <v>6</v>
    <v>49</v>
    <v>en-US</v>
    <v>7eee9976-e8a7-472c-ada1-007208abd678</v>
    <v>536870912</v>
    <v>1</v>
    <v>US-VA</v>
    <v>776</v>
    <v>777</v>
    <v>778</v>
    <v>148</v>
    <v>Virginia, officially the Commonwealth of Virginia, is a state in the Southeastern and Mid-Atlantic regions of the United States between the Atlantic Coast and the Appalachian Mountains. The state's capital is Richmond and its most populous city ...</v>
    <v>779</v>
    <v>780</v>
    <v>781</v>
    <v>782</v>
    <v>787</v>
    <v>788</v>
    <v>789</v>
    <v>790</v>
    <v>791</v>
    <v>Virginia</v>
    <v>196</v>
    <v>792</v>
    <v>793</v>
    <v>50</v>
    <v>357</v>
    <v>269</v>
    <v>204</v>
    <v>794</v>
    <v>303</v>
    <v>639</v>
    <v>795</v>
    <v>796</v>
    <v>797</v>
    <v>267</v>
    <v>477</v>
    <v>243</v>
    <v>671</v>
    <v>365</v>
    <v>798</v>
    <v>11</v>
    <v>Virginia</v>
    <v>mdp/vdpid/35364</v>
  </rv>
  <rv s="1">
    <fb>169640</fb>
    <v>8</v>
  </rv>
  <rv s="1">
    <fb>19274</fb>
    <v>8</v>
  </rv>
  <rv s="0">
    <v>536870912</v>
    <v>Madison, Wisconsin</v>
    <v>65426cc9-93eb-4569-8c2e-3b7c1b070278</v>
    <v>en-US</v>
    <v>Map</v>
  </rv>
  <rv s="1">
    <fb>2299107</fb>
    <v>8</v>
  </rv>
  <rv s="1">
    <fb>2668444</fb>
    <v>8</v>
  </rv>
  <rv s="2">
    <v>26</v>
    <v>6</v>
    <v>142</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38</v>
  </rv>
  <rv s="4">
    <v>https://www.bing.com/search?q=wisconsin&amp;form=skydnc</v>
    <v>Learn more on Bing</v>
  </rv>
  <rv s="1">
    <fb>776</fb>
    <v>35</v>
  </rv>
  <rv s="1">
    <fb>53357</fb>
    <v>35</v>
  </rv>
  <rv s="1">
    <fb>165800</fb>
    <v>35</v>
  </rv>
  <rv s="1">
    <fb>2.4300000000000002</fb>
    <v>30</v>
  </rv>
  <rv s="1">
    <fb>5960975</fb>
    <v>8</v>
  </rv>
  <rv s="1">
    <fb>0.156</fb>
    <v>29</v>
  </rv>
  <rv s="1">
    <fb>1.1000000000000001E-2</fb>
    <v>43</v>
  </rv>
  <rv s="1">
    <fb>0.27800000000000002</fb>
    <v>29</v>
  </rv>
  <rv s="1">
    <fb>0.91</fb>
    <v>29</v>
  </rv>
  <rv s="1">
    <fb>0.67099999999999993</fb>
    <v>29</v>
  </rv>
  <rv s="1">
    <fb>8.199999999999999E-2</fb>
    <v>29</v>
  </rv>
  <rv s="1">
    <fb>0.22399999999999998</fb>
    <v>29</v>
  </rv>
  <rv s="1">
    <fb>0.87599999999999989</fb>
    <v>29</v>
  </rv>
  <rv s="9">
    <v>#VALUE!</v>
    <v>145</v>
    <v>62</v>
    <v>Wisconsin</v>
    <v>4</v>
    <v>5</v>
    <v>Map</v>
    <v>6</v>
    <v>49</v>
    <v>en-US</v>
    <v>cb4d2853-06f4-4467-8e7c-4e31cbb35cb2</v>
    <v>536870912</v>
    <v>1</v>
    <v>US-WI</v>
    <v>800</v>
    <v>801</v>
    <v>802</v>
    <v>148</v>
    <v>Wisconsin is a state in the Great Lakes region of the Upper Midwest of the United States. It borders Minnesota to the west, Iowa to the southwest, Illinois to the south, Lake Michigan to the east, Michigan to the northeast, and Lake Superior to ...</v>
    <v>803</v>
    <v>804</v>
    <v>805</v>
    <v>806</v>
    <v>811</v>
    <v>812</v>
    <v>813</v>
    <v>814</v>
    <v>815</v>
    <v>Wisconsin</v>
    <v>816</v>
    <v>817</v>
    <v>166</v>
    <v>818</v>
    <v>819</v>
    <v>300</v>
    <v>820</v>
    <v>443</v>
    <v>668</v>
    <v>821</v>
    <v>443</v>
    <v>822</v>
    <v>267</v>
    <v>823</v>
    <v>392</v>
    <v>824</v>
    <v>672</v>
    <v>825</v>
    <v>178</v>
    <v>Wisconsin</v>
    <v>mdp/vdpid/36684</v>
  </rv>
  <rv s="0">
    <v>536870912</v>
    <v>Cook County, Illinois</v>
    <v>38aa555d-a2f0-25e5-0b3a-ef870e8ef479</v>
    <v>en-US</v>
    <v>Map</v>
  </rv>
  <rv s="1">
    <fb>606.42399999999998</fb>
    <v>8</v>
  </rv>
  <rv s="0">
    <v>536870912</v>
    <v>United States</v>
    <v>e3ef53f2-d302-b22a-64a7-6e0ce65be769</v>
    <v>en-US</v>
    <v>Map</v>
  </rv>
  <rv s="2">
    <v>27</v>
    <v>6</v>
    <v>146</v>
    <v>7</v>
    <v>0</v>
    <v>Image of Chicago</v>
  </rv>
  <rv s="1">
    <fb>41.850029999999997</fb>
    <v>9</v>
  </rv>
  <rv s="0">
    <v>805306368</v>
    <v>Brandon Johnson (Mayor)</v>
    <v>51f38d5b-94e7-0349-9108-0f3eb33757cb</v>
    <v>en-US</v>
    <v>Generic</v>
  </rv>
  <rv s="3">
    <v>39</v>
  </rv>
  <rv s="4">
    <v>https://www.bing.com/search?q=chicago&amp;form=skydnc</v>
    <v>Learn more on Bing</v>
  </rv>
  <rv s="1">
    <fb>-87.650049999999993</fb>
    <v>9</v>
  </rv>
  <rv s="1">
    <fb>2664452</fb>
    <v>8</v>
  </rv>
  <rv s="3">
    <v>40</v>
  </rv>
  <rv s="12">
    <v>#VALUE!</v>
    <v>147</v>
    <v>148</v>
    <v>Chicago</v>
    <v>4</v>
    <v>5</v>
    <v>Map</v>
    <v>6</v>
    <v>149</v>
    <v>en-US</v>
    <v>28deeb39-ca49-4bd4-913b-929b1de4b25b</v>
    <v>536870912</v>
    <v>1</v>
    <v>66</v>
    <v>827</v>
    <v>828</v>
    <v>829</v>
    <v>Chicago is the most populous city in the U.S. state of Illinois and in the Midwestern United States. With a population of 2,746,388, as of the 2020 census, it is the third-most populous city in the United States after New York City and Los ...</v>
    <v>830</v>
    <v>831</v>
    <v>833</v>
    <v>834</v>
    <v>835</v>
    <v>Chicago</v>
    <v>836</v>
    <v>837</v>
    <v>Chicago</v>
    <v>mdp/vdpid/5477686925982695427</v>
  </rv>
  <rv s="0">
    <v>536870912</v>
    <v>Suffolk County</v>
    <v>cc8426c8-f6bc-398c-aab9-d3baeeb8d2cd</v>
    <v>en-US</v>
    <v>Map</v>
  </rv>
  <rv s="1">
    <fb>232.16776100000001</fb>
    <v>8</v>
  </rv>
  <rv s="0">
    <v>536870912</v>
    <v>Province of Massachusetts Bay</v>
    <v>05c8a95b-0b0f-51d2-5794-107d56018d69</v>
    <v>en-US</v>
    <v>Map</v>
  </rv>
  <rv s="2">
    <v>28</v>
    <v>6</v>
    <v>150</v>
    <v>7</v>
    <v>0</v>
    <v>Image of Boston</v>
  </rv>
  <rv s="1">
    <fb>42.360277777777803</fb>
    <v>9</v>
  </rv>
  <rv s="0">
    <v>805306368</v>
    <v>Michelle Wu (Mayor)</v>
    <v>08af4efd-ebd0-46fe-8bf9-e695cde7c2b8</v>
    <v>en-US</v>
    <v>Generic</v>
  </rv>
  <rv s="3">
    <v>41</v>
  </rv>
  <rv s="4">
    <v>https://www.bing.com/search?q=boston+massachusetts&amp;form=skydnc</v>
    <v>Learn more on Bing</v>
  </rv>
  <rv s="1">
    <fb>-71.057777777777801</fb>
    <v>9</v>
  </rv>
  <rv s="1">
    <fb>675647</fb>
    <v>8</v>
  </rv>
  <rv s="12">
    <v>#VALUE!</v>
    <v>151</v>
    <v>148</v>
    <v>Boston</v>
    <v>4</v>
    <v>5</v>
    <v>Map</v>
    <v>6</v>
    <v>7</v>
    <v>en-US</v>
    <v>f0f5899a-361f-4fe4-89d1-11130aa2c653</v>
    <v>536870912</v>
    <v>1</v>
    <v>74</v>
    <v>839</v>
    <v>840</v>
    <v>841</v>
    <v>Boston, officially the state of Boston, is the capital and most populous city in the Commonwealth of Massachusetts in the United States. The city serves as the cultural and financial center of the New England region of the Northeastern United ...</v>
    <v>842</v>
    <v>843</v>
    <v>845</v>
    <v>846</v>
    <v>847</v>
    <v>Boston</v>
    <v>848</v>
    <v>11</v>
    <v>Boston</v>
    <v>mdp/vdpid/5488162429013590018</v>
  </rv>
  <rv s="0">
    <v>536870912</v>
    <v>Montgomery County</v>
    <v>27d3e780-702a-653d-5cb6-1ab46da66710</v>
    <v>en-US</v>
    <v>Map</v>
  </rv>
  <rv s="1">
    <fb>1724.5445070000001</fb>
    <v>8</v>
  </rv>
  <rv s="2">
    <v>29</v>
    <v>6</v>
    <v>152</v>
    <v>7</v>
    <v>0</v>
    <v>Image of Houston</v>
  </rv>
  <rv s="1">
    <fb>29.762777777777998</fb>
    <v>9</v>
  </rv>
  <rv s="0">
    <v>805306368</v>
    <v>Sylvester Turner (Mayor)</v>
    <v>70668f90-c5da-66f0-41ae-152a1286911b</v>
    <v>en-US</v>
    <v>Generic</v>
  </rv>
  <rv s="3">
    <v>42</v>
  </rv>
  <rv s="4">
    <v>https://www.bing.com/search?q=houston+texas&amp;form=skydnc</v>
    <v>Learn more on Bing</v>
  </rv>
  <rv s="1">
    <fb>-95.383055555555998</fb>
    <v>9</v>
  </rv>
  <rv s="1">
    <fb>2304580</fb>
    <v>8</v>
  </rv>
  <rv s="12">
    <v>#VALUE!</v>
    <v>153</v>
    <v>148</v>
    <v>Houston</v>
    <v>4</v>
    <v>5</v>
    <v>Map</v>
    <v>6</v>
    <v>7</v>
    <v>en-US</v>
    <v>ad99c262-d92e-4e88-87f7-5c66752fec36</v>
    <v>536870912</v>
    <v>1</v>
    <v>95</v>
    <v>850</v>
    <v>851</v>
    <v>3</v>
    <v>Houston is the most populous city in the U.S. state of Texas and in the Southern United States. Located in Southeast Texas near Galveston Bay and the Gulf of Mexico, it is the seat of Harris County; as well as the principal city of the Greater ...</v>
    <v>852</v>
    <v>853</v>
    <v>855</v>
    <v>856</v>
    <v>857</v>
    <v>Houston</v>
    <v>858</v>
    <v>178</v>
    <v>Houston</v>
    <v>mdp/vdpid/5110537662389813249</v>
  </rv>
  <rv s="1">
    <fb>161.82191399999999</fb>
    <v>8</v>
  </rv>
  <rv s="2">
    <v>30</v>
    <v>6</v>
    <v>154</v>
    <v>7</v>
    <v>0</v>
    <v>Image of Richmond, Virginia</v>
  </rv>
  <rv s="1">
    <fb>37.540833333333303</fb>
    <v>9</v>
  </rv>
  <rv s="0">
    <v>805306368</v>
    <v>Danny Avula (Mayor)</v>
    <v>132de1f0-e810-27b5-3081-6c6eaf3da372</v>
    <v>en-US</v>
    <v>Generic</v>
  </rv>
  <rv s="3">
    <v>43</v>
  </rv>
  <rv s="4">
    <v>https://www.bing.com/search?q=richmond+virginia&amp;form=skydnc</v>
    <v>Learn more on Bing</v>
  </rv>
  <rv s="1">
    <fb>-77.436666666666696</fb>
    <v>9</v>
  </rv>
  <rv s="1">
    <fb>226610</fb>
    <v>8</v>
  </rv>
  <rv s="5">
    <v>#VALUE!</v>
    <v>155</v>
    <v>2</v>
    <v>Richmond, Virginia</v>
    <v>4</v>
    <v>5</v>
    <v>Map</v>
    <v>6</v>
    <v>7</v>
    <v>en-US</v>
    <v>59263810-6a82-4930-943c-1fa0693b17b0</v>
    <v>536870912</v>
    <v>1</v>
    <v>98</v>
    <v>860</v>
    <v>829</v>
    <v>Richmond is the capital city of the U.S. commonwealth of Virginia. Incorporated in 1742, Richmond has been an independent city since 1871. The city's population in the 2020 United States census was 226,610, up from 204,214 in 2010, making it ...</v>
    <v>861</v>
    <v>862</v>
    <v>864</v>
    <v>865</v>
    <v>866</v>
    <v>Richmond, Virginia</v>
    <v>867</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31</v>
    <v>6</v>
    <v>157</v>
    <v>7</v>
    <v>0</v>
    <v>Image of Burnaby</v>
  </rv>
  <rv s="1">
    <fb>49.25</fb>
    <v>9</v>
  </rv>
  <rv s="0">
    <v>805306368</v>
    <v>Mike Hurley (Mayor)</v>
    <v>96783d57-12bc-1a0e-1dce-b0d44acfc7a7</v>
    <v>en-US</v>
    <v>Generic</v>
  </rv>
  <rv s="3">
    <v>44</v>
  </rv>
  <rv s="4">
    <v>https://www.bing.com/search?q=burnaby&amp;form=skydnc</v>
    <v>Learn more on Bing</v>
  </rv>
  <rv s="1">
    <fb>-122.949167</fb>
    <v>9</v>
  </rv>
  <rv s="1">
    <fb>249125</fb>
    <v>8</v>
  </rv>
  <rv s="12">
    <v>#VALUE!</v>
    <v>158</v>
    <v>148</v>
    <v>Burnaby</v>
    <v>4</v>
    <v>5</v>
    <v>Map</v>
    <v>6</v>
    <v>159</v>
    <v>en-US</v>
    <v>459ea431-9eb1-865e-bc96-1ec1e155ee9e</v>
    <v>536870912</v>
    <v>1</v>
    <v>870</v>
    <v>871</v>
    <v>872</v>
    <v>873</v>
    <v>Burnaby is a city in the Lower Mainland region of British Columbia, Canada. Located in the centre of the Burrard Peninsula, it neighbours the City of Vancouver to the west, the District of North Vancouver across the confluence of the Burrard ...</v>
    <v>874</v>
    <v>875</v>
    <v>877</v>
    <v>878</v>
    <v>879</v>
    <v>Burnaby</v>
    <v>880</v>
    <v>214</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32</v>
    <v>6</v>
    <v>161</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45</v>
  </rv>
  <rv s="4">
    <v>https://www.bing.com/search?q=canada+country&amp;form=skydnc</v>
    <v>Learn more on Bing</v>
  </rv>
  <rv s="1">
    <fb>81.948780487804896</fb>
    <v>33</v>
  </rv>
  <rv s="1">
    <fb>1937902710000</fb>
    <v>35</v>
  </rv>
  <rv s="1">
    <fb>10</fb>
    <v>33</v>
  </rv>
  <rv s="1">
    <fb>9.51</fb>
    <v>34</v>
  </rv>
  <rv s="3">
    <v>46</v>
  </rv>
  <rv s="1">
    <fb>0.1458492763</fb>
    <v>29</v>
  </rv>
  <rv s="1">
    <fb>2.6101999999999999</fb>
    <v>30</v>
  </rv>
  <rv s="1">
    <fb>38929902</fb>
    <v>8</v>
  </rv>
  <rv s="1">
    <fb>0.251</fb>
    <v>29</v>
  </rv>
  <rv s="1">
    <fb>0.40600000000000003</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47</v>
  </rv>
  <rv s="1">
    <fb>0.12844017475747799</fb>
    <v>29</v>
  </rv>
  <rv s="3">
    <v>48</v>
  </rv>
  <rv s="1">
    <fb>5.5640001296997095E-2</fb>
    <v>36</v>
  </rv>
  <rv s="1">
    <fb>30628482</fb>
    <v>8</v>
  </rv>
  <rv s="6">
    <v>#VALUE!</v>
    <v>164</v>
    <v>27</v>
    <v>Canada</v>
    <v>4</v>
    <v>5</v>
    <v>Map</v>
    <v>6</v>
    <v>165</v>
    <v>en-US</v>
    <v>370ed614-32e1-4326-a356-dc0a7dd56aaa</v>
    <v>536870912</v>
    <v>1</v>
    <v>CA</v>
    <v>882</v>
    <v>883</v>
    <v>884</v>
    <v>885</v>
    <v>17</v>
    <v>886</v>
    <v>887</v>
    <v>888</v>
    <v>889</v>
    <v>CAD</v>
    <v>Canada is a country in North America. Its ten provinces and three territories extend from the Atlantic Ocean to the Pacific Ocean and northward into the Arctic Ocean, making it the world's second-largest country by total area, with the world's ...</v>
    <v>890</v>
    <v>891</v>
    <v>892</v>
    <v>893</v>
    <v>894</v>
    <v>895</v>
    <v>896</v>
    <v>897</v>
    <v>898</v>
    <v>899</v>
    <v>900</v>
    <v>903</v>
    <v>904</v>
    <v>905</v>
    <v>906</v>
    <v>907</v>
    <v>908</v>
    <v>Canada</v>
    <v>O Canada</v>
    <v>909</v>
    <v>Canada</v>
    <v>910</v>
    <v>911</v>
    <v>912</v>
    <v>212</v>
    <v>913</v>
    <v>914</v>
    <v>386</v>
    <v>424</v>
    <v>915</v>
    <v>635</v>
    <v>916</v>
    <v>929</v>
    <v>930</v>
    <v>931</v>
    <v>305</v>
    <v>932</v>
    <v>Canada</v>
    <v>933</v>
    <v>mdp/vdpid/39</v>
  </rv>
  <rv s="1">
    <fb>1076395</fb>
    <v>8</v>
  </rv>
  <rv s="1">
    <fb>2498691</fb>
    <v>8</v>
  </rv>
  <rv s="1">
    <fb>5169175</fb>
    <v>8</v>
  </rv>
  <rv s="1">
    <fb>5169174</fb>
    <v>8</v>
  </rv>
  <rv s="2">
    <v>33</v>
    <v>6</v>
    <v>166</v>
    <v>7</v>
    <v>0</v>
    <v>Image of Ontario</v>
  </rv>
  <rv s="0">
    <v>805306368</v>
    <v>Elizabeth Dowdeswell (Lieutenant governor)</v>
    <v>6b312e0c-679a-9523-3920-dd9fb0590e19</v>
    <v>en-US</v>
    <v>Generic</v>
  </rv>
  <rv s="0">
    <v>805306368</v>
    <v>Doug Ford (Premier)</v>
    <v>a00bb1b1-ce9d-bf65-c540-5e730be40cb9</v>
    <v>en-US</v>
    <v>Generic</v>
  </rv>
  <rv s="3">
    <v>49</v>
  </rv>
  <rv s="4">
    <v>https://www.bing.com/search?q=ontario+canada&amp;form=skydnc</v>
    <v>Learn more on Bing</v>
  </rv>
  <rv s="1">
    <fb>83160</fb>
    <v>173</v>
  </rv>
  <rv s="3">
    <v>50</v>
  </rv>
  <rv s="1">
    <fb>14733119</fb>
    <v>8</v>
  </rv>
  <rv s="13">
    <v>#VALUE!</v>
    <v>170</v>
    <v>171</v>
    <v>Ontario</v>
    <v>4</v>
    <v>5</v>
    <v>Map</v>
    <v>6</v>
    <v>172</v>
    <v>en-US</v>
    <v>070ad921-224a-9ed5-6fe1-8eab57b4b2e7</v>
    <v>536870912</v>
    <v>1</v>
    <v>CA-ON</v>
    <v>935</v>
    <v>936</v>
    <v>900</v>
    <v>873</v>
    <v>Ontario is the southernmost province of Canada. Located in Central Canada, Ontario is the country's most populous province. As of the 2021 Canadian census, it is home to 38.5 per cent of the country's population, and is the second-largest ...</v>
    <v>937</v>
    <v>938</v>
    <v>939</v>
    <v>900</v>
    <v>942</v>
    <v>943</v>
    <v>944</v>
    <v>Ontario</v>
    <v>945</v>
    <v>413</v>
    <v>946</v>
    <v>310</v>
    <v>Ontario</v>
    <v>mdp/vdpid/24465</v>
  </rv>
  <rv s="0">
    <v>536870912</v>
    <v>Hamilton, Ontario</v>
    <v>87c4ee59-c759-1660-3cef-413c50c5f7b8</v>
    <v>en-US</v>
    <v>Map</v>
  </rv>
  <rv s="1">
    <fb>1138</fb>
    <v>8</v>
  </rv>
  <rv s="0">
    <v>536870912</v>
    <v>Canada</v>
    <v>7b335d44-d55c-47de-6f99-333df6b0c2a7</v>
    <v>en-US</v>
    <v>Map</v>
  </rv>
  <rv s="2">
    <v>34</v>
    <v>6</v>
    <v>175</v>
    <v>7</v>
    <v>0</v>
    <v>Image of Hamilton, Ontario</v>
  </rv>
  <rv s="1">
    <fb>43.256666666667002</fb>
    <v>9</v>
  </rv>
  <rv s="0">
    <v>805306368</v>
    <v>Andrea Horwath (Mayor)</v>
    <v>ced56583-9be1-ad65-2c09-1dfda26d83a6</v>
    <v>en-US</v>
    <v>Generic</v>
  </rv>
  <rv s="3">
    <v>51</v>
  </rv>
  <rv s="4">
    <v>https://www.bing.com/search?q=hamilton+ontario&amp;form=skydnc</v>
    <v>Learn more on Bing</v>
  </rv>
  <rv s="1">
    <fb>-79.869166666666999</fb>
    <v>9</v>
  </rv>
  <rv s="1">
    <fb>569353</fb>
    <v>8</v>
  </rv>
  <rv s="5">
    <v>#VALUE!</v>
    <v>176</v>
    <v>2</v>
    <v>Hamilton, Ontario</v>
    <v>4</v>
    <v>5</v>
    <v>Map</v>
    <v>6</v>
    <v>159</v>
    <v>en-US</v>
    <v>87c4ee59-c759-1660-3cef-413c50c5f7b8</v>
    <v>536870912</v>
    <v>1</v>
    <v>917</v>
    <v>949</v>
    <v>950</v>
    <v>Hamilton is a port city in the Canadian province of Ontario. Hamilton has a population of 569,353, and its census metropolitan area, which encompasses Burlington and Grimsby, has a population of 785,184. The city is situated approximately 45 ...</v>
    <v>951</v>
    <v>952</v>
    <v>954</v>
    <v>955</v>
    <v>956</v>
    <v>Hamilton, Ontario</v>
    <v>957</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35</v>
    <v>6</v>
    <v>178</v>
    <v>7</v>
    <v>0</v>
    <v>Image of Japan</v>
  </rv>
  <rv s="1">
    <fb>1.8</fb>
    <v>33</v>
  </rv>
  <rv s="0">
    <v>805306368</v>
    <v>Naruhito (Emperor)</v>
    <v>35e4e13c-2b05-0c5c-8b77-bb62a3da4162</v>
    <v>en-US</v>
    <v>Generic</v>
  </rv>
  <rv s="0">
    <v>805306368</v>
    <v>Shigeru Ishiba (Prime minister)</v>
    <v>dddb9483-d8cc-cc64-0dc3-9b8261eb78ec</v>
    <v>en-US</v>
    <v>Generic</v>
  </rv>
  <rv s="3">
    <v>52</v>
  </rv>
  <rv s="4">
    <v>https://www.bing.com/search?q=japan&amp;form=skydnc</v>
    <v>Learn more on Bing</v>
  </rv>
  <rv s="1">
    <fb>84.210975609756105</fb>
    <v>33</v>
  </rv>
  <rv s="1">
    <fb>6191073290000</fb>
    <v>35</v>
  </rv>
  <rv s="1">
    <fb>5</fb>
    <v>33</v>
  </rv>
  <rv s="1">
    <fb>6.77</fb>
    <v>34</v>
  </rv>
  <rv s="3">
    <v>53</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54</v>
  </rv>
  <rv s="1">
    <fb>0.11905933830538</fb>
    <v>29</v>
  </rv>
  <rv s="3">
    <v>55</v>
  </rv>
  <rv s="1">
    <fb>0.46700000000000003</fb>
    <v>29</v>
  </rv>
  <rv s="1">
    <fb>2.2909998893737803E-2</fb>
    <v>36</v>
  </rv>
  <rv s="1">
    <fb>115782416</fb>
    <v>8</v>
  </rv>
  <rv s="6">
    <v>#VALUE!</v>
    <v>181</v>
    <v>27</v>
    <v>Japan</v>
    <v>4</v>
    <v>5</v>
    <v>Map</v>
    <v>6</v>
    <v>182</v>
    <v>en-US</v>
    <v>130d0438-fafb-cd2d-1a9e-1dd9c5aa87a9</v>
    <v>536870912</v>
    <v>1</v>
    <v>JP</v>
    <v>960</v>
    <v>961</v>
    <v>962</v>
    <v>963</v>
    <v>964</v>
    <v>965</v>
    <v>966</v>
    <v>967</v>
    <v>968</v>
    <v>JPY</v>
    <v>Japan is an island country in East Asia. Located in the Pacific Ocean off the northeast coast of the Asian mainland, it is bordered on the west by the Sea of Japan and extends from the Sea of Okhotsk in the north to the East China Sea in the ...</v>
    <v>969</v>
    <v>970</v>
    <v>971</v>
    <v>972</v>
    <v>973</v>
    <v>974</v>
    <v>975</v>
    <v>976</v>
    <v>977</v>
    <v>978</v>
    <v>965</v>
    <v>981</v>
    <v>982</v>
    <v>983</v>
    <v>984</v>
    <v>985</v>
    <v>986</v>
    <v>Japan</v>
    <v>Kimigayo</v>
    <v>987</v>
    <v>日本国</v>
    <v>988</v>
    <v>989</v>
    <v>990</v>
    <v>991</v>
    <v>992</v>
    <v>993</v>
    <v>243</v>
    <v>477</v>
    <v>329</v>
    <v>718</v>
    <v>994</v>
    <v>1040</v>
    <v>1041</v>
    <v>1042</v>
    <v>1043</v>
    <v>1044</v>
    <v>Japan</v>
    <v>1045</v>
    <v>mdp/vdpid/122</v>
  </rv>
  <rv s="1">
    <fb>2194.0500000000002</fb>
    <v>8</v>
  </rv>
  <rv s="0">
    <v>536870912</v>
    <v>Special wards of Tokyo</v>
    <v>991a398b-acba-89c9-84b8-4eb77b3886d7</v>
    <v>en-US</v>
    <v>Map</v>
  </rv>
  <rv s="2">
    <v>36</v>
    <v>6</v>
    <v>183</v>
    <v>7</v>
    <v>0</v>
    <v>Image of Tokyo</v>
  </rv>
  <rv s="0">
    <v>536870912</v>
    <v>Shinjuku</v>
    <v>5632a22f-8419-6fb3-4f39-59c7c6326f8c</v>
    <v>en-US</v>
    <v>Map</v>
  </rv>
  <rv s="0">
    <v>805306368</v>
    <v>Yuriko Koike (Governor)</v>
    <v>3529b845-857d-a726-e527-f3385928e06a</v>
    <v>en-US</v>
    <v>Generic</v>
  </rv>
  <rv s="3">
    <v>56</v>
  </rv>
  <rv s="4">
    <v>https://www.bing.com/search?q=tokyo&amp;form=skydnc</v>
    <v>Learn more on Bing</v>
  </rv>
  <rv s="1">
    <fb>14187176</fb>
    <v>8</v>
  </rv>
  <rv s="14">
    <v>#VALUE!</v>
    <v>185</v>
    <v>186</v>
    <v>Tokyo</v>
    <v>4</v>
    <v>5</v>
    <v>Map</v>
    <v>6</v>
    <v>187</v>
    <v>en-US</v>
    <v>cb44a92f-6c6f-99c4-2ae3-51601fdc919a</v>
    <v>536870912</v>
    <v>1</v>
    <v>JP-13</v>
    <v>1047</v>
    <v>1048</v>
    <v>959</v>
    <v>Tokyo, officially the Tokyo Metropolis, is the capital city of Japan. With a population of over 14 million in the city proper in 2023, it is one of the most populous urban areas in the world. The Greater Tokyo Area, which includes Tokyo and ...</v>
    <v>1049</v>
    <v>1050</v>
    <v>1052</v>
    <v>1053</v>
    <v>Tokyo</v>
    <v>1054</v>
    <v>1042</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37</v>
    <v>6</v>
    <v>188</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12">
    <v>#VALUE!</v>
    <v>189</v>
    <v>148</v>
    <v>Reus</v>
    <v>4</v>
    <v>5</v>
    <v>Map</v>
    <v>6</v>
    <v>190</v>
    <v>en-US</v>
    <v>0181989b-7e0f-a43a-e082-88b2aa6fbc39</v>
    <v>536870912</v>
    <v>1</v>
    <v>1057</v>
    <v>1058</v>
    <v>1059</v>
    <v>1060</v>
    <v>Reus is the capital of Baix Camp, in Camp de Tarragona, Catalonia, Spain. The area has always been an important producer of wines and spirits, and gained continental importance at the time of the Phylloxera plague. Currently it is known for its ...</v>
    <v>1061</v>
    <v>1062</v>
    <v>1064</v>
    <v>1065</v>
    <v>1066</v>
    <v>Reus</v>
    <v>1067</v>
    <v>1068</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38</v>
    <v>6</v>
    <v>192</v>
    <v>7</v>
    <v>0</v>
    <v>Image of Spain</v>
  </rv>
  <rv s="1">
    <fb>2.5</fb>
    <v>33</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33</v>
  </rv>
  <rv s="1">
    <fb>797285840000</fb>
    <v>35</v>
  </rv>
  <rv s="1">
    <fb>4</fb>
    <v>33</v>
  </rv>
  <rv s="1">
    <fb>5.6</fb>
    <v>34</v>
  </rv>
  <rv s="3">
    <v>60</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29</v>
  </rv>
  <rv s="1">
    <fb>0.47</fb>
    <v>29</v>
  </rv>
  <rv s="1">
    <fb>0.13958999633789099</fb>
    <v>36</v>
  </rv>
  <rv s="1">
    <fb>37927409</fb>
    <v>8</v>
  </rv>
  <rv s="6">
    <v>#VALUE!</v>
    <v>195</v>
    <v>27</v>
    <v>Spain</v>
    <v>4</v>
    <v>5</v>
    <v>Map</v>
    <v>6</v>
    <v>196</v>
    <v>en-US</v>
    <v>1baf9d59-f443-e9f4-6e49-de048a073e3f</v>
    <v>536870912</v>
    <v>1</v>
    <v>ES</v>
    <v>1070</v>
    <v>1071</v>
    <v>1072</v>
    <v>1073</v>
    <v>1074</v>
    <v>1075</v>
    <v>1076</v>
    <v>1077</v>
    <v>1078</v>
    <v>EUR</v>
    <v>Spain, officially the Kingdom of Spain, is a country in Southwestern Europe with territories in North Africa. Featuring the southernmost point of continental Europe, it is the largest country in Southern Europe and the fourth-most populous ...</v>
    <v>1079</v>
    <v>1080</v>
    <v>1081</v>
    <v>1082</v>
    <v>1083</v>
    <v>1084</v>
    <v>1085</v>
    <v>1086</v>
    <v>1087</v>
    <v>1088</v>
    <v>1075</v>
    <v>1091</v>
    <v>1092</v>
    <v>1093</v>
    <v>1094</v>
    <v>1095</v>
    <v>1096</v>
    <v>Spain</v>
    <v>Marcha Real</v>
    <v>1097</v>
    <v>Reino de España</v>
    <v>1098</v>
    <v>1099</v>
    <v>1100</v>
    <v>480</v>
    <v>1101</v>
    <v>1102</v>
    <v>531</v>
    <v>245</v>
    <v>1103</v>
    <v>1104</v>
    <v>1105</v>
    <v>1124</v>
    <v>1125</v>
    <v>1068</v>
    <v>1126</v>
    <v>1127</v>
    <v>Spain</v>
    <v>1128</v>
    <v>mdp/vdpid/217</v>
  </rv>
  <rv s="1">
    <fb>604.45510000000002</fb>
    <v>8</v>
  </rv>
  <rv s="2">
    <v>39</v>
    <v>6</v>
    <v>197</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5">
    <v>#VALUE!</v>
    <v>198</v>
    <v>199</v>
    <v>Madrid</v>
    <v>4</v>
    <v>5</v>
    <v>Map</v>
    <v>6</v>
    <v>149</v>
    <v>en-US</v>
    <v>a497c067-c4c6-4bf4-9a5d-34fd30589bda</v>
    <v>536870912</v>
    <v>1</v>
    <v>1108</v>
    <v>1130</v>
    <v>1060</v>
    <v>Madrid is the capital and most populous city of Spain. The city has almost 3.4 million inhabitants and a metropolitan area population of approximately 7 million. It is the second-largest city in the European Union, and its monocentric ...</v>
    <v>1131</v>
    <v>1132</v>
    <v>1134</v>
    <v>1135</v>
    <v>1136</v>
    <v>Madrid</v>
    <v>1137</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40</v>
    <v>6</v>
    <v>200</v>
    <v>7</v>
    <v>0</v>
    <v>Image of Wellesley, Massachusetts</v>
  </rv>
  <rv s="1">
    <fb>42.296388888888998</fb>
    <v>9</v>
  </rv>
  <rv s="4">
    <v>https://www.bing.com/search?q=wellesley+massachusetts&amp;form=skydnc</v>
    <v>Learn more on Bing</v>
  </rv>
  <rv s="1">
    <fb>-71.293055555555995</fb>
    <v>9</v>
  </rv>
  <rv s="1">
    <fb>29550</fb>
    <v>8</v>
  </rv>
  <rv s="16">
    <v>#VALUE!</v>
    <v>201</v>
    <v>202</v>
    <v>Wellesley, Massachusetts</v>
    <v>4</v>
    <v>5</v>
    <v>Map</v>
    <v>6</v>
    <v>7</v>
    <v>en-US</v>
    <v>64a1715c-3b25-17da-f6b0-9bae3605f92e</v>
    <v>536870912</v>
    <v>1</v>
    <v>74</v>
    <v>1140</v>
    <v>1141</v>
    <v>829</v>
    <v>Wellesley is a town in Norfolk County, Massachusetts, United States. Wellesley is part of Greater Boston. The population was 29,550 at the time of the 2020 census. Wellesley College, Babson College, and a campus of Massachusetts Bay Community ...</v>
    <v>1142</v>
    <v>1143</v>
    <v>1144</v>
    <v>1145</v>
    <v>Wellesley, Massachusetts</v>
    <v>1146</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41</v>
    <v>6</v>
    <v>203</v>
    <v>7</v>
    <v>0</v>
    <v>Image of Paris</v>
  </rv>
  <rv s="1">
    <fb>48.856666666666698</fb>
    <v>9</v>
  </rv>
  <rv s="0">
    <v>805306368</v>
    <v>Anne Hidalgo (Mayor)</v>
    <v>f26212ed-b25d-e4f8-ecf0-85777b9d38cf</v>
    <v>en-US</v>
    <v>Generic</v>
  </rv>
  <rv s="3">
    <v>63</v>
  </rv>
  <rv s="4">
    <v>https://www.bing.com/search?q=paris+france&amp;form=skydnc</v>
    <v>Learn more on Bing</v>
  </rv>
  <rv s="1">
    <fb>2.35222222222222</fb>
    <v>9</v>
  </rv>
  <rv s="1">
    <fb>2048472</fb>
    <v>8</v>
  </rv>
  <rv s="12">
    <v>#VALUE!</v>
    <v>204</v>
    <v>148</v>
    <v>Paris</v>
    <v>4</v>
    <v>5</v>
    <v>Map</v>
    <v>6</v>
    <v>205</v>
    <v>en-US</v>
    <v>85584d24-2116-5b98-89f9-5714db931ac6</v>
    <v>536870912</v>
    <v>1</v>
    <v>1149</v>
    <v>1150</v>
    <v>1151</v>
    <v>1152</v>
    <v>Paris is the capital and largest city of France. With an estimated population of 2,048,472 residents in January 2025 in an area of more than 105 km², Paris is the fourth-most populous city in the European Union, the ninth-most populous city in ...</v>
    <v>1153</v>
    <v>1154</v>
    <v>1156</v>
    <v>1157</v>
    <v>1158</v>
    <v>Paris</v>
    <v>1159</v>
    <v>1068</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42</v>
    <v>6</v>
    <v>207</v>
    <v>7</v>
    <v>0</v>
    <v>Image of France</v>
  </rv>
  <rv s="1">
    <fb>3.4</fb>
    <v>33</v>
  </rv>
  <rv s="0">
    <v>805306368</v>
    <v>Emmanuel Macron (President)</v>
    <v>35be5a56-7a78-6352-b158-60da8f84c858</v>
    <v>en-US</v>
    <v>Generic</v>
  </rv>
  <rv s="0">
    <v>805306368</v>
    <v>François Bayrou (Prime minister)</v>
    <v>901a2dc7-aad0-c6da-f219-c2d7def8acba</v>
    <v>en-US</v>
    <v>Generic</v>
  </rv>
  <rv s="3">
    <v>64</v>
  </rv>
  <rv s="4">
    <v>https://www.bing.com/search?q=france&amp;form=skydnc</v>
    <v>Learn more on Bing</v>
  </rv>
  <rv s="1">
    <fb>82.526829268292701</fb>
    <v>33</v>
  </rv>
  <rv s="1">
    <fb>2365950236659.3599</fb>
    <v>35</v>
  </rv>
  <rv s="1">
    <fb>8</fb>
    <v>33</v>
  </rv>
  <rv s="1">
    <fb>11.16</fb>
    <v>34</v>
  </rv>
  <rv s="3">
    <v>65</v>
  </rv>
  <rv s="1">
    <fb>6.7968269799999995E-2</fb>
    <v>29</v>
  </rv>
  <rv s="1">
    <fb>3.2671999999999999</fb>
    <v>30</v>
  </rv>
  <rv s="1">
    <fb>67749632</fb>
    <v>8</v>
  </rv>
  <rv s="1">
    <fb>0.21899999999999997</fb>
    <v>29</v>
  </rv>
  <rv s="1">
    <fb>0.4</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66</v>
  </rv>
  <rv s="1">
    <fb>0.24229980509910898</fb>
    <v>29</v>
  </rv>
  <rv s="3">
    <v>67</v>
  </rv>
  <rv s="1">
    <fb>0.60699999999999998</fb>
    <v>29</v>
  </rv>
  <rv s="1">
    <fb>8.4270000457763714E-2</fb>
    <v>36</v>
  </rv>
  <rv s="1">
    <fb>54123364</fb>
    <v>8</v>
  </rv>
  <rv s="6">
    <v>#VALUE!</v>
    <v>210</v>
    <v>27</v>
    <v>France</v>
    <v>4</v>
    <v>5</v>
    <v>Map</v>
    <v>6</v>
    <v>211</v>
    <v>en-US</v>
    <v>c7bfe2de-4f82-e23c-ae42-8544b5b5c0ea</v>
    <v>536870912</v>
    <v>1</v>
    <v>FR</v>
    <v>1161</v>
    <v>1162</v>
    <v>1163</v>
    <v>1164</v>
    <v>1165</v>
    <v>1148</v>
    <v>1166</v>
    <v>1167</v>
    <v>1168</v>
    <v>EUR</v>
    <v>France, officially the French Republic, is a country located primarily in Western Europe. Its overseas regions and territories include French Guiana in South America, Saint Pierre and Miquelon in the North Atlantic, the French West Indies, and ...</v>
    <v>1169</v>
    <v>1170</v>
    <v>1171</v>
    <v>1172</v>
    <v>1173</v>
    <v>1174</v>
    <v>1175</v>
    <v>1176</v>
    <v>1177</v>
    <v>1178</v>
    <v>1148</v>
    <v>1181</v>
    <v>1182</v>
    <v>1183</v>
    <v>1184</v>
    <v>1185</v>
    <v>1186</v>
    <v>France</v>
    <v>La Marseillaise</v>
    <v>1187</v>
    <v>République française</v>
    <v>1188</v>
    <v>1189</v>
    <v>1190</v>
    <v>1191</v>
    <v>666</v>
    <v>1192</v>
    <v>236</v>
    <v>721</v>
    <v>234</v>
    <v>362</v>
    <v>1193</v>
    <v>1218</v>
    <v>1219</v>
    <v>1220</v>
    <v>1221</v>
    <v>1222</v>
    <v>France</v>
    <v>1223</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43</v>
    <v>6</v>
    <v>212</v>
    <v>7</v>
    <v>0</v>
    <v>Image of Santiago</v>
  </rv>
  <rv s="1">
    <fb>-33.4375</fb>
    <v>9</v>
  </rv>
  <rv s="0">
    <v>805306368</v>
    <v>Claudio Orrego (Governor)</v>
    <v>8d69da3a-7203-a1bd-c4ba-cdb5b8619732</v>
    <v>en-US</v>
    <v>Generic</v>
  </rv>
  <rv s="3">
    <v>68</v>
  </rv>
  <rv s="4">
    <v>https://www.bing.com/search?q=santiago+chile&amp;form=skydnc</v>
    <v>Learn more on Bing</v>
  </rv>
  <rv s="1">
    <fb>-70.650000000000006</fb>
    <v>9</v>
  </rv>
  <rv s="1">
    <fb>6257516</fb>
    <v>8</v>
  </rv>
  <rv s="17">
    <v>#VALUE!</v>
    <v>213</v>
    <v>214</v>
    <v>Santiago</v>
    <v>4</v>
    <v>5</v>
    <v>Map</v>
    <v>6</v>
    <v>215</v>
    <v>en-US</v>
    <v>190dd277-52dd-5feb-5523-200c59886f8e</v>
    <v>536870912</v>
    <v>1</v>
    <v>1226</v>
    <v>1226</v>
    <v>1227</v>
    <v>1228</v>
    <v>Santiago, also known as Santiago de Chile, is the capital and largest city of Chile and one of the largest cities in the Americas. It is located in the country's central valley and is the center of the Santiago Metropolitan Region, which has a ...</v>
    <v>1229</v>
    <v>1230</v>
    <v>1232</v>
    <v>1233</v>
    <v>1234</v>
    <v>Santiago</v>
    <v>1235</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44</v>
    <v>6</v>
    <v>217</v>
    <v>7</v>
    <v>0</v>
    <v>Image of Chile</v>
  </rv>
  <rv s="1">
    <fb>6.2</fb>
    <v>33</v>
  </rv>
  <rv s="0">
    <v>805306368</v>
    <v>Gabriel Boric (President)</v>
    <v>a5b9649e-0dda-ce69-dd77-b90d92799948</v>
    <v>en-US</v>
    <v>Generic</v>
  </rv>
  <rv s="3">
    <v>69</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70</v>
  </rv>
  <rv s="1">
    <fb>0.182194149378896</fb>
    <v>29</v>
  </rv>
  <rv s="3">
    <v>71</v>
  </rv>
  <rv s="1">
    <fb>0.34</fb>
    <v>29</v>
  </rv>
  <rv s="1">
    <fb>7.09000015258789E-2</fb>
    <v>36</v>
  </rv>
  <rv s="1">
    <fb>16610135</fb>
    <v>8</v>
  </rv>
  <rv s="6">
    <v>#VALUE!</v>
    <v>220</v>
    <v>27</v>
    <v>Chile</v>
    <v>4</v>
    <v>5</v>
    <v>Map</v>
    <v>6</v>
    <v>221</v>
    <v>en-US</v>
    <v>604665af-d1f4-5c64-9b93-1ef5f0471308</v>
    <v>536870912</v>
    <v>1</v>
    <v>CL</v>
    <v>1237</v>
    <v>1238</v>
    <v>1239</v>
    <v>1240</v>
    <v>1241</v>
    <v>1225</v>
    <v>1242</v>
    <v>1243</v>
    <v>1244</v>
    <v>CLF</v>
    <v>Chile, officially the Republic of Chile, is a country in western South America. It is the southernmost country in the world and the closest to Antarctica, stretching along a narrow strip of land between the Andes Mountains and the Pacific Ocean. ...</v>
    <v>1245</v>
    <v>1246</v>
    <v>1247</v>
    <v>1248</v>
    <v>1249</v>
    <v>1250</v>
    <v>1251</v>
    <v>1252</v>
    <v>1253</v>
    <v>1254</v>
    <v>1225</v>
    <v>1256</v>
    <v>1257</v>
    <v>1258</v>
    <v>1259</v>
    <v>1260</v>
    <v>1261</v>
    <v>Chile</v>
    <v>National Anthem of Chile</v>
    <v>1097</v>
    <v>Chile</v>
    <v>1262</v>
    <v>1263</v>
    <v>1264</v>
    <v>303</v>
    <v>794</v>
    <v>1265</v>
    <v>450</v>
    <v>610</v>
    <v>1266</v>
    <v>1267</v>
    <v>1268</v>
    <v>1283</v>
    <v>1284</v>
    <v>1285</v>
    <v>1286</v>
    <v>1287</v>
    <v>Chile</v>
    <v>1288</v>
    <v>mdp/vdpid/46</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45</v>
    <v>6</v>
    <v>223</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72</v>
  </rv>
  <rv s="4">
    <v>https://www.bing.com/search?q=netherlands&amp;form=skydnc</v>
    <v>Learn more on Bing</v>
  </rv>
  <rv s="1">
    <fb>81.760975609756102</fb>
    <v>33</v>
  </rv>
  <rv s="1">
    <fb>1100105440292.49</fb>
    <v>35</v>
  </rv>
  <rv s="1">
    <fb>10.29</fb>
    <v>34</v>
  </rv>
  <rv s="3">
    <v>73</v>
  </rv>
  <rv s="1">
    <fb>0.1225176999</fb>
    <v>29</v>
  </rv>
  <rv s="1">
    <fb>3.6053999999999999</fb>
    <v>30</v>
  </rv>
  <rv s="1">
    <fb>17942942</fb>
    <v>8</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74</v>
  </rv>
  <rv s="1">
    <fb>0.230359193787393</fb>
    <v>29</v>
  </rv>
  <rv s="3">
    <v>75</v>
  </rv>
  <rv s="1">
    <fb>0.41200000000000003</fb>
    <v>29</v>
  </rv>
  <rv s="1">
    <fb>3.1960000991821301E-2</fb>
    <v>36</v>
  </rv>
  <rv s="1">
    <fb>15924729</fb>
    <v>8</v>
  </rv>
  <rv s="6">
    <v>#VALUE!</v>
    <v>226</v>
    <v>27</v>
    <v>Netherlands</v>
    <v>4</v>
    <v>5</v>
    <v>Map</v>
    <v>6</v>
    <v>227</v>
    <v>en-US</v>
    <v>bf5c1a4b-df0b-09dc-dce0-e3fb0c898dd3</v>
    <v>536870912</v>
    <v>1</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985</v>
    <v>1316</v>
    <v>Netherlands</v>
    <v>Wilhelmus</v>
    <v>1317</v>
    <v>Nederland</v>
    <v>1318</v>
    <v>1319</v>
    <v>1320</v>
    <v>671</v>
    <v>212</v>
    <v>271</v>
    <v>388</v>
    <v>336</v>
    <v>1321</v>
    <v>1322</v>
    <v>1323</v>
    <v>1338</v>
    <v>1339</v>
    <v>1340</v>
    <v>1341</v>
    <v>1342</v>
    <v>Netherlands</v>
    <v>1343</v>
    <v>mdp/vdpid/176</v>
  </rv>
  <rv s="0">
    <v>536870912</v>
    <v>Barcelona</v>
    <v>d5173d0d-188f-c557-d46a-fbf1f89f03ce</v>
    <v>en-US</v>
    <v>Map</v>
  </rv>
  <rv s="0">
    <v>536870912</v>
    <v>Barcelona Province</v>
    <v>b2a3ae51-9710-d8d5-f226-e01e09478534</v>
    <v>en-US</v>
    <v>Map</v>
  </rv>
  <rv s="1">
    <fb>101.3</fb>
    <v>8</v>
  </rv>
  <rv s="2">
    <v>46</v>
    <v>6</v>
    <v>228</v>
    <v>7</v>
    <v>0</v>
    <v>Image of Barcelona</v>
  </rv>
  <rv s="1">
    <fb>41.3825</fb>
    <v>9</v>
  </rv>
  <rv s="0">
    <v>805306368</v>
    <v>Jaume Collboni (Mayor)</v>
    <v>fb505805-3540-2bdd-59af-416cc66976e3</v>
    <v>en-US</v>
    <v>Generic</v>
  </rv>
  <rv s="3">
    <v>76</v>
  </rv>
  <rv s="4">
    <v>https://www.bing.com/search?q=barcelona&amp;form=skydnc</v>
    <v>Learn more on Bing</v>
  </rv>
  <rv s="1">
    <fb>2.1769444444444002</fb>
    <v>9</v>
  </rv>
  <rv s="1">
    <fb>1660122</fb>
    <v>8</v>
  </rv>
  <rv s="15">
    <v>#VALUE!</v>
    <v>229</v>
    <v>199</v>
    <v>Barcelona</v>
    <v>4</v>
    <v>5</v>
    <v>Map</v>
    <v>6</v>
    <v>149</v>
    <v>en-US</v>
    <v>d5173d0d-188f-c557-d46a-fbf1f89f03ce</v>
    <v>536870912</v>
    <v>1</v>
    <v>1346</v>
    <v>1347</v>
    <v>1060</v>
    <v>Barcelona is a city on the northeastern coast of Spain. It is the capital and largest city of the autonomous community of Catalonia, as well as the second-most populous municipality of Spain. With a population of 1.6 million within city limits, ...</v>
    <v>1348</v>
    <v>1349</v>
    <v>1351</v>
    <v>1352</v>
    <v>1353</v>
    <v>Barcelona</v>
    <v>1354</v>
    <v>Barcelona</v>
    <v>mdp/vdpid/7207108388495294465</v>
  </rv>
  <rv s="0">
    <v>536870912</v>
    <v>Poughkeepsie, New York</v>
    <v>2a4bc2e3-5cc2-1557-a5e7-b0e789fd18a3</v>
    <v>en-US</v>
    <v>Map</v>
  </rv>
  <rv s="0">
    <v>536870912</v>
    <v>Dutchess County, New York</v>
    <v>7bcb4d8c-9bd2-bcd5-14a6-b1159624d83f</v>
    <v>en-US</v>
    <v>Map</v>
  </rv>
  <rv s="1">
    <fb>14.811698</fb>
    <v>8</v>
  </rv>
  <rv s="2">
    <v>47</v>
    <v>6</v>
    <v>230</v>
    <v>7</v>
    <v>0</v>
    <v>Image of Poughkeepsie, New York</v>
  </rv>
  <rv s="1">
    <fb>41.705277777778001</fb>
    <v>9</v>
  </rv>
  <rv s="0">
    <v>805306368</v>
    <v>Yvonne Flowers (Mayor)</v>
    <v>7665faed-13c6-9f2e-5a00-a7d9a2570e34</v>
    <v>en-US</v>
    <v>Generic</v>
  </rv>
  <rv s="3">
    <v>77</v>
  </rv>
  <rv s="4">
    <v>https://www.bing.com/search?q=poughkeepsie+new+york&amp;form=skydnc</v>
    <v>Learn more on Bing</v>
  </rv>
  <rv s="1">
    <fb>-73.930555555555998</fb>
    <v>9</v>
  </rv>
  <rv s="1">
    <fb>31577</fb>
    <v>8</v>
  </rv>
  <rv s="12">
    <v>#VALUE!</v>
    <v>231</v>
    <v>148</v>
    <v>Poughkeepsie, New York</v>
    <v>4</v>
    <v>5</v>
    <v>Map</v>
    <v>6</v>
    <v>7</v>
    <v>en-US</v>
    <v>2a4bc2e3-5cc2-1557-a5e7-b0e789fd18a3</v>
    <v>536870912</v>
    <v>1</v>
    <v>1</v>
    <v>1357</v>
    <v>1358</v>
    <v>829</v>
    <v>Poughkeepsie, officially the City of Poughkeepsie, which is separate from the Town of Poughkeepsie around it, is a city in the U.S. state of New York. It is the county seat of Dutchess County, with a 2020 census population of 31,577. ...</v>
    <v>1359</v>
    <v>1360</v>
    <v>1362</v>
    <v>1363</v>
    <v>1364</v>
    <v>Poughkeepsie, New York</v>
    <v>1365</v>
    <v>11</v>
    <v>Poughkeepsie, New York</v>
    <v>mdp/vdpid/5487244055920246785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48</v>
    <v>6</v>
    <v>232</v>
    <v>7</v>
    <v>0</v>
    <v>Image of Hanover</v>
  </rv>
  <rv s="1">
    <fb>52.374444444444002</fb>
    <v>9</v>
  </rv>
  <rv s="0">
    <v>805306368</v>
    <v>Belit Onay (Mayor)</v>
    <v>badae67f-fa74-405c-8aad-0b862c2cb5bd</v>
    <v>en-US</v>
    <v>Generic</v>
  </rv>
  <rv s="3">
    <v>78</v>
  </rv>
  <rv s="4">
    <v>https://www.bing.com/search?q=hanover+germany&amp;form=skydnc</v>
    <v>Learn more on Bing</v>
  </rv>
  <rv s="1">
    <fb>9.7386111111110996</fb>
    <v>9</v>
  </rv>
  <rv s="1">
    <fb>545045</fb>
    <v>8</v>
  </rv>
  <rv s="12">
    <v>#VALUE!</v>
    <v>233</v>
    <v>148</v>
    <v>Hanover</v>
    <v>4</v>
    <v>5</v>
    <v>Map</v>
    <v>6</v>
    <v>234</v>
    <v>en-US</v>
    <v>8cbec06b-1881-ae51-6d9c-230e82b37dd8</v>
    <v>536870912</v>
    <v>1</v>
    <v>1368</v>
    <v>1369</v>
    <v>1370</v>
    <v>1371</v>
    <v>Hanover is the capital and largest city of the German state of Lower Saxony. Its population of 535,932 makes it the 13th-largest city in Germany as well as the fourth-largest in northern Germany after Berlin, Hamburg and Bremen. Hanover's urban ...</v>
    <v>1372</v>
    <v>1373</v>
    <v>1375</v>
    <v>1376</v>
    <v>1377</v>
    <v>Hanover</v>
    <v>1378</v>
    <v>1068</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49</v>
    <v>6</v>
    <v>236</v>
    <v>7</v>
    <v>0</v>
    <v>Image of Germany</v>
  </rv>
  <rv s="1">
    <fb>3.1</fb>
    <v>33</v>
  </rv>
  <rv s="0">
    <v>805306368</v>
    <v>Frank-Walter Steinmeier (President)</v>
    <v>a6d595f9-116c-57de-2b35-48e9bde9f83d</v>
    <v>en-US</v>
    <v>Generic</v>
  </rv>
  <rv s="0">
    <v>805306368</v>
    <v>Olaf Scholz (Chancellor)</v>
    <v>d327207b-5560-1fae-17a8-4bc95203ea8e</v>
    <v>en-US</v>
    <v>Generic</v>
  </rv>
  <rv s="3">
    <v>79</v>
  </rv>
  <rv s="4">
    <v>https://www.bing.com/search?q=germany&amp;form=skydnc</v>
    <v>Learn more on Bing</v>
  </rv>
  <rv s="1">
    <fb>80.892682926829295</fb>
    <v>33</v>
  </rv>
  <rv s="1">
    <fb>2098173930000</fb>
    <v>35</v>
  </rv>
  <rv s="1">
    <fb>7</fb>
    <v>33</v>
  </rv>
  <rv s="1">
    <fb>9.99</fb>
    <v>34</v>
  </rv>
  <rv s="3">
    <v>80</v>
  </rv>
  <rv s="1">
    <fb>0.12528421940000001</fb>
    <v>29</v>
  </rv>
  <rv s="1">
    <fb>4.2488000000000001</fb>
    <v>30</v>
  </rv>
  <rv s="1">
    <fb>84079811</fb>
    <v>8</v>
  </rv>
  <rv s="1">
    <fb>0.39600000000000002</fb>
    <v>29</v>
  </rv>
  <rv s="1">
    <fb>7.5999999999999998E-2</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81</v>
  </rv>
  <rv s="1">
    <fb>0.11505903952014901</fb>
    <v>29</v>
  </rv>
  <rv s="1">
    <fb>0.48799999999999999</fb>
    <v>29</v>
  </rv>
  <rv s="1">
    <fb>3.0429999828338602E-2</fb>
    <v>36</v>
  </rv>
  <rv s="1">
    <fb>64324835</fb>
    <v>8</v>
  </rv>
  <rv s="6">
    <v>#VALUE!</v>
    <v>239</v>
    <v>27</v>
    <v>Germany</v>
    <v>4</v>
    <v>5</v>
    <v>Map</v>
    <v>6</v>
    <v>240</v>
    <v>en-US</v>
    <v>75c62d8e-1449-4e4d-b188-d9e88f878dd9</v>
    <v>536870912</v>
    <v>1</v>
    <v>DE</v>
    <v>1380</v>
    <v>1381</v>
    <v>1382</v>
    <v>1383</v>
    <v>1384</v>
    <v>1385</v>
    <v>1386</v>
    <v>1387</v>
    <v>1388</v>
    <v>EUR</v>
    <v>Germany, officially the Federal Republic of Germany, is a country in Central Europe. It lies between the Baltic and North Sea to the north and the Alps to the south. Its sixteen constituent states have a total population of over 82 million in an ...</v>
    <v>1389</v>
    <v>1390</v>
    <v>1391</v>
    <v>1392</v>
    <v>1173</v>
    <v>1393</v>
    <v>1394</v>
    <v>1395</v>
    <v>1396</v>
    <v>1397</v>
    <v>1385</v>
    <v>1400</v>
    <v>1401</v>
    <v>1402</v>
    <v>1403</v>
    <v>1404</v>
    <v>1405</v>
    <v>Germany</v>
    <v>National Anthem of Germany</v>
    <v>1406</v>
    <v>Bundesrepublik Deutschland</v>
    <v>1407</v>
    <v>1408</v>
    <v>1409</v>
    <v>560</v>
    <v>614</v>
    <v>1410</v>
    <v>243</v>
    <v>1411</v>
    <v>329</v>
    <v>692</v>
    <v>1412</v>
    <v>1426</v>
    <v>1427</v>
    <v>1068</v>
    <v>1428</v>
    <v>1429</v>
    <v>Germany</v>
    <v>1430</v>
    <v>mdp/vdpid/94</v>
  </rv>
  <rv s="1">
    <fb>891.12</fb>
    <v>8</v>
  </rv>
  <rv s="1">
    <fb>1794936</fb>
    <v>8</v>
  </rv>
  <rv s="1">
    <fb>1868905</fb>
    <v>8</v>
  </rv>
  <rv s="2">
    <v>50</v>
    <v>6</v>
    <v>241</v>
    <v>7</v>
    <v>0</v>
    <v>Image of Berlin</v>
  </rv>
  <rv s="0">
    <v>805306368</v>
    <v>Franziska Giffey (Mayor)</v>
    <v>0f36a115-cd69-74b0-1ad8-5ee6074d7916</v>
    <v>en-US</v>
    <v>Generic</v>
  </rv>
  <rv s="3">
    <v>82</v>
  </rv>
  <rv s="4">
    <v>https://www.bing.com/search?q=berlin+germany&amp;form=skydnc</v>
    <v>Learn more on Bing</v>
  </rv>
  <rv s="1">
    <fb>1.83</fb>
    <v>30</v>
  </rv>
  <rv s="1">
    <fb>3755251</fb>
    <v>8</v>
  </rv>
  <rv s="18">
    <v>#VALUE!</v>
    <v>244</v>
    <v>245</v>
    <v>Berlin</v>
    <v>4</v>
    <v>5</v>
    <v>Map</v>
    <v>6</v>
    <v>246</v>
    <v>en-US</v>
    <v>42784943-7c23-7672-5527-06f89b965cdf</v>
    <v>536870912</v>
    <v>1</v>
    <v>DE-BE</v>
    <v>1432</v>
    <v>1371</v>
    <v>Berlin is the capital and largest city of Germany by both area and by population. Its more than 3.85 million inhabitants make it the European Union's most populous city, according to population within city limits. Simultaneously, the city is one ...</v>
    <v>1433</v>
    <v>1434</v>
    <v>1435</v>
    <v>1437</v>
    <v>1438</v>
    <v>Berlin</v>
    <v>1406</v>
    <v>1439</v>
    <v>1440</v>
    <v>Berlin</v>
    <v>mdp/vdpid/7017957146650214401</v>
  </rv>
  <rv s="0">
    <v>536870912</v>
    <v>Lewiston, Maine</v>
    <v>62a324e3-9115-74d0-eb60-8ff7798072b8</v>
    <v>en-US</v>
    <v>Map</v>
  </rv>
  <rv s="0">
    <v>536870912</v>
    <v>Androscoggin County, Maine</v>
    <v>79a052aa-0d2a-6f20-3c5b-dfc84bd67b56</v>
    <v>en-US</v>
    <v>Map</v>
  </rv>
  <rv s="1">
    <fb>92.034599</fb>
    <v>8</v>
  </rv>
  <rv s="2">
    <v>51</v>
    <v>6</v>
    <v>247</v>
    <v>7</v>
    <v>0</v>
    <v>Image of Lewiston, Maine</v>
  </rv>
  <rv s="1">
    <fb>44.100555555555601</fb>
    <v>9</v>
  </rv>
  <rv s="0">
    <v>805306368</v>
    <v>Carl Sheline (Mayor)</v>
    <v>1d8bfa6f-8754-047a-7b4a-7ace04079e6d</v>
    <v>en-US</v>
    <v>Generic</v>
  </rv>
  <rv s="3">
    <v>83</v>
  </rv>
  <rv s="4">
    <v>https://www.bing.com/search?q=lewiston+maine&amp;form=skydnc</v>
    <v>Learn more on Bing</v>
  </rv>
  <rv s="1">
    <fb>-70.2152777777778</fb>
    <v>9</v>
  </rv>
  <rv s="1">
    <fb>37121</fb>
    <v>8</v>
  </rv>
  <rv s="12">
    <v>#VALUE!</v>
    <v>248</v>
    <v>148</v>
    <v>Lewiston, Maine</v>
    <v>4</v>
    <v>5</v>
    <v>Map</v>
    <v>6</v>
    <v>7</v>
    <v>en-US</v>
    <v>62a324e3-9115-74d0-eb60-8ff7798072b8</v>
    <v>536870912</v>
    <v>1</v>
    <v>72</v>
    <v>1443</v>
    <v>1444</v>
    <v>829</v>
    <v>Lewiston is the second most populous city in the U.S. state of Maine, with the city's population at 37,121 as of the 2020 United States Census. The city lies halfway between Augusta, the state's capital, and Portland, the state's most populous ...</v>
    <v>1445</v>
    <v>1446</v>
    <v>1448</v>
    <v>1449</v>
    <v>1450</v>
    <v>Lewiston, Maine</v>
    <v>1451</v>
    <v>11</v>
    <v>Lewiston, Maine</v>
    <v>mdp/vdpid/5488274503953809410</v>
  </rv>
  <rv s="0">
    <v>536870912</v>
    <v>College Station, Texas</v>
    <v>b2094016-bb67-474f-80d3-22fdfcee1175</v>
    <v>en-US</v>
    <v>Map</v>
  </rv>
  <rv s="0">
    <v>536870912</v>
    <v>Brazos County</v>
    <v>d3d68b68-2350-fe52-ee1a-1d3159b7dbff</v>
    <v>en-US</v>
    <v>Map</v>
  </rv>
  <rv s="1">
    <fb>132.44009399999999</fb>
    <v>8</v>
  </rv>
  <rv s="2">
    <v>52</v>
    <v>6</v>
    <v>249</v>
    <v>7</v>
    <v>0</v>
    <v>Image of College Station, Texas</v>
  </rv>
  <rv s="1">
    <fb>30.601388888889002</fb>
    <v>9</v>
  </rv>
  <rv s="0">
    <v>805306368</v>
    <v>John Nichols (Mayor)</v>
    <v>8aefaab9-eda5-951c-97b0-ef950d040107</v>
    <v>en-US</v>
    <v>Generic</v>
  </rv>
  <rv s="3">
    <v>84</v>
  </rv>
  <rv s="4">
    <v>https://www.bing.com/search?q=college+station+texas&amp;form=skydnc</v>
    <v>Learn more on Bing</v>
  </rv>
  <rv s="1">
    <fb>-96.314444444444007</fb>
    <v>9</v>
  </rv>
  <rv s="1">
    <fb>120511</fb>
    <v>8</v>
  </rv>
  <rv s="17">
    <v>#VALUE!</v>
    <v>250</v>
    <v>214</v>
    <v>College Station, Texas</v>
    <v>4</v>
    <v>5</v>
    <v>Map</v>
    <v>6</v>
    <v>7</v>
    <v>en-US</v>
    <v>b2094016-bb67-474f-80d3-22fdfcee1175</v>
    <v>536870912</v>
    <v>1</v>
    <v>95</v>
    <v>1454</v>
    <v>1455</v>
    <v>3</v>
    <v>College Station is a city in Brazos County, Texas, United States, situated in East-Central Texas in the heart of the Brazos Valley, towards the eastern edge of the region known as the Texas Triangle. It is 83 miles northwest of Houston and 87 ...</v>
    <v>1456</v>
    <v>1457</v>
    <v>1459</v>
    <v>1460</v>
    <v>1461</v>
    <v>College Station, Texas</v>
    <v>1462</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53</v>
    <v>6</v>
    <v>252</v>
    <v>7</v>
    <v>0</v>
    <v>Image of Australia</v>
  </rv>
  <rv s="0">
    <v>536870912</v>
    <v>Sydney</v>
    <v>3ecec2e8-2993-42e7-7299-f693bbe3b9b9</v>
    <v>en-US</v>
    <v>Map</v>
  </rv>
  <rv s="0">
    <v>805306368</v>
    <v>Anthony Albanese (Prime minister)</v>
    <v>00f8b947-2f64-9828-df4d-5993583bdbe4</v>
    <v>en-US</v>
    <v>Generic</v>
  </rv>
  <rv s="3">
    <v>85</v>
  </rv>
  <rv s="4">
    <v>https://www.bing.com/search?q=australia&amp;form=skydnc</v>
    <v>Learn more on Bing</v>
  </rv>
  <rv s="1">
    <fb>82.748780487804893</fb>
    <v>33</v>
  </rv>
  <rv s="1">
    <fb>1487598500000</fb>
    <v>35</v>
  </rv>
  <rv s="1">
    <fb>6</fb>
    <v>33</v>
  </rv>
  <rv s="1">
    <fb>13.59</fb>
    <v>34</v>
  </rv>
  <rv s="3">
    <v>86</v>
  </rv>
  <rv s="1">
    <fb>0.19558295019999999</fb>
    <v>29</v>
  </rv>
  <rv s="1">
    <fb>3.6778</fb>
    <v>30</v>
  </rv>
  <rv s="1">
    <fb>25978935</fb>
    <v>8</v>
  </rv>
  <rv s="1">
    <fb>0.42100000000000004</fb>
    <v>29</v>
  </rv>
  <rv s="1">
    <fb>7.400000000000001E-2</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87</v>
  </rv>
  <rv s="1">
    <fb>0.22985815296127299</fb>
    <v>29</v>
  </rv>
  <rv s="3">
    <v>88</v>
  </rv>
  <rv s="1">
    <fb>0.47399999999999998</fb>
    <v>29</v>
  </rv>
  <rv s="1">
    <fb>5.2680001258850098E-2</fb>
    <v>36</v>
  </rv>
  <rv s="1">
    <fb>21844756</fb>
    <v>8</v>
  </rv>
  <rv s="6">
    <v>#VALUE!</v>
    <v>255</v>
    <v>27</v>
    <v>Australia</v>
    <v>4</v>
    <v>5</v>
    <v>Map</v>
    <v>6</v>
    <v>256</v>
    <v>en-US</v>
    <v>06de2191-243d-a83f-6990-2eb1c7f3382a</v>
    <v>536870912</v>
    <v>1</v>
    <v>AU</v>
    <v>1465</v>
    <v>1466</v>
    <v>1467</v>
    <v>1468</v>
    <v>1469</v>
    <v>1470</v>
    <v>1471</v>
    <v>1472</v>
    <v>1473</v>
    <v>AUD</v>
    <v>Australia, officially the Commonwealth of Australia, is a country comprising the mainland of the Australian continent, the island of Tasmania and numerous smaller islands. It has a total area of 7,688,287 km², making it the sixth-largest country ...</v>
    <v>1474</v>
    <v>1475</v>
    <v>1476</v>
    <v>1477</v>
    <v>1478</v>
    <v>1479</v>
    <v>1480</v>
    <v>1481</v>
    <v>1482</v>
    <v>1397</v>
    <v>1483</v>
    <v>1485</v>
    <v>1486</v>
    <v>1487</v>
    <v>1488</v>
    <v>1489</v>
    <v>1490</v>
    <v>Australia</v>
    <v>Advance Australia Fair</v>
    <v>1491</v>
    <v>Commonwealth of Australia</v>
    <v>1492</v>
    <v>1493</v>
    <v>1494</v>
    <v>556</v>
    <v>205</v>
    <v>1495</v>
    <v>300</v>
    <v>1496</v>
    <v>1103</v>
    <v>385</v>
    <v>1497</v>
    <v>1513</v>
    <v>1514</v>
    <v>1515</v>
    <v>1516</v>
    <v>1517</v>
    <v>Australia</v>
    <v>1518</v>
    <v>mdp/vdpid/12</v>
  </rv>
  <rv s="1">
    <fb>12144.6</fb>
    <v>8</v>
  </rv>
  <rv s="2">
    <v>54</v>
    <v>6</v>
    <v>257</v>
    <v>7</v>
    <v>0</v>
    <v>Image of Sydney</v>
  </rv>
  <rv s="1">
    <fb>-33.867777777777803</fb>
    <v>9</v>
  </rv>
  <rv s="4">
    <v>https://www.bing.com/search?q=sydney+australia&amp;form=skydnc</v>
    <v>Learn more on Bing</v>
  </rv>
  <rv s="1">
    <fb>151.21</fb>
    <v>9</v>
  </rv>
  <rv s="1">
    <fb>4698656</fb>
    <v>8</v>
  </rv>
  <rv s="19">
    <v>#VALUE!</v>
    <v>258</v>
    <v>259</v>
    <v>Sydney</v>
    <v>4</v>
    <v>5</v>
    <v>Map</v>
    <v>6</v>
    <v>159</v>
    <v>en-US</v>
    <v>3ecec2e8-2993-42e7-7299-f693bbe3b9b9</v>
    <v>536870912</v>
    <v>1</v>
    <v>1499</v>
    <v>1520</v>
    <v>1464</v>
    <v>Sydney is the capital city of the state of New South Wales, and the most populous city in Australia. Located on Australia's east coast, the metropolis surrounds Sydney Harbour and extends about 80 km from the Pacific Ocean in the east to the ...</v>
    <v>1521</v>
    <v>1522</v>
    <v>1523</v>
    <v>1524</v>
    <v>Sydney</v>
    <v>1525</v>
    <v>Sydney</v>
    <v>mdp/vdpid/8878834554543013889</v>
  </rv>
  <rv s="0">
    <v>536870912</v>
    <v>Montreal</v>
    <v>bf31f6ec-acd1-2e01-932b-c5c78c45d051</v>
    <v>en-US</v>
    <v>Map</v>
  </rv>
  <rv s="1">
    <fb>498</fb>
    <v>8</v>
  </rv>
  <rv s="2">
    <v>55</v>
    <v>6</v>
    <v>260</v>
    <v>7</v>
    <v>0</v>
    <v>Image of Montreal</v>
  </rv>
  <rv s="1">
    <fb>45.508888888888997</fb>
    <v>9</v>
  </rv>
  <rv s="0">
    <v>805306368</v>
    <v>Valérie Plante (Mayor)</v>
    <v>e63721dc-a633-6bba-7c34-e8c1efaae3fc</v>
    <v>en-US</v>
    <v>Generic</v>
  </rv>
  <rv s="3">
    <v>89</v>
  </rv>
  <rv s="4">
    <v>https://www.bing.com/search?q=montreal+canada&amp;form=skydnc</v>
    <v>Learn more on Bing</v>
  </rv>
  <rv s="1">
    <fb>-73.561666666666994</fb>
    <v>9</v>
  </rv>
  <rv s="1">
    <fb>1762949</fb>
    <v>8</v>
  </rv>
  <rv s="5">
    <v>#VALUE!</v>
    <v>261</v>
    <v>2</v>
    <v>Montreal</v>
    <v>4</v>
    <v>5</v>
    <v>Map</v>
    <v>6</v>
    <v>159</v>
    <v>en-US</v>
    <v>bf31f6ec-acd1-2e01-932b-c5c78c45d051</v>
    <v>536870912</v>
    <v>1</v>
    <v>918</v>
    <v>1528</v>
    <v>873</v>
    <v>Montreal is the largest city in the province of Quebec, the second-largest in Canada, and the tenth-largest in North America. Founded in 1642 as Ville-Marie, or "City of Mary", it is now named after Mount Royal, the triple-peaked hill around ...</v>
    <v>1529</v>
    <v>1530</v>
    <v>1532</v>
    <v>1533</v>
    <v>1534</v>
    <v>Montreal</v>
    <v>1535</v>
    <v>11</v>
    <v>Montreal</v>
    <v>mdp/vdpid/5293949126482853889</v>
  </rv>
  <rv s="0">
    <v>536870912</v>
    <v>Albany, New York</v>
    <v>62ca8245-972e-448d-af38-345d4a958798</v>
    <v>en-US</v>
    <v>Map</v>
  </rv>
  <rv s="0">
    <v>536870912</v>
    <v>Albany County</v>
    <v>a3061797-713e-5786-6c4e-9e48da278578</v>
    <v>en-US</v>
    <v>Map</v>
  </rv>
  <rv s="1">
    <fb>56.813794999999999</fb>
    <v>8</v>
  </rv>
  <rv s="2">
    <v>56</v>
    <v>6</v>
    <v>262</v>
    <v>7</v>
    <v>0</v>
    <v>Image of Albany, New York</v>
  </rv>
  <rv s="1">
    <fb>42.65</fb>
    <v>9</v>
  </rv>
  <rv s="0">
    <v>805306368</v>
    <v>Kathy Sheehan (Mayor)</v>
    <v>1731f8a8-2401-4ecb-ac65-14c77d908f53</v>
    <v>en-US</v>
    <v>Generic</v>
  </rv>
  <rv s="3">
    <v>90</v>
  </rv>
  <rv s="4">
    <v>https://www.bing.com/search?q=albany+new+york&amp;form=skydnc</v>
    <v>Learn more on Bing</v>
  </rv>
  <rv s="1">
    <fb>-73.766666666667007</fb>
    <v>9</v>
  </rv>
  <rv s="1">
    <fb>99224</fb>
    <v>8</v>
  </rv>
  <rv s="12">
    <v>#VALUE!</v>
    <v>263</v>
    <v>148</v>
    <v>Albany, New York</v>
    <v>4</v>
    <v>5</v>
    <v>Map</v>
    <v>6</v>
    <v>7</v>
    <v>en-US</v>
    <v>62ca8245-972e-448d-af38-345d4a958798</v>
    <v>536870912</v>
    <v>1</v>
    <v>1</v>
    <v>1538</v>
    <v>1539</v>
    <v>3</v>
    <v>Albany is the capital and oldest city in the U.S. state of New York and the seat of and the most populous city in the county of the same name. It is located on the west bank of the Hudson River, about 10 miles south of its confluence with the ...</v>
    <v>1540</v>
    <v>1541</v>
    <v>1543</v>
    <v>1544</v>
    <v>1545</v>
    <v>Albany, New York</v>
    <v>1546</v>
    <v>11</v>
    <v>Albany, New York</v>
    <v>mdp/vdpid/5486479930554318849</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57</v>
    <v>6</v>
    <v>265</v>
    <v>7</v>
    <v>0</v>
    <v>Image of Italy</v>
  </rv>
  <rv s="1">
    <fb>2.6</fb>
    <v>33</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33</v>
  </rv>
  <rv s="1">
    <fb>522087790000</fb>
    <v>35</v>
  </rv>
  <rv s="1">
    <fb>2</fb>
    <v>33</v>
  </rv>
  <rv s="3">
    <v>92</v>
  </rv>
  <rv s="1">
    <fb>0.2283268819</fb>
    <v>29</v>
  </rv>
  <rv s="1">
    <fb>3.9773999999999998</fb>
    <v>30</v>
  </rv>
  <rv s="1">
    <fb>58856847</fb>
    <v>8</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29</v>
  </rv>
  <rv s="1">
    <fb>0.59099999999999997</fb>
    <v>29</v>
  </rv>
  <rv s="1">
    <fb>9.8870000839233405E-2</fb>
    <v>36</v>
  </rv>
  <rv s="1">
    <fb>42651966</fb>
    <v>8</v>
  </rv>
  <rv s="20">
    <v>#VALUE!</v>
    <v>268</v>
    <v>269</v>
    <v>Italy</v>
    <v>4</v>
    <v>5</v>
    <v>Map</v>
    <v>6</v>
    <v>270</v>
    <v>en-US</v>
    <v>09e8f885-427b-8850-947d-202e0287b9e8</v>
    <v>536870912</v>
    <v>1</v>
    <v>IT</v>
    <v>1549</v>
    <v>1550</v>
    <v>1551</v>
    <v>1552</v>
    <v>1553</v>
    <v>1554</v>
    <v>1555</v>
    <v>1556</v>
    <v>1557</v>
    <v>EUR</v>
    <v>Italy, officially the Italian Republic, is a country in Southern and Western Europe. It consists of a peninsula that extends into the Mediterranean Sea, with the Alps on its northern land border, as well as nearly 800 islands, notably Sicily and ...</v>
    <v>1558</v>
    <v>1559</v>
    <v>1560</v>
    <v>1561</v>
    <v>1562</v>
    <v>1563</v>
    <v>1564</v>
    <v>1565</v>
    <v>1566</v>
    <v>1567</v>
    <v>1554</v>
    <v>1570</v>
    <v>1571</v>
    <v>1572</v>
    <v>1573</v>
    <v>1574</v>
    <v>Italy</v>
    <v>Il Canto degli Italiani</v>
    <v>1575</v>
    <v>Repubblica Italiana</v>
    <v>1576</v>
    <v>1577</v>
    <v>1578</v>
    <v>244</v>
    <v>387</v>
    <v>1495</v>
    <v>364</v>
    <v>476</v>
    <v>1579</v>
    <v>362</v>
    <v>1580</v>
    <v>1601</v>
    <v>1602</v>
    <v>1068</v>
    <v>1603</v>
    <v>1604</v>
    <v>Italy</v>
    <v>1605</v>
    <v>mdp/vdpid/118</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58</v>
    <v>6</v>
    <v>272</v>
    <v>7</v>
    <v>0</v>
    <v>Image of Colombia</v>
  </rv>
  <rv s="1">
    <fb>12.2</fb>
    <v>33</v>
  </rv>
  <rv s="0">
    <v>805306368</v>
    <v>Gustavo Petro (President)</v>
    <v>6d82a058-5246-ec8e-cc68-4ec9b7022623</v>
    <v>en-US</v>
    <v>Generic</v>
  </rv>
  <rv s="0">
    <v>805306368</v>
    <v>Francia Márquez (Vice president)</v>
    <v>31dbe672-1593-31cc-dd43-199002188cba</v>
    <v>en-US</v>
    <v>Generic</v>
  </rv>
  <rv s="3">
    <v>94</v>
  </rv>
  <rv s="4">
    <v>https://www.bing.com/search?q=colombia&amp;form=skydnc</v>
    <v>Learn more on Bing</v>
  </rv>
  <rv s="1">
    <fb>77.108999999999995</fb>
    <v>33</v>
  </rv>
  <rv s="1">
    <fb>132040280000</fb>
    <v>35</v>
  </rv>
  <rv s="1">
    <fb>83</fb>
    <v>33</v>
  </rv>
  <rv s="1">
    <fb>1.23</fb>
    <v>34</v>
  </rv>
  <rv s="3">
    <v>95</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96</v>
  </rv>
  <rv s="1">
    <fb>0.144026436439844</fb>
    <v>29</v>
  </rv>
  <rv s="3">
    <v>97</v>
  </rv>
  <rv s="1">
    <fb>9.7069997787475604E-2</fb>
    <v>36</v>
  </rv>
  <rv s="1">
    <fb>40827302</fb>
    <v>8</v>
  </rv>
  <rv s="6">
    <v>#VALUE!</v>
    <v>275</v>
    <v>27</v>
    <v>Colombia</v>
    <v>4</v>
    <v>5</v>
    <v>Map</v>
    <v>6</v>
    <v>276</v>
    <v>en-US</v>
    <v>c396e3d8-2a85-d230-f691-7850536d840e</v>
    <v>536870912</v>
    <v>1</v>
    <v>CO</v>
    <v>1608</v>
    <v>1609</v>
    <v>1610</v>
    <v>1611</v>
    <v>1612</v>
    <v>1613</v>
    <v>1614</v>
    <v>1615</v>
    <v>1616</v>
    <v>COP</v>
    <v>Colombia, officially the Republic of Colombia, is a country primarily located in South America with insular regions in North America. The Colombian mainland is bordered by the Caribbean Sea to the north, Venezuela to the east and northeast, ...</v>
    <v>1617</v>
    <v>1618</v>
    <v>1619</v>
    <v>1620</v>
    <v>1621</v>
    <v>1622</v>
    <v>1623</v>
    <v>1624</v>
    <v>1625</v>
    <v>1626</v>
    <v>1613</v>
    <v>1629</v>
    <v>1630</v>
    <v>1631</v>
    <v>1632</v>
    <v>1633</v>
    <v>1634</v>
    <v>Colombia</v>
    <v>National Anthem of Colombia</v>
    <v>1635</v>
    <v>República de Colombia</v>
    <v>1636</v>
    <v>1637</v>
    <v>1638</v>
    <v>1639</v>
    <v>1640</v>
    <v>1641</v>
    <v>1642</v>
    <v>330</v>
    <v>721</v>
    <v>1643</v>
    <v>1644</v>
    <v>1677</v>
    <v>1678</v>
    <v>1679</v>
    <v>561</v>
    <v>1680</v>
    <v>Colombia</v>
    <v>1681</v>
    <v>mdp/vdpid/51</v>
  </rv>
  <rv s="0">
    <v>536870912</v>
    <v>Ithaca, New York</v>
    <v>995b9809-430a-93c1-623f-eb06a9e7a795</v>
    <v>en-US</v>
    <v>Map</v>
  </rv>
  <rv s="0">
    <v>536870912</v>
    <v>Tompkins County, New York</v>
    <v>f8fdb554-dcaa-ff88-2d31-900c0ad7ac03</v>
    <v>en-US</v>
    <v>Map</v>
  </rv>
  <rv s="1">
    <fb>15.727155</fb>
    <v>8</v>
  </rv>
  <rv s="2">
    <v>59</v>
    <v>6</v>
    <v>277</v>
    <v>7</v>
    <v>0</v>
    <v>Image of Ithaca, New York</v>
  </rv>
  <rv s="1">
    <fb>42.443333333333001</fb>
    <v>9</v>
  </rv>
  <rv s="0">
    <v>805306368</v>
    <v>Robert Cantelmo (Mayor)</v>
    <v>668ed569-d064-e97e-8004-54f7a2969f83</v>
    <v>en-US</v>
    <v>Generic</v>
  </rv>
  <rv s="3">
    <v>98</v>
  </rv>
  <rv s="4">
    <v>https://www.bing.com/search?q=ithaca+new+york&amp;form=skydnc</v>
    <v>Learn more on Bing</v>
  </rv>
  <rv s="1">
    <fb>-76.5</fb>
    <v>9</v>
  </rv>
  <rv s="1">
    <fb>32108</fb>
    <v>8</v>
  </rv>
  <rv s="12">
    <v>#VALUE!</v>
    <v>278</v>
    <v>148</v>
    <v>Ithaca, New York</v>
    <v>4</v>
    <v>5</v>
    <v>Map</v>
    <v>6</v>
    <v>7</v>
    <v>en-US</v>
    <v>995b9809-430a-93c1-623f-eb06a9e7a795</v>
    <v>536870912</v>
    <v>1</v>
    <v>1</v>
    <v>1684</v>
    <v>1685</v>
    <v>829</v>
    <v>Ithaca is a city in and the county seat of Tompkins County, New York, United States. Situated on the southern shore of Cayuga Lake in the Finger Lakes region of New York, Ithaca is the largest community in the Ithaca metropolitan statistical ...</v>
    <v>1686</v>
    <v>1687</v>
    <v>1689</v>
    <v>1690</v>
    <v>1691</v>
    <v>Ithaca, New York</v>
    <v>1692</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60</v>
    <v>6</v>
    <v>280</v>
    <v>7</v>
    <v>0</v>
    <v>Image of Williamstown, Massachusetts</v>
  </rv>
  <rv s="1">
    <fb>42.713333333333303</fb>
    <v>9</v>
  </rv>
  <rv s="4">
    <v>https://www.bing.com/search?q=williamstown+massachusetts&amp;form=skydnc</v>
    <v>Learn more on Bing</v>
  </rv>
  <rv s="1">
    <fb>-73.209444444444401</fb>
    <v>9</v>
  </rv>
  <rv s="1">
    <fb>7513</fb>
    <v>8</v>
  </rv>
  <rv s="16">
    <v>#VALUE!</v>
    <v>281</v>
    <v>202</v>
    <v>Williamstown, Massachusetts</v>
    <v>4</v>
    <v>5</v>
    <v>Map</v>
    <v>6</v>
    <v>7</v>
    <v>en-US</v>
    <v>c3f0d418-4b8d-7084-68ab-51c4f3d2e774</v>
    <v>536870912</v>
    <v>1</v>
    <v>74</v>
    <v>1695</v>
    <v>1696</v>
    <v>829</v>
    <v>Williamstown is a town in Berkshire County, Massachusetts, United States. It shares a border with Vermont to the north and New York to the west. Located in Berkshire County, the town is part of the Pittsfield, Massachusetts metropolitan ...</v>
    <v>1697</v>
    <v>1698</v>
    <v>1699</v>
    <v>1700</v>
    <v>Williamstown, Massachusetts</v>
    <v>1701</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61</v>
    <v>6</v>
    <v>282</v>
    <v>7</v>
    <v>0</v>
    <v>Image of Grinnell, Iowa</v>
  </rv>
  <rv s="1">
    <fb>41.743611111111001</fb>
    <v>9</v>
  </rv>
  <rv s="4">
    <v>https://www.bing.com/search?q=grinnell+iowa&amp;form=skydnc</v>
    <v>Learn more on Bing</v>
  </rv>
  <rv s="1">
    <fb>-92.724722222221999</fb>
    <v>9</v>
  </rv>
  <rv s="1">
    <fb>9564</fb>
    <v>8</v>
  </rv>
  <rv s="16">
    <v>#VALUE!</v>
    <v>283</v>
    <v>202</v>
    <v>Grinnell, Iowa</v>
    <v>4</v>
    <v>5</v>
    <v>Map</v>
    <v>6</v>
    <v>7</v>
    <v>en-US</v>
    <v>62737a92-ae86-9b5d-9b52-d2381ad2f216</v>
    <v>536870912</v>
    <v>1</v>
    <v>68</v>
    <v>1704</v>
    <v>1705</v>
    <v>148</v>
    <v>Grinnell is a city in Poweshiek County, Iowa, United States. The population was 9,564 at the time of the 2020 census. It is best known for being the home of Grinnell College, as well as being the location of the Merchants' National Bank ...</v>
    <v>1706</v>
    <v>1707</v>
    <v>1708</v>
    <v>1709</v>
    <v>Grinnell, Iowa</v>
    <v>1710</v>
    <v>178</v>
    <v>Grinnell, Iowa</v>
    <v>mdp/vdpid/5093027083324489729</v>
  </rv>
  <rv s="0">
    <v>536870912</v>
    <v>Portland, Oregon</v>
    <v>5658ef8a-9267-4851-b335-72bc82329a4e</v>
    <v>en-US</v>
    <v>Map</v>
  </rv>
  <rv s="0">
    <v>536870912</v>
    <v>Multnomah County, Oregon</v>
    <v>09a9dfb0-af26-d1d9-c818-43e2fdd19867</v>
    <v>en-US</v>
    <v>Map</v>
  </rv>
  <rv s="1">
    <fb>375.80552599999999</fb>
    <v>8</v>
  </rv>
  <rv s="2">
    <v>62</v>
    <v>6</v>
    <v>284</v>
    <v>7</v>
    <v>0</v>
    <v>Image of Portland, Oregon</v>
  </rv>
  <rv s="1">
    <fb>45.516666666667</fb>
    <v>9</v>
  </rv>
  <rv s="0">
    <v>805306368</v>
    <v>Keith Wilson (Mayor)</v>
    <v>5ef72d86-7eea-2ea5-3eee-42f15a9430b3</v>
    <v>en-US</v>
    <v>Generic</v>
  </rv>
  <rv s="3">
    <v>99</v>
  </rv>
  <rv s="4">
    <v>https://www.bing.com/search?q=portland+oregon&amp;form=skydnc</v>
    <v>Learn more on Bing</v>
  </rv>
  <rv s="1">
    <fb>-122.66666666667</fb>
    <v>9</v>
  </rv>
  <rv s="1">
    <fb>652503</fb>
    <v>8</v>
  </rv>
  <rv s="12">
    <v>#VALUE!</v>
    <v>285</v>
    <v>148</v>
    <v>Portland, Oregon</v>
    <v>4</v>
    <v>5</v>
    <v>Map</v>
    <v>6</v>
    <v>7</v>
    <v>en-US</v>
    <v>5658ef8a-9267-4851-b335-72bc82329a4e</v>
    <v>536870912</v>
    <v>1</v>
    <v>89</v>
    <v>1713</v>
    <v>1714</v>
    <v>829</v>
    <v>Portland is the most populous city in the U.S. state of Oregon, located in the Pacific Northwest region. Situated close to northwest Oregon at the confluence of the Willamette and Columbia rivers, it is the county seat of Multnomah County, ...</v>
    <v>1715</v>
    <v>1716</v>
    <v>1718</v>
    <v>1719</v>
    <v>1720</v>
    <v>Portland, Oregon</v>
    <v>1721</v>
    <v>214</v>
    <v>Portland, Oregon</v>
    <v>mdp/vdpid/4860910142754914306</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63</v>
    <v>6</v>
    <v>287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100</v>
  </rv>
  <rv s="4">
    <v>https://www.bing.com/search?q=sweden&amp;form=skydnc</v>
    <v>Learn more on Bing</v>
  </rv>
  <rv s="1">
    <fb>82.512195121951194</fb>
    <v>33</v>
  </rv>
  <rv s="1">
    <fb>289877140000</fb>
    <v>35</v>
  </rv>
  <rv s="3">
    <v>101</v>
  </rv>
  <rv s="1">
    <fb>0.15191583449999999</fb>
    <v>29</v>
  </rv>
  <rv s="1">
    <fb>3.984</fb>
    <v>30</v>
  </rv>
  <rv s="1">
    <fb>10486941</fb>
    <v>8</v>
  </rv>
  <rv s="1">
    <fb>0.23100000000000001</fb>
    <v>29</v>
  </rv>
  <rv s="1">
    <fb>0.371</fb>
    <v>29</v>
  </rv>
  <rv s="1">
    <fb>0.03</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102</v>
  </rv>
  <rv s="1">
    <fb>0.27911031322372698</fb>
    <v>29</v>
  </rv>
  <rv s="1">
    <fb>0.49099999999999999</fb>
    <v>29</v>
  </rv>
  <rv s="1">
    <fb>6.4759998321533202E-2</fb>
    <v>36</v>
  </rv>
  <rv s="1">
    <fb>9021165</fb>
    <v>8</v>
  </rv>
  <rv s="20">
    <v>#VALUE!</v>
    <v>290</v>
    <v>269</v>
    <v>Sweden</v>
    <v>4</v>
    <v>5</v>
    <v>Map</v>
    <v>6</v>
    <v>291</v>
    <v>en-US</v>
    <v>a5928099-53c3-11a8-91e6-6fe59b8c4f9a</v>
    <v>536870912</v>
    <v>1</v>
    <v>SE</v>
    <v>1724</v>
    <v>1725</v>
    <v>1726</v>
    <v>1727</v>
    <v>1728</v>
    <v>1729</v>
    <v>1730</v>
    <v>1731</v>
    <v>1732</v>
    <v>SEK</v>
    <v>Sweden, formally the Kingdom of Sweden, is a Nordic country located on the Scandinavian Peninsula in Northern Europe. It borders Norway to the west and north, and Finland to the east. At 450,295 square kilometres, Sweden is the largest Nordic ...</v>
    <v>1733</v>
    <v>1734</v>
    <v>1735</v>
    <v>1736</v>
    <v>1737</v>
    <v>1738</v>
    <v>1739</v>
    <v>1740</v>
    <v>1741</v>
    <v>1742</v>
    <v>1729</v>
    <v>1745</v>
    <v>1746</v>
    <v>1747</v>
    <v>1748</v>
    <v>1095</v>
    <v>Sweden</v>
    <v>Du gamla, du fria</v>
    <v>1749</v>
    <v>Konungariket Sverige</v>
    <v>1750</v>
    <v>1751</v>
    <v>1752</v>
    <v>1753</v>
    <v>671</v>
    <v>1754</v>
    <v>1755</v>
    <v>139</v>
    <v>273</v>
    <v>141</v>
    <v>1756</v>
    <v>1778</v>
    <v>1779</v>
    <v>1220</v>
    <v>1780</v>
    <v>1781</v>
    <v>Sweden</v>
    <v>1782</v>
    <v>mdp/vdpid/221</v>
  </rv>
  <rv s="1">
    <fb>187.16</fb>
    <v>8</v>
  </rv>
  <rv s="0">
    <v>536870912</v>
    <v>Kalmar Union</v>
    <v>723b5437-f021-ebd7-3a7a-2fcc8a5bab2d</v>
    <v>en-US</v>
    <v>Map</v>
  </rv>
  <rv s="2">
    <v>64</v>
    <v>6</v>
    <v>292</v>
    <v>7</v>
    <v>0</v>
    <v>Image of Stockholm</v>
  </rv>
  <rv s="1">
    <fb>59.329444444444</fb>
    <v>9</v>
  </rv>
  <rv s="0">
    <v>805306368</v>
    <v>Karin Wanngård (Mayor)</v>
    <v>ff45a3f2-13a5-6f7f-5794-0b7c2a0d7877</v>
    <v>en-US</v>
    <v>Generic</v>
  </rv>
  <rv s="3">
    <v>103</v>
  </rv>
  <rv s="4">
    <v>https://www.bing.com/search?q=stockholm+sweden&amp;form=skydnc</v>
    <v>Learn more on Bing</v>
  </rv>
  <rv s="1">
    <fb>18.068611111111</fb>
    <v>9</v>
  </rv>
  <rv s="1">
    <fb>978770</fb>
    <v>8</v>
  </rv>
  <rv s="5">
    <v>#VALUE!</v>
    <v>293</v>
    <v>2</v>
    <v>Stockholm</v>
    <v>4</v>
    <v>5</v>
    <v>Map</v>
    <v>6</v>
    <v>159</v>
    <v>en-US</v>
    <v>9daa4a8d-0e69-da3a-672e-16d4743a665b</v>
    <v>536870912</v>
    <v>1</v>
    <v>1768</v>
    <v>1784</v>
    <v>1785</v>
    <v>Stockholm is the capital and most populous city of Sweden, as well as the largest urban area in the Nordic countries. Approximately 1 million people live in the municipality, with 1.6 million in the urban area, and 2.5 million in the ...</v>
    <v>1786</v>
    <v>1787</v>
    <v>1789</v>
    <v>1790</v>
    <v>1791</v>
    <v>Stockholm</v>
    <v>1792</v>
    <v>1068</v>
    <v>Stockholm</v>
    <v>mdp/vdpid/7005763932988112897</v>
  </rv>
  <rv s="0">
    <v>536870912</v>
    <v>Waterville, Maine</v>
    <v>bccdffc8-e311-85b5-6547-10744910d73b</v>
    <v>en-US</v>
    <v>Map</v>
  </rv>
  <rv s="0">
    <v>536870912</v>
    <v>Kennebec County</v>
    <v>8de68467-c34b-ec2b-e1d5-26cbcc48b79a</v>
    <v>en-US</v>
    <v>Map</v>
  </rv>
  <rv s="1">
    <fb>36.397387000000002</fb>
    <v>8</v>
  </rv>
  <rv s="2">
    <v>65</v>
    <v>6</v>
    <v>294</v>
    <v>7</v>
    <v>0</v>
    <v>Image of Waterville, Maine</v>
  </rv>
  <rv s="1">
    <fb>44.551944444443997</fb>
    <v>9</v>
  </rv>
  <rv s="0">
    <v>805306368</v>
    <v>Jay Coelho (Mayor)</v>
    <v>b84e15ca-f655-8a30-4eb1-d558f5e616fc</v>
    <v>en-US</v>
    <v>Generic</v>
  </rv>
  <rv s="3">
    <v>104</v>
  </rv>
  <rv s="4">
    <v>https://www.bing.com/search?q=waterville+maine&amp;form=skydnc</v>
    <v>Learn more on Bing</v>
  </rv>
  <rv s="1">
    <fb>-69.645833333333002</fb>
    <v>9</v>
  </rv>
  <rv s="1">
    <fb>15828</fb>
    <v>8</v>
  </rv>
  <rv s="12">
    <v>#VALUE!</v>
    <v>295</v>
    <v>148</v>
    <v>Waterville, Maine</v>
    <v>4</v>
    <v>5</v>
    <v>Map</v>
    <v>6</v>
    <v>7</v>
    <v>en-US</v>
    <v>bccdffc8-e311-85b5-6547-10744910d73b</v>
    <v>536870912</v>
    <v>1</v>
    <v>72</v>
    <v>1795</v>
    <v>1796</v>
    <v>3</v>
    <v>Waterville is a city in Kennebec County, Maine, United States, on the west bank of the Kennebec River. The city is home to Colby College and Thomas College. As of the 2020 census the population was 15,828. Along with Augusta, Waterville is one ...</v>
    <v>1797</v>
    <v>1798</v>
    <v>1800</v>
    <v>1801</v>
    <v>1802</v>
    <v>Waterville, Maine</v>
    <v>1803</v>
    <v>11</v>
    <v>Waterville, Maine</v>
    <v>mdp/vdpid/5488252247114514433</v>
  </rv>
  <rv s="0">
    <v>536870912</v>
    <v>Indianapolis</v>
    <v>28ad13c5-50fe-aae3-acb8-c5dea28be321</v>
    <v>en-US</v>
    <v>Map</v>
  </rv>
  <rv s="0">
    <v>536870912</v>
    <v>Marion County, Indiana</v>
    <v>ab457602-8310-1e9c-f76e-b62f7c980071</v>
    <v>en-US</v>
    <v>Map</v>
  </rv>
  <rv s="1">
    <fb>953.18073600000002</fb>
    <v>8</v>
  </rv>
  <rv s="2">
    <v>66</v>
    <v>6</v>
    <v>296</v>
    <v>7</v>
    <v>0</v>
    <v>Image of Indianapolis</v>
  </rv>
  <rv s="1">
    <fb>39.768611111110999</fb>
    <v>9</v>
  </rv>
  <rv s="0">
    <v>805306368</v>
    <v>Joe Hogsett (Mayor)</v>
    <v>35a12ddd-c281-8321-ccbb-63acd394f368</v>
    <v>en-US</v>
    <v>Generic</v>
  </rv>
  <rv s="3">
    <v>105</v>
  </rv>
  <rv s="4">
    <v>https://www.bing.com/search?q=indianapolis&amp;form=skydnc</v>
    <v>Learn more on Bing</v>
  </rv>
  <rv s="1">
    <fb>-86.158055555556004</fb>
    <v>9</v>
  </rv>
  <rv s="1">
    <fb>887642</fb>
    <v>8</v>
  </rv>
  <rv s="3">
    <v>106</v>
  </rv>
  <rv s="12">
    <v>#VALUE!</v>
    <v>297</v>
    <v>148</v>
    <v>Indianapolis</v>
    <v>4</v>
    <v>5</v>
    <v>Map</v>
    <v>6</v>
    <v>7</v>
    <v>en-US</v>
    <v>28ad13c5-50fe-aae3-acb8-c5dea28be321</v>
    <v>536870912</v>
    <v>1</v>
    <v>67</v>
    <v>1806</v>
    <v>1807</v>
    <v>829</v>
    <v>Indianapolis, colloquially known as Indy, is the capital and most populous city of the U.S. state of Indiana and the seat of Marion County. Indianapolis is situated in the state's central till plain region along the west fork of the White River. ...</v>
    <v>1808</v>
    <v>1809</v>
    <v>1811</v>
    <v>1812</v>
    <v>1813</v>
    <v>Indianapolis</v>
    <v>1814</v>
    <v>1815</v>
    <v>Indianapolis</v>
    <v>mdp/vdpid/5478461750934241282</v>
  </rv>
  <rv s="0">
    <v>536870912</v>
    <v>Miane</v>
    <v>7c296735-f6d0-c3c5-e7a6-6c9bd255bb0b</v>
    <v>en-US</v>
    <v>Map</v>
  </rv>
  <rv s="1">
    <fb>30.88</fb>
    <v>8</v>
  </rv>
  <rv s="1">
    <fb>45.95</fb>
    <v>9</v>
  </rv>
  <rv s="4">
    <v>https://www.bing.com/search?q=miane+italy&amp;form=skydnc</v>
    <v>Learn more on Bing</v>
  </rv>
  <rv s="1">
    <fb>12.1</fb>
    <v>9</v>
  </rv>
  <rv s="1">
    <fb>3118</fb>
    <v>8</v>
  </rv>
  <rv s="21">
    <v>#VALUE!</v>
    <v>299</v>
    <v>300</v>
    <v>Miane</v>
    <v>4</v>
    <v>301</v>
    <v>Map</v>
    <v>6</v>
    <v>149</v>
    <v>en-US</v>
    <v>7c296735-f6d0-c3c5-e7a6-6c9bd255bb0b</v>
    <v>536870912</v>
    <v>1</v>
    <v>1600</v>
    <v>1818</v>
    <v>1548</v>
    <v>Miane is a comune in the Province of Treviso in the Italian region Veneto, located about 60 kilometres northwest of Venice and about 35 kilometres northwest of Treviso. As of 31 December 2004, it had a population of 3,661 and an area of 30.9 ...</v>
    <v>1819</v>
    <v>1820</v>
    <v>1821</v>
    <v>Miane</v>
    <v>1822</v>
    <v>Miane</v>
    <v>mdp/vdpid/7022573782283845633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67</v>
    <v>6</v>
    <v>303</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107</v>
  </rv>
  <rv s="4">
    <v>https://www.bing.com/search?q=brazil&amp;form=skydnc</v>
    <v>Learn more on Bing</v>
  </rv>
  <rv s="1">
    <fb>75.671999999999997</fb>
    <v>33</v>
  </rv>
  <rv s="1">
    <fb>1187361690000</fb>
    <v>35</v>
  </rv>
  <rv s="1">
    <fb>60</fb>
    <v>33</v>
  </rv>
  <rv s="1">
    <fb>1.53</fb>
    <v>34</v>
  </rv>
  <rv s="3">
    <v>108</v>
  </rv>
  <rv s="1">
    <fb>0.28289823089999999</fb>
    <v>29</v>
  </rv>
  <rv s="1">
    <fb>2.1499000000000001</fb>
    <v>30</v>
  </rv>
  <rv s="1">
    <fb>215313498</fb>
    <v>8</v>
  </rv>
  <rv s="1">
    <fb>0.42499999999999999</fb>
    <v>29</v>
  </rv>
  <rv s="1">
    <fb>0.58399999999999996</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109</v>
  </rv>
  <rv s="1">
    <fb>0.14178605589771201</fb>
    <v>29</v>
  </rv>
  <rv s="3">
    <v>110</v>
  </rv>
  <rv s="1">
    <fb>0.65099999999999991</fb>
    <v>29</v>
  </rv>
  <rv s="1">
    <fb>0.12083000183105501</fb>
    <v>36</v>
  </rv>
  <rv s="1">
    <fb>183241641</fb>
    <v>8</v>
  </rv>
  <rv s="6">
    <v>#VALUE!</v>
    <v>306</v>
    <v>27</v>
    <v>Brazil</v>
    <v>4</v>
    <v>5</v>
    <v>Map</v>
    <v>6</v>
    <v>307</v>
    <v>en-US</v>
    <v>a828cf41-b938-49fe-7986-4b336618d413</v>
    <v>536870912</v>
    <v>1</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773</v>
    <v>1857</v>
    <v>1858</v>
    <v>748</v>
    <v>1859</v>
    <v>530</v>
    <v>1579</v>
    <v>1860</v>
    <v>1888</v>
    <v>1889</v>
    <v>1890</v>
    <v>1891</v>
    <v>1892</v>
    <v>Brazil</v>
    <v>1893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68</v>
    <v>6</v>
    <v>309</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111</v>
  </rv>
  <rv s="4">
    <v>https://www.bing.com/search?q=switzerland&amp;form=skydnc</v>
    <v>Learn more on Bing</v>
  </rv>
  <rv s="1">
    <fb>83.551219512195104</fb>
    <v>33</v>
  </rv>
  <rv s="1">
    <fb>1834453260000</fb>
    <v>35</v>
  </rv>
  <rv s="3">
    <v>112</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113</v>
  </rv>
  <rv s="1">
    <fb>0.10080933835403399</fb>
    <v>29</v>
  </rv>
  <rv s="1">
    <fb>4.5809998512268101E-2</fb>
    <v>36</v>
  </rv>
  <rv s="1">
    <fb>6332428</fb>
    <v>8</v>
  </rv>
  <rv s="20">
    <v>#VALUE!</v>
    <v>312</v>
    <v>269</v>
    <v>Switzerland</v>
    <v>4</v>
    <v>5</v>
    <v>Map</v>
    <v>6</v>
    <v>196</v>
    <v>en-US</v>
    <v>c10c98b9-afcd-84bf-c5c8-4220fc76a2e3</v>
    <v>536870912</v>
    <v>1</v>
    <v>CH</v>
    <v>1896</v>
    <v>1897</v>
    <v>1898</v>
    <v>1899</v>
    <v>1900</v>
    <v>1901</v>
    <v>1902</v>
    <v>1903</v>
    <v>1904</v>
    <v>CHF</v>
    <v>Switzerland, officially the Swiss Confederation, is a landlocked country located in west-central Europe. It is bordered by Italy to the south, France to the west, Germany to the north, and Austria and Liechtenstein to the east. Switzerland is ...</v>
    <v>1905</v>
    <v>1906</v>
    <v>1907</v>
    <v>1908</v>
    <v>1909</v>
    <v>1910</v>
    <v>1911</v>
    <v>1912</v>
    <v>1913</v>
    <v>1914</v>
    <v>1915</v>
    <v>1923</v>
    <v>1924</v>
    <v>1925</v>
    <v>1926</v>
    <v>985</v>
    <v>Switzerland</v>
    <v>Swiss Psalm</v>
    <v>1927</v>
    <v>Confoederatio Helvetica</v>
    <v>1928</v>
    <v>1929</v>
    <v>1930</v>
    <v>824</v>
    <v>1931</v>
    <v>914</v>
    <v>1859</v>
    <v>477</v>
    <v>717</v>
    <v>1932</v>
    <v>1933</v>
    <v>1959</v>
    <v>1960</v>
    <v>1220</v>
    <v>331</v>
    <v>1961</v>
    <v>Switzerland</v>
    <v>1962</v>
    <v>mdp/vdpid/223</v>
  </rv>
  <rv s="0">
    <v>536870912</v>
    <v>Pittsburgh</v>
    <v>67b9bd42-dc58-455c-9858-ece11da6a2fd</v>
    <v>en-US</v>
    <v>Map</v>
  </rv>
  <rv s="0">
    <v>536870912</v>
    <v>Allegheny County, Pennsylvania</v>
    <v>0545943c-8c71-ab81-283b-fb5f8f3bcb81</v>
    <v>en-US</v>
    <v>Map</v>
  </rv>
  <rv s="1">
    <fb>151</fb>
    <v>8</v>
  </rv>
  <rv s="2">
    <v>69</v>
    <v>6</v>
    <v>313</v>
    <v>7</v>
    <v>0</v>
    <v>Image of Pittsburgh</v>
  </rv>
  <rv s="1">
    <fb>40.441666666666698</fb>
    <v>9</v>
  </rv>
  <rv s="0">
    <v>805306368</v>
    <v>Ed Gainey (Mayor)</v>
    <v>2e529e45-5c30-976a-b3a8-08cde96efdc4</v>
    <v>en-US</v>
    <v>Generic</v>
  </rv>
  <rv s="3">
    <v>114</v>
  </rv>
  <rv s="4">
    <v>https://www.bing.com/search?q=pittsburgh&amp;form=skydnc</v>
    <v>Learn more on Bing</v>
  </rv>
  <rv s="1">
    <fb>-80</fb>
    <v>9</v>
  </rv>
  <rv s="1">
    <fb>303255</fb>
    <v>8</v>
  </rv>
  <rv s="12">
    <v>#VALUE!</v>
    <v>314</v>
    <v>148</v>
    <v>Pittsburgh</v>
    <v>4</v>
    <v>5</v>
    <v>Map</v>
    <v>6</v>
    <v>149</v>
    <v>en-US</v>
    <v>67b9bd42-dc58-455c-9858-ece11da6a2fd</v>
    <v>536870912</v>
    <v>1</v>
    <v>90</v>
    <v>1965</v>
    <v>1966</v>
    <v>829</v>
    <v>Pittsburgh is a city in and the county seat of Allegheny County, Pennsylvania, United States. It is the second-most populous city in Pennsylvania and the 68th-most populous city in the U.S., with a population of 302,971 as of the 2020 census. ...</v>
    <v>1967</v>
    <v>1968</v>
    <v>1970</v>
    <v>1971</v>
    <v>1972</v>
    <v>Pittsburgh</v>
    <v>1973</v>
    <v>11</v>
    <v>Pittsburgh</v>
    <v>mdp/vdpid/5480746593323843587</v>
  </rv>
  <rv s="0">
    <v>536870912</v>
    <v>Uruguay</v>
    <v>4d1c354d-d080-b633-86bc-0bad862c8cc1</v>
    <v>en-US</v>
    <v>Map</v>
  </rv>
  <rv s="1">
    <fb>0.82559705230116509</fb>
    <v>29</v>
  </rv>
  <rv s="1">
    <fb>176215</fb>
    <v>8</v>
  </rv>
  <rv s="1">
    <fb>22000</fb>
    <v>8</v>
  </rv>
  <rv s="1">
    <fb>13.856999999999999</fb>
    <v>30</v>
  </rv>
  <rv s="1">
    <fb>598</fb>
    <v>31</v>
  </rv>
  <rv s="0">
    <v>536870912</v>
    <v>Montevideo</v>
    <v>6f057c0a-9767-4c6b-b46f-6095e75df6ce</v>
    <v>en-US</v>
    <v>Map</v>
  </rv>
  <rv s="1">
    <fb>6765.6149999999998</fb>
    <v>8</v>
  </rv>
  <rv s="1">
    <fb>202.92198338614401</fb>
    <v>32</v>
  </rv>
  <rv s="1">
    <fb>7.8819887087962198E-2</fb>
    <v>29</v>
  </rv>
  <rv s="1">
    <fb>3085.1944193006002</fb>
    <v>8</v>
  </rv>
  <rv s="1">
    <fb>1.9730000000000001</fb>
    <v>30</v>
  </rv>
  <rv s="1">
    <fb>0.106715803350153</fb>
    <v>29</v>
  </rv>
  <rv s="1">
    <fb>46.270307888488801</fb>
    <v>33</v>
  </rv>
  <rv s="1">
    <fb>1.5</fb>
    <v>34</v>
  </rv>
  <rv s="1">
    <fb>56045912952.342003</fb>
    <v>35</v>
  </rv>
  <rv s="1">
    <fb>1.0845944000000001</fb>
    <v>29</v>
  </rv>
  <rv s="1">
    <fb>0.63125770000000003</fb>
    <v>29</v>
  </rv>
  <rv s="2">
    <v>70</v>
    <v>6</v>
    <v>316</v>
    <v>7</v>
    <v>0</v>
    <v>Image of Uruguay</v>
  </rv>
  <rv s="1">
    <fb>6.4</fb>
    <v>33</v>
  </rv>
  <rv s="0">
    <v>805306368</v>
    <v>Luis Lacalle Pou (President)</v>
    <v>45b12faf-c863-9c49-f448-8d6570636f58</v>
    <v>en-US</v>
    <v>Generic</v>
  </rv>
  <rv s="0">
    <v>805306368</v>
    <v>Beatriz Argimón (Vice president)</v>
    <v>fdad8b43-7954-7971-e1d7-65aea1df14f9</v>
    <v>en-US</v>
    <v>Generic</v>
  </rv>
  <rv s="3">
    <v>115</v>
  </rv>
  <rv s="4">
    <v>https://www.bing.com/search?q=uruguay&amp;form=skydnc</v>
    <v>Learn more on Bing</v>
  </rv>
  <rv s="1">
    <fb>77.77</fb>
    <v>33</v>
  </rv>
  <rv s="1">
    <fb>283800000</fb>
    <v>35</v>
  </rv>
  <rv s="1">
    <fb>17</fb>
    <v>33</v>
  </rv>
  <rv s="1">
    <fb>1.66</fb>
    <v>34</v>
  </rv>
  <rv s="3">
    <v>116</v>
  </rv>
  <rv s="1">
    <fb>0.16191438689999998</fb>
    <v>29</v>
  </rv>
  <rv s="1">
    <fb>5.0499000000000001</fb>
    <v>30</v>
  </rv>
  <rv s="1">
    <fb>3422794</fb>
    <v>8</v>
  </rv>
  <rv s="1">
    <fb>0.29699999999999999</fb>
    <v>29</v>
  </rv>
  <rv s="1">
    <fb>0.45899999999999996</fb>
    <v>29</v>
  </rv>
  <rv s="1">
    <fb>0.64021003723144498</fb>
    <v>29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117</v>
  </rv>
  <rv s="1">
    <fb>0.20091963021411099</fb>
    <v>29</v>
  </rv>
  <rv s="3">
    <v>118</v>
  </rv>
  <rv s="1">
    <fb>0.41799999999999998</fb>
    <v>29</v>
  </rv>
  <rv s="1">
    <fb>8.7309999465942395E-2</fb>
    <v>36</v>
  </rv>
  <rv s="1">
    <fb>3303394</fb>
    <v>8</v>
  </rv>
  <rv s="6">
    <v>#VALUE!</v>
    <v>319</v>
    <v>27</v>
    <v>Uruguay</v>
    <v>4</v>
    <v>5</v>
    <v>Map</v>
    <v>6</v>
    <v>320</v>
    <v>en-US</v>
    <v>4d1c354d-d080-b633-86bc-0bad862c8cc1</v>
    <v>536870912</v>
    <v>1</v>
    <v>UY</v>
    <v>1976</v>
    <v>1977</v>
    <v>1978</v>
    <v>1979</v>
    <v>1980</v>
    <v>1981</v>
    <v>1982</v>
    <v>1983</v>
    <v>1984</v>
    <v>UYU</v>
    <v>Uruguay, officially the Oriental Republic of Uruguay, is a country in South America. It shares borders with Argentina to its west and southwest and Brazil to its north and northeast, while bordering the Río de la Plata to the south and the ...</v>
    <v>1985</v>
    <v>1986</v>
    <v>1987</v>
    <v>1988</v>
    <v>1989</v>
    <v>1990</v>
    <v>1991</v>
    <v>1992</v>
    <v>1993</v>
    <v>1994</v>
    <v>1981</v>
    <v>1997</v>
    <v>1998</v>
    <v>1999</v>
    <v>2000</v>
    <v>2001</v>
    <v>2002</v>
    <v>Uruguay</v>
    <v>National Anthem of Uruguay</v>
    <v>2003</v>
    <v>Repúbilca Oriental del Uruguay</v>
    <v>2004</v>
    <v>2005</v>
    <v>2006</v>
    <v>417</v>
    <v>2007</v>
    <v>2008</v>
    <v>450</v>
    <v>672</v>
    <v>504</v>
    <v>52</v>
    <v>2009</v>
    <v>2029</v>
    <v>2030</v>
    <v>2031</v>
    <v>2032</v>
    <v>2033</v>
    <v>Uruguay</v>
    <v>2034</v>
    <v>mdp/vdpid/246</v>
  </rv>
  <rv s="0">
    <v>536870912</v>
    <v>Toulouse</v>
    <v>66f18335-714d-a89b-accf-daa50ae2a3b0</v>
    <v>en-US</v>
    <v>Map</v>
  </rv>
  <rv s="0">
    <v>536870912</v>
    <v>Toulouse Métropole</v>
    <v>2afec0cf-5b51-7c80-0629-1e6bad081da1</v>
    <v>en-US</v>
    <v>Map</v>
  </rv>
  <rv s="1">
    <fb>118.3</fb>
    <v>8</v>
  </rv>
  <rv s="2">
    <v>71</v>
    <v>6</v>
    <v>321</v>
    <v>7</v>
    <v>0</v>
    <v>Image of Toulouse</v>
  </rv>
  <rv s="1">
    <fb>43.604444444443999</fb>
    <v>9</v>
  </rv>
  <rv s="0">
    <v>805306368</v>
    <v>Jean-Luc Moudenc (Mayor)</v>
    <v>a9140916-0f7c-fe51-aebc-132ef414dd94</v>
    <v>en-US</v>
    <v>Generic</v>
  </rv>
  <rv s="3">
    <v>119</v>
  </rv>
  <rv s="4">
    <v>https://www.bing.com/search?q=toulouse&amp;form=skydnc</v>
    <v>Learn more on Bing</v>
  </rv>
  <rv s="1">
    <fb>1.4438888888889001</fb>
    <v>9</v>
  </rv>
  <rv s="1">
    <fb>511684</fb>
    <v>8</v>
  </rv>
  <rv s="12">
    <v>#VALUE!</v>
    <v>322</v>
    <v>148</v>
    <v>Toulouse</v>
    <v>4</v>
    <v>5</v>
    <v>Map</v>
    <v>6</v>
    <v>234</v>
    <v>en-US</v>
    <v>66f18335-714d-a89b-accf-daa50ae2a3b0</v>
    <v>536870912</v>
    <v>1</v>
    <v>2037</v>
    <v>2037</v>
    <v>2038</v>
    <v>1152</v>
    <v>Toulouse is the prefecture of the French department of Haute-Garonne and of the larger region of Occitania. The city is on the banks of the River Garonne, 150 kilometres from the Mediterranean Sea, 230 km from the Atlantic Ocean and 680 km from ...</v>
    <v>2039</v>
    <v>2040</v>
    <v>2042</v>
    <v>2043</v>
    <v>2044</v>
    <v>Toulouse</v>
    <v>2045</v>
    <v>1068</v>
    <v>Toulouse</v>
    <v>mdp/vdpid/7206182192253239297</v>
  </rv>
  <rv s="0">
    <v>536870912</v>
    <v>Getafe</v>
    <v>99b5dffc-d6a8-4c66-b021-5f63a2060e3c</v>
    <v>en-US</v>
    <v>Map</v>
  </rv>
  <rv s="1">
    <fb>78.739999999999995</fb>
    <v>8</v>
  </rv>
  <rv s="0">
    <v>536870912</v>
    <v>Spain</v>
    <v>32ba7e90-50d9-abbf-6822-7fd7ea22999b</v>
    <v>en-US</v>
    <v>Map</v>
  </rv>
  <rv s="2">
    <v>72</v>
    <v>6</v>
    <v>323</v>
    <v>7</v>
    <v>0</v>
    <v>Image of Getafe</v>
  </rv>
  <rv s="1">
    <fb>40.299999999999997</fb>
    <v>9</v>
  </rv>
  <rv s="0">
    <v>805306368</v>
    <v>Sara Hernández (Mayor)</v>
    <v>dbe9c3d5-db39-8ac6-c79f-b1eedbc7b851</v>
    <v>en-US</v>
    <v>Generic</v>
  </rv>
  <rv s="3">
    <v>120</v>
  </rv>
  <rv s="4">
    <v>https://www.bing.com/search?q=getafe+spain&amp;form=skydnc</v>
    <v>Learn more on Bing</v>
  </rv>
  <rv s="1">
    <fb>-3.7166666666667001</fb>
    <v>9</v>
  </rv>
  <rv s="1">
    <fb>187525</fb>
    <v>8</v>
  </rv>
  <rv s="3">
    <v>121</v>
  </rv>
  <rv s="5">
    <v>#VALUE!</v>
    <v>324</v>
    <v>2</v>
    <v>Getafe</v>
    <v>4</v>
    <v>5</v>
    <v>Map</v>
    <v>6</v>
    <v>149</v>
    <v>en-US</v>
    <v>99b5dffc-d6a8-4c66-b021-5f63a2060e3c</v>
    <v>536870912</v>
    <v>1</v>
    <v>1108</v>
    <v>2048</v>
    <v>2049</v>
    <v>Getafe is a municipality and a city in Spain belonging to the Community of Madrid. As of 2018, it has a population of 180,747, the region's sixth most populated municipality. Getafe is located 13 km south of Madrid's city centre, within a flat ...</v>
    <v>2050</v>
    <v>2051</v>
    <v>2053</v>
    <v>2054</v>
    <v>2055</v>
    <v>Getafe</v>
    <v>2056</v>
    <v>2057</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73</v>
    <v>6</v>
    <v>326</v>
    <v>7</v>
    <v>0</v>
    <v>Image of United Kingdom</v>
  </rv>
  <rv s="1">
    <fb>3.6</fb>
    <v>33</v>
  </rv>
  <rv s="0">
    <v>805306368</v>
    <v>Keir Starmer (Prime minister)</v>
    <v>63a6ef59-71fd-db08-08c6-d47d973d47fb</v>
    <v>en-US</v>
    <v>Generic</v>
  </rv>
  <rv s="3">
    <v>122</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123</v>
  </rv>
  <rv s="1">
    <fb>0.255052921600669</fb>
    <v>29</v>
  </rv>
  <rv s="3">
    <v>124</v>
  </rv>
  <rv s="1">
    <fb>0.30599999999999999</fb>
    <v>29</v>
  </rv>
  <rv s="1">
    <fb>3.8510000705719E-2</fb>
    <v>36</v>
  </rv>
  <rv s="1">
    <fb>55908316</fb>
    <v>8</v>
  </rv>
  <rv s="6">
    <v>#VALUE!</v>
    <v>329</v>
    <v>27</v>
    <v>United Kingdom</v>
    <v>4</v>
    <v>5</v>
    <v>Map</v>
    <v>6</v>
    <v>330</v>
    <v>en-US</v>
    <v>b1a5155a-6bb2-4646-8f7c-3e6b3a53c831</v>
    <v>536870912</v>
    <v>1</v>
    <v>GB</v>
    <v>2060</v>
    <v>2061</v>
    <v>2062</v>
    <v>2063</v>
    <v>2064</v>
    <v>2065</v>
    <v>2066</v>
    <v>2067</v>
    <v>2068</v>
    <v>GBP</v>
    <v>The United Kingdom of Great Britain and Northern Ireland, commonly known as the United Kingdom or Britain, is a country in Northwestern Europe, off the coast of the continental mainland. It comprises England, Scotland, Wales, and Northern ...</v>
    <v>2069</v>
    <v>2070</v>
    <v>2071</v>
    <v>2072</v>
    <v>2073</v>
    <v>2074</v>
    <v>2075</v>
    <v>2076</v>
    <v>2077</v>
    <v>2078</v>
    <v>2065</v>
    <v>2080</v>
    <v>2081</v>
    <v>2082</v>
    <v>2083</v>
    <v>1404</v>
    <v>2084</v>
    <v>United Kingdom</v>
    <v>God Save the King</v>
    <v>42</v>
    <v>United Kingdom of Great Britain and Northern Ireland</v>
    <v>2085</v>
    <v>2086</v>
    <v>2087</v>
    <v>417</v>
    <v>2088</v>
    <v>1495</v>
    <v>300</v>
    <v>277</v>
    <v>2089</v>
    <v>2090</v>
    <v>2091</v>
    <v>2096</v>
    <v>2097</v>
    <v>2098</v>
    <v>2099</v>
    <v>2100</v>
    <v>United Kingdom</v>
    <v>2101</v>
    <v>mdp/vdpid/242</v>
  </rv>
  <rv s="0">
    <v>536870912</v>
    <v>Greater London</v>
    <v>2ba8a441-178c-f2c0-26cb-a4b260b8c806</v>
    <v>en-US</v>
    <v>Map</v>
  </rv>
  <rv s="1">
    <fb>1572</fb>
    <v>8</v>
  </rv>
  <rv s="2">
    <v>74</v>
    <v>6</v>
    <v>331</v>
    <v>7</v>
    <v>0</v>
    <v>Image of London</v>
  </rv>
  <rv s="1">
    <fb>51.507222222221998</fb>
    <v>9</v>
  </rv>
  <rv s="0">
    <v>805306368</v>
    <v>Sadiq Khan (Mayor)</v>
    <v>d7862dc2-4c03-1dc8-3412-7fe03041fdcb</v>
    <v>en-US</v>
    <v>Generic</v>
  </rv>
  <rv s="3">
    <v>125</v>
  </rv>
  <rv s="4">
    <v>https://www.bing.com/search?q=london+england&amp;form=skydnc</v>
    <v>Learn more on Bing</v>
  </rv>
  <rv s="1">
    <fb>-0.1275</fb>
    <v>9</v>
  </rv>
  <rv s="1">
    <fb>8866180</fb>
    <v>8</v>
  </rv>
  <rv s="3">
    <v>126</v>
  </rv>
  <rv s="12">
    <v>#VALUE!</v>
    <v>332</v>
    <v>148</v>
    <v>London</v>
    <v>4</v>
    <v>5</v>
    <v>Map</v>
    <v>6</v>
    <v>234</v>
    <v>en-US</v>
    <v>8e0ba7b6-4225-fa8a-6369-1b5294e602a5</v>
    <v>536870912</v>
    <v>1</v>
    <v>2092</v>
    <v>2103</v>
    <v>2104</v>
    <v>2092</v>
    <v>London is the capital and largest city of both England and the United Kingdom, with a population of 8,866,180 in 2022. Its wider metropolitan area is the largest in Western Europe, with a population of 14.9 million. London stands on the River ...</v>
    <v>2105</v>
    <v>2106</v>
    <v>2108</v>
    <v>2109</v>
    <v>2110</v>
    <v>London</v>
    <v>2111</v>
    <v>2112</v>
    <v>London</v>
    <v>mdp/vdpid/5471798185326280713</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75</v>
    <v>6</v>
    <v>334</v>
    <v>7</v>
    <v>0</v>
    <v>Image of Finland</v>
  </rv>
  <rv s="1">
    <fb>1.4</fb>
    <v>33</v>
  </rv>
  <rv s="0">
    <v>805306368</v>
    <v>Alexander Stubb (President)</v>
    <v>8b3d7a61-5ae2-62d2-5b7d-6052bac2305a</v>
    <v>en-US</v>
    <v>Generic</v>
  </rv>
  <rv s="0">
    <v>805306368</v>
    <v>Petteri Orpo (Prime minister)</v>
    <v>f89fd370-e67c-1205-35bf-ef0bc79a5a2e</v>
    <v>en-US</v>
    <v>Generic</v>
  </rv>
  <rv s="3">
    <v>127</v>
  </rv>
  <rv s="4">
    <v>https://www.bing.com/search?q=finland&amp;form=skydnc</v>
    <v>Learn more on Bing</v>
  </rv>
  <rv s="1">
    <fb>81.734146341463401</fb>
    <v>33</v>
  </rv>
  <rv s="1">
    <fb>183765380000</fb>
    <v>35</v>
  </rv>
  <rv s="1">
    <fb>3</fb>
    <v>33</v>
  </rv>
  <rv s="3">
    <v>128</v>
  </rv>
  <rv s="1">
    <fb>0.19890897120000001</fb>
    <v>29</v>
  </rv>
  <rv s="1">
    <fb>3.8079999999999998</fb>
    <v>30</v>
  </rv>
  <rv s="1">
    <fb>5556880</fb>
    <v>8</v>
  </rv>
  <rv s="1">
    <fb>0.36899999999999999</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129</v>
  </rv>
  <rv s="1">
    <fb>0.20839038093492801</fb>
    <v>29</v>
  </rv>
  <rv s="3">
    <v>130</v>
  </rv>
  <rv s="1">
    <fb>6.594999790191651E-2</fb>
    <v>36</v>
  </rv>
  <rv s="1">
    <fb>4716888</fb>
    <v>8</v>
  </rv>
  <rv s="20">
    <v>#VALUE!</v>
    <v>337</v>
    <v>269</v>
    <v>Finland</v>
    <v>4</v>
    <v>5</v>
    <v>Map</v>
    <v>6</v>
    <v>338</v>
    <v>en-US</v>
    <v>ceea53a9-734c-46c7-a9f7-185e7cf6826e</v>
    <v>536870912</v>
    <v>1</v>
    <v>FI</v>
    <v>2115</v>
    <v>2116</v>
    <v>2117</v>
    <v>2118</v>
    <v>2119</v>
    <v>2120</v>
    <v>2121</v>
    <v>2122</v>
    <v>2123</v>
    <v>EUR</v>
    <v>Finland, officially the Republic of Finland, is a Nordic country in Northern Europe. It borders Sweden to the northwest, Norway to the north, and Russia to the east, with the Gulf of Bothnia to the west and the Gulf of Finland to the south, ...</v>
    <v>2124</v>
    <v>2125</v>
    <v>2126</v>
    <v>2127</v>
    <v>1909</v>
    <v>2128</v>
    <v>2129</v>
    <v>2130</v>
    <v>2131</v>
    <v>2132</v>
    <v>2120</v>
    <v>2135</v>
    <v>2136</v>
    <v>2137</v>
    <v>2138</v>
    <v>2139</v>
    <v>Finland</v>
    <v>Maamme</v>
    <v>2140</v>
    <v>Suomen tasavalta</v>
    <v>2141</v>
    <v>2142</v>
    <v>2143</v>
    <v>671</v>
    <v>46</v>
    <v>2144</v>
    <v>211</v>
    <v>334</v>
    <v>360</v>
    <v>2145</v>
    <v>2146</v>
    <v>2166</v>
    <v>2167</v>
    <v>2168</v>
    <v>111</v>
    <v>2169</v>
    <v>Finland</v>
    <v>2170</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76</v>
    <v>6</v>
    <v>339</v>
    <v>7</v>
    <v>0</v>
    <v>Image of Cascais</v>
  </rv>
  <rv s="4">
    <v>https://www.bing.com/search?q=cascais&amp;form=skydnc</v>
    <v>Learn more on Bing</v>
  </rv>
  <rv s="1">
    <fb>206479</fb>
    <v>8</v>
  </rv>
  <rv s="22">
    <v>#VALUE!</v>
    <v>340</v>
    <v>341</v>
    <v>Cascais</v>
    <v>4</v>
    <v>5</v>
    <v>Map</v>
    <v>6</v>
    <v>342</v>
    <v>en-US</v>
    <v>801f3743-b86f-872d-3eee-0f62196d454b</v>
    <v>536870912</v>
    <v>1</v>
    <v>2173</v>
    <v>2174</v>
    <v>2175</v>
    <v>Cascais is a town and municipality in the Lisbon District of Portugal, located on the Portuguese Riviera. The municipality has a total of 214,158 inhabitants in an area of 97.40 km². Cascais is an important tourist destination. Its marina hosts ...</v>
    <v>2176</v>
    <v>2177</v>
    <v>Cascais</v>
    <v>2178</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77</v>
    <v>6</v>
    <v>344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131</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132</v>
  </rv>
  <rv s="1">
    <fb>0.227551770073532</fb>
    <v>29</v>
  </rv>
  <rv s="3">
    <v>133</v>
  </rv>
  <rv s="1">
    <fb>0.39799999999999996</fb>
    <v>29</v>
  </rv>
  <rv s="1">
    <fb>6.33400011062622E-2</fb>
    <v>36</v>
  </rv>
  <rv s="1">
    <fb>6753579</fb>
    <v>8</v>
  </rv>
  <rv s="6">
    <v>#VALUE!</v>
    <v>347</v>
    <v>27</v>
    <v>Portugal</v>
    <v>4</v>
    <v>5</v>
    <v>Map</v>
    <v>6</v>
    <v>348</v>
    <v>en-US</v>
    <v>9e917e65-c588-a0b7-f336-52fc6b5b2052</v>
    <v>536870912</v>
    <v>1</v>
    <v>PT</v>
    <v>2180</v>
    <v>2181</v>
    <v>2182</v>
    <v>2183</v>
    <v>2184</v>
    <v>2185</v>
    <v>2186</v>
    <v>2187</v>
    <v>2188</v>
    <v>EUR</v>
    <v>Portugal, officially the Portuguese Republic, is a country in the Iberian Peninsula in Southwestern Europe. Featuring the westernmost point in continental Europe, Portugal borders Spain to its north and east, with which it shares the longest ...</v>
    <v>2189</v>
    <v>2190</v>
    <v>2191</v>
    <v>2192</v>
    <v>2193</v>
    <v>2194</v>
    <v>2195</v>
    <v>2196</v>
    <v>2197</v>
    <v>1397</v>
    <v>2185</v>
    <v>2201</v>
    <v>2202</v>
    <v>2203</v>
    <v>2204</v>
    <v>1185</v>
    <v>2205</v>
    <v>Portugal</v>
    <v>A Portuguesa</v>
    <v>1853</v>
    <v>Portugalská republika</v>
    <v>2206</v>
    <v>2207</v>
    <v>2208</v>
    <v>556</v>
    <v>387</v>
    <v>2209</v>
    <v>140</v>
    <v>1496</v>
    <v>915</v>
    <v>2210</v>
    <v>2211</v>
    <v>2231</v>
    <v>2232</v>
    <v>2233</v>
    <v>2234</v>
    <v>2235</v>
    <v>Portugal</v>
    <v>2236</v>
    <v>mdp/vdpid/193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78</v>
    <v>6</v>
    <v>350</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33</v>
  </rv>
  <rv s="1">
    <fb>295548630000</fb>
    <v>35</v>
  </rv>
  <rv s="3">
    <v>135</v>
  </rv>
  <rv s="1">
    <fb>0.14272576140000001</fb>
    <v>29</v>
  </rv>
  <rv s="1">
    <fb>2.9163999999999999</fb>
    <v>30</v>
  </rv>
  <rv s="1">
    <fb>5457127</fb>
    <v>8</v>
  </rv>
  <rv s="1">
    <fb>0.21600000000000003</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29</v>
  </rv>
  <rv s="1">
    <fb>0.36200000000000004</fb>
    <v>29</v>
  </rv>
  <rv s="1">
    <fb>3.3459999561309801E-2</fb>
    <v>36</v>
  </rv>
  <rv s="1">
    <fb>4418218</fb>
    <v>8</v>
  </rv>
  <rv s="20">
    <v>#VALUE!</v>
    <v>353</v>
    <v>269</v>
    <v>Norway</v>
    <v>4</v>
    <v>5</v>
    <v>Map</v>
    <v>6</v>
    <v>221</v>
    <v>en-US</v>
    <v>51b69cb2-1924-e989-590b-712a7070a30f</v>
    <v>536870912</v>
    <v>1</v>
    <v>NO</v>
    <v>2239</v>
    <v>2240</v>
    <v>2241</v>
    <v>2242</v>
    <v>2243</v>
    <v>2244</v>
    <v>2245</v>
    <v>2246</v>
    <v>2247</v>
    <v>NOK</v>
    <v>Norway, officially the Kingdom of Norway, is a Nordic country located on the Scandinavian Peninsula in Northern Europe. The remote Arctic island of Jan Mayen and the archipelago of Svalbard also form part of the Kingdom of Norway. Bouvet Island, ...</v>
    <v>2248</v>
    <v>1390</v>
    <v>2249</v>
    <v>2250</v>
    <v>2251</v>
    <v>2252</v>
    <v>2253</v>
    <v>2254</v>
    <v>2255</v>
    <v>2256</v>
    <v>2244</v>
    <v>2260</v>
    <v>2261</v>
    <v>2262</v>
    <v>2263</v>
    <v>1574</v>
    <v>Norway</v>
    <v>Ja, vi elsker dette landet</v>
    <v>2264</v>
    <v>Kongeriket Norge</v>
    <v>2265</v>
    <v>2266</v>
    <v>2267</v>
    <v>560</v>
    <v>2268</v>
    <v>769</v>
    <v>415</v>
    <v>2269</v>
    <v>2270</v>
    <v>2271</v>
    <v>2272</v>
    <v>2286</v>
    <v>2287</v>
    <v>1220</v>
    <v>2288</v>
    <v>2289</v>
    <v>Norway</v>
    <v>2290</v>
    <v>mdp/vdpid/177</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79</v>
    <v>6</v>
    <v>355</v>
    <v>7</v>
    <v>0</v>
    <v>Image of Denmark</v>
  </rv>
  <rv s="0">
    <v>805306368</v>
    <v>Frederik X (Monarch)</v>
    <v>665fc785-58e1-6330-943b-e070a89f8231</v>
    <v>en-US</v>
    <v>Generic</v>
  </rv>
  <rv s="0">
    <v>805306368</v>
    <v>Mette Frederiksen (Prime minister)</v>
    <v>080235cf-4453-82c5-a952-a9e6000ac49b</v>
    <v>en-US</v>
    <v>Generic</v>
  </rv>
  <rv s="3">
    <v>137</v>
  </rv>
  <rv s="4">
    <v>https://www.bing.com/search?q=denmark&amp;form=skydnc</v>
    <v>Learn more on Bing</v>
  </rv>
  <rv s="1">
    <fb>80.953658536585394</fb>
    <v>33</v>
  </rv>
  <rv s="1">
    <fb>151349870000</fb>
    <v>35</v>
  </rv>
  <rv s="3">
    <v>138</v>
  </rv>
  <rv s="1">
    <fb>0.13722792379999998</fb>
    <v>29</v>
  </rv>
  <rv s="1">
    <fb>4.0099</fb>
    <v>30</v>
  </rv>
  <rv s="1">
    <fb>5903037</fb>
    <v>8</v>
  </rv>
  <rv s="1">
    <fb>0.24</fb>
    <v>29</v>
  </rv>
  <rv s="1">
    <fb>3.7000000000000005E-2</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139</v>
  </rv>
  <rv s="1">
    <fb>0.32382317837334801</fb>
    <v>29</v>
  </rv>
  <rv s="1">
    <fb>0.23800000000000002</fb>
    <v>29</v>
  </rv>
  <rv s="1">
    <fb>4.9130001068115201E-2</fb>
    <v>36</v>
  </rv>
  <rv s="1">
    <fb>5119978</fb>
    <v>8</v>
  </rv>
  <rv s="20">
    <v>#VALUE!</v>
    <v>358</v>
    <v>269</v>
    <v>Denmark</v>
    <v>4</v>
    <v>5</v>
    <v>Map</v>
    <v>6</v>
    <v>338</v>
    <v>en-US</v>
    <v>95710a2f-c32d-4c03-bec0-7ff079db158d</v>
    <v>536870912</v>
    <v>1</v>
    <v>DK</v>
    <v>2293</v>
    <v>2294</v>
    <v>2295</v>
    <v>2296</v>
    <v>2297</v>
    <v>2298</v>
    <v>2299</v>
    <v>2300</v>
    <v>2301</v>
    <v>DKK</v>
    <v>Denmark is a Nordic country in Northern Europe. It is the metropole and most populous constituent of the Kingdom of Denmark, also known as the Danish Realm, a constitutionally unitary state that includes the autonomous territories of the Faroe ...</v>
    <v>2302</v>
    <v>1835</v>
    <v>2303</v>
    <v>2304</v>
    <v>2305</v>
    <v>2306</v>
    <v>2307</v>
    <v>2308</v>
    <v>2309</v>
    <v>2078</v>
    <v>2298</v>
    <v>2312</v>
    <v>2313</v>
    <v>2314</v>
    <v>2315</v>
    <v>1095</v>
    <v>Denmark</v>
    <v>Der er et yndigt land</v>
    <v>2316</v>
    <v>Kongeriget Danmark</v>
    <v>2317</v>
    <v>2318</v>
    <v>2319</v>
    <v>1191</v>
    <v>2320</v>
    <v>237</v>
    <v>2321</v>
    <v>558</v>
    <v>746</v>
    <v>1104</v>
    <v>2322</v>
    <v>2328</v>
    <v>2329</v>
    <v>1220</v>
    <v>2330</v>
    <v>2331</v>
    <v>Denmark</v>
    <v>2332</v>
    <v>mdp/vdpid/61</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3">
    <v>#VALUE!</v>
    <v>362</v>
    <v>363</v>
    <v>University Park</v>
    <v>365</v>
    <v>366</v>
    <v>Map</v>
    <v>6</v>
    <v>367</v>
    <v>en-US</v>
    <v>2068cf2a-ee80-e172-29f5-b908baa2545b</v>
    <v>536870912</v>
    <v>1</v>
    <v>90</v>
    <v>2335</v>
    <v>2336</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2337</v>
    <v>2338</v>
    <v>2339</v>
    <v>University Park</v>
    <v>University Park</v>
    <v>mdp/vdpid/5486641458586845186</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80</v>
    <v>6</v>
    <v>369</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140</v>
  </rv>
  <rv s="4">
    <v>https://www.bing.com/search?q=mexico&amp;form=skydnc</v>
    <v>Learn more on Bing</v>
  </rv>
  <rv s="1">
    <fb>74.992000000000004</fb>
    <v>33</v>
  </rv>
  <rv s="1">
    <fb>413618820000</fb>
    <v>35</v>
  </rv>
  <rv s="1">
    <fb>33</fb>
    <v>33</v>
  </rv>
  <rv s="1">
    <fb>0.49</fb>
    <v>34</v>
  </rv>
  <rv s="3">
    <v>141</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142</v>
  </rv>
  <rv s="1">
    <fb>0.130829255322402</fb>
    <v>29</v>
  </rv>
  <rv s="3">
    <v>143</v>
  </rv>
  <rv s="1">
    <fb>0.55100000000000005</fb>
    <v>29</v>
  </rv>
  <rv s="1">
    <fb>3.4249999523162801E-2</fb>
    <v>36</v>
  </rv>
  <rv s="1">
    <fb>102626859</fb>
    <v>8</v>
  </rv>
  <rv s="6">
    <v>#VALUE!</v>
    <v>372</v>
    <v>27</v>
    <v>Mexico</v>
    <v>4</v>
    <v>5</v>
    <v>Map</v>
    <v>6</v>
    <v>373</v>
    <v>en-US</v>
    <v>8e475659-4bdc-d912-6494-affce0096bc1</v>
    <v>536870912</v>
    <v>1</v>
    <v>MX</v>
    <v>2342</v>
    <v>2343</v>
    <v>2344</v>
    <v>2345</v>
    <v>2346</v>
    <v>2347</v>
    <v>2348</v>
    <v>2349</v>
    <v>2350</v>
    <v>MXN</v>
    <v>Mexico, officially the United Mexican States, is a country in North America. It borders the United States to the north, and Guatemala and Belize to the southeast; while having maritime boundaries with the Pacific Ocean to the west, the Caribbean ...</v>
    <v>2351</v>
    <v>2352</v>
    <v>2353</v>
    <v>2354</v>
    <v>2355</v>
    <v>2356</v>
    <v>2357</v>
    <v>2358</v>
    <v>2359</v>
    <v>2360</v>
    <v>2347</v>
    <v>2363</v>
    <v>2364</v>
    <v>2365</v>
    <v>2366</v>
    <v>2367</v>
    <v>2368</v>
    <v>Mexico</v>
    <v>Himno Nacional Mexicano</v>
    <v>2369</v>
    <v>Estaos Xuníos Mexicanos</v>
    <v>2370</v>
    <v>2371</v>
    <v>2372</v>
    <v>2373</v>
    <v>2374</v>
    <v>2375</v>
    <v>175</v>
    <v>199</v>
    <v>642</v>
    <v>2376</v>
    <v>2377</v>
    <v>2409</v>
    <v>2410</v>
    <v>2411</v>
    <v>2412</v>
    <v>2413</v>
    <v>Mexico</v>
    <v>2414</v>
    <v>mdp/vdpid/166</v>
  </rv>
  <rv s="0">
    <v>536870912</v>
    <v>Russia</v>
    <v>ed4fce79-8ad4-352b-205b-e4db36c49bbe</v>
    <v>en-US</v>
    <v>Map</v>
  </rv>
  <rv s="1">
    <fb>0.13294470341402198</fb>
    <v>29</v>
  </rv>
  <rv s="1">
    <fb>17075400</fb>
    <v>8</v>
  </rv>
  <rv s="1">
    <fb>1454000</fb>
    <v>8</v>
  </rv>
  <rv s="1">
    <fb>11.5</fb>
    <v>30</v>
  </rv>
  <rv s="1">
    <fb>7</fb>
    <v>31</v>
  </rv>
  <rv s="0">
    <v>536870912</v>
    <v>Moscow</v>
    <v>6bb559e5-6af9-adf8-d8bc-7f999aba8a3a</v>
    <v>en-US</v>
    <v>Map</v>
  </rv>
  <rv s="1">
    <fb>1732026.7760000001</fb>
    <v>8</v>
  </rv>
  <rv s="1">
    <fb>180.74643865422601</fb>
    <v>32</v>
  </rv>
  <rv s="1">
    <fb>4.4703597689969995E-2</fb>
    <v>29</v>
  </rv>
  <rv s="1">
    <fb>6602.6575252928196</fb>
    <v>8</v>
  </rv>
  <rv s="1">
    <fb>1.57</fb>
    <v>30</v>
  </rv>
  <rv s="1">
    <fb>0.49758561923004796</fb>
    <v>29</v>
  </rv>
  <rv s="1">
    <fb>92.142875817828696</fb>
    <v>33</v>
  </rv>
  <rv s="1">
    <fb>0.59</fb>
    <v>34</v>
  </rv>
  <rv s="1">
    <fb>1699876578871.3501</fb>
    <v>35</v>
  </rv>
  <rv s="1">
    <fb>1.0258246</fb>
    <v>29</v>
  </rv>
  <rv s="1">
    <fb>0.81909310000000002</fb>
    <v>29</v>
  </rv>
  <rv s="2">
    <v>81</v>
    <v>6</v>
    <v>375</v>
    <v>7</v>
    <v>0</v>
    <v>Image of Russia</v>
  </rv>
  <rv s="1">
    <fb>6.1</fb>
    <v>33</v>
  </rv>
  <rv s="0">
    <v>805306368</v>
    <v>Vladimir Putin (President)</v>
    <v>60d41b9e-06ae-967b-bcc5-97ad4a13d29c</v>
    <v>en-US</v>
    <v>Generic</v>
  </rv>
  <rv s="0">
    <v>805306368</v>
    <v>Mikhail Mishustin (Prime minister)</v>
    <v>8176b935-a6dc-cfbe-2565-cfb891845a4a</v>
    <v>en-US</v>
    <v>Generic</v>
  </rv>
  <rv s="3">
    <v>144</v>
  </rv>
  <rv s="4">
    <v>https://www.bing.com/search?q=russia&amp;form=skydnc</v>
    <v>Learn more on Bing</v>
  </rv>
  <rv s="1">
    <fb>72.657317073170702</fb>
    <v>33</v>
  </rv>
  <rv s="1">
    <fb>576116340000</fb>
    <v>35</v>
  </rv>
  <rv s="1">
    <fb>0.53</fb>
    <v>34</v>
  </rv>
  <rv s="3">
    <v>145</v>
  </rv>
  <rv s="1">
    <fb>0.36436404289999996</fb>
    <v>29</v>
  </rv>
  <rv s="1">
    <fb>4.0138999999999996</fb>
    <v>30</v>
  </rv>
  <rv s="1">
    <fb>143555736</fb>
    <v>8</v>
  </rv>
  <rv s="1">
    <fb>0.214</fb>
    <v>29</v>
  </rv>
  <rv s="1">
    <fb>0.29899999999999999</fb>
    <v>29</v>
  </rv>
  <rv s="1">
    <fb>0.45100000000000001</fb>
    <v>29</v>
  </rv>
  <rv s="1">
    <fb>0.152</fb>
    <v>29</v>
  </rv>
  <rv s="1">
    <fb>0.61800998687744102</fb>
    <v>29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146</v>
  </rv>
  <rv s="1">
    <fb>0.11384595754929799</fb>
    <v>29</v>
  </rv>
  <rv s="3">
    <v>147</v>
  </rv>
  <rv s="1">
    <fb>0.46200000000000002</fb>
    <v>29</v>
  </rv>
  <rv s="1">
    <fb>4.5850000381469698E-2</fb>
    <v>36</v>
  </rv>
  <rv s="1">
    <fb>107683889</fb>
    <v>8</v>
  </rv>
  <rv s="6">
    <v>#VALUE!</v>
    <v>378</v>
    <v>27</v>
    <v>Russia</v>
    <v>4</v>
    <v>5</v>
    <v>Map</v>
    <v>6</v>
    <v>379</v>
    <v>en-US</v>
    <v>ed4fce79-8ad4-352b-205b-e4db36c49bbe</v>
    <v>536870912</v>
    <v>1</v>
    <v>RU</v>
    <v>2417</v>
    <v>2418</v>
    <v>2419</v>
    <v>2420</v>
    <v>2421</v>
    <v>2422</v>
    <v>2423</v>
    <v>2424</v>
    <v>2425</v>
    <v>RUB</v>
    <v>Russia, or the Russian Federation, is a country spanning Eastern Europe and North Asia. It is the largest country in the world by land area, and extends across eleven time zones; sharing land borders with fourteen countries. Russia is the most ...</v>
    <v>2426</v>
    <v>2427</v>
    <v>2428</v>
    <v>2429</v>
    <v>2430</v>
    <v>2431</v>
    <v>2432</v>
    <v>2433</v>
    <v>2434</v>
    <v>2435</v>
    <v>2422</v>
    <v>2438</v>
    <v>2439</v>
    <v>2440</v>
    <v>2441</v>
    <v>2001</v>
    <v>2442</v>
    <v>Russia</v>
    <v>National anthem of Russia</v>
    <v>2443</v>
    <v>Российская Федерация</v>
    <v>2444</v>
    <v>2445</v>
    <v>2446</v>
    <v>2447</v>
    <v>2448</v>
    <v>2449</v>
    <v>243</v>
    <v>277</v>
    <v>448</v>
    <v>2450</v>
    <v>2451</v>
    <v>2534</v>
    <v>2535</v>
    <v>2536</v>
    <v>2537</v>
    <v>2538</v>
    <v>Russia</v>
    <v>2539</v>
    <v>mdp/vdpid/203</v>
  </rv>
  <rv s="0">
    <v>536870912</v>
    <v>Prague</v>
    <v>a3446df9-1e81-03b1-d08c-0593eead811a</v>
    <v>en-US</v>
    <v>Map</v>
  </rv>
  <rv s="1">
    <fb>496.21</fb>
    <v>8</v>
  </rv>
  <rv s="0">
    <v>536870912</v>
    <v>Austria-Hungary</v>
    <v>09b8630d-3ac1-93e8-a27e-b8a55de26a17</v>
    <v>en-US</v>
    <v>Map</v>
  </rv>
  <rv s="2">
    <v>82</v>
    <v>6</v>
    <v>380</v>
    <v>7</v>
    <v>0</v>
    <v>Image of Prague</v>
  </rv>
  <rv s="0">
    <v>805306368</v>
    <v>Bohuslav Svoboda (Mayor)</v>
    <v>d22dc65d-617c-120b-8290-4e1215938b85</v>
    <v>en-US</v>
    <v>Generic</v>
  </rv>
  <rv s="3">
    <v>148</v>
  </rv>
  <rv s="4">
    <v>https://www.bing.com/search?q=prague+czech+republic&amp;form=skydnc</v>
    <v>Learn more on Bing</v>
  </rv>
  <rv s="1">
    <fb>1357326</fb>
    <v>8</v>
  </rv>
  <rv s="24">
    <v>#VALUE!</v>
    <v>382</v>
    <v>383</v>
    <v>Prague</v>
    <v>4</v>
    <v>5</v>
    <v>Map</v>
    <v>6</v>
    <v>149</v>
    <v>en-US</v>
    <v>a3446df9-1e81-03b1-d08c-0593eead811a</v>
    <v>536870912</v>
    <v>1</v>
    <v>CZ-10</v>
    <v>2542</v>
    <v>2543</v>
    <v>Prague is the capital and largest city of the Czech Republic and the historical capital of Bohemia. Situated on the Vltava river, Prague is home to about 1.4 million people. Prague is a political, cultural, and economic hub of Central Europe, ...</v>
    <v>2544</v>
    <v>2546</v>
    <v>2547</v>
    <v>Prague</v>
    <v>2548</v>
    <v>1068</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83</v>
    <v>6</v>
    <v>385</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149</v>
  </rv>
  <rv s="4">
    <v>https://www.bing.com/search?q=slovakia&amp;form=skydnc</v>
    <v>Learn more on Bing</v>
  </rv>
  <rv s="1">
    <fb>77.165853658536605</fb>
    <v>33</v>
  </rv>
  <rv s="1">
    <fb>4801320000</fb>
    <v>35</v>
  </rv>
  <rv s="1">
    <fb>3.11</fb>
    <v>34</v>
  </rv>
  <rv s="3">
    <v>150</v>
  </rv>
  <rv s="1">
    <fb>0.18443573520000001</fb>
    <v>29</v>
  </rv>
  <rv s="1">
    <fb>3.4156</fb>
    <v>30</v>
  </rv>
  <rv s="1">
    <fb>5431752</fb>
    <v>8</v>
  </rv>
  <rv s="1">
    <fb>0.23199999999999998</fb>
    <v>29</v>
  </rv>
  <rv s="1">
    <fb>8.6999999999999994E-2</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151</v>
  </rv>
  <rv s="1">
    <fb>0.18701973520562698</fb>
    <v>29</v>
  </rv>
  <rv s="1">
    <fb>0.49700000000000005</fb>
    <v>29</v>
  </rv>
  <rv s="1">
    <fb>5.56099987030029E-2</fb>
    <v>36</v>
  </rv>
  <rv s="1">
    <fb>2930419</fb>
    <v>8</v>
  </rv>
  <rv s="6">
    <v>#VALUE!</v>
    <v>388</v>
    <v>27</v>
    <v>Slovakia</v>
    <v>4</v>
    <v>5</v>
    <v>Map</v>
    <v>6</v>
    <v>389</v>
    <v>en-US</v>
    <v>edb4720a-f85f-2ef3-4669-e9de895513b0</v>
    <v>536870912</v>
    <v>1</v>
    <v>SK</v>
    <v>2551</v>
    <v>2552</v>
    <v>2553</v>
    <v>2296</v>
    <v>2554</v>
    <v>2555</v>
    <v>2556</v>
    <v>2557</v>
    <v>2558</v>
    <v>EUR</v>
    <v>Slovakia, officially the Slovak Republic, is a landlocked country in Central Europe. It is bordered by Poland to the north, Ukraine to the east, Hungary to the south, Austria to the west, and the Czech Republic to the northwest. Slovakia's ...</v>
    <v>2559</v>
    <v>1906</v>
    <v>2560</v>
    <v>2561</v>
    <v>2562</v>
    <v>2563</v>
    <v>2564</v>
    <v>2565</v>
    <v>2566</v>
    <v>2567</v>
    <v>2555</v>
    <v>2570</v>
    <v>2571</v>
    <v>2572</v>
    <v>2573</v>
    <v>985</v>
    <v>2574</v>
    <v>Slovakia</v>
    <v>Nad Tatrou sa blýska</v>
    <v>2575</v>
    <v>Slovenská republika</v>
    <v>2576</v>
    <v>2577</v>
    <v>2578</v>
    <v>2579</v>
    <v>1639</v>
    <v>1286</v>
    <v>243</v>
    <v>2580</v>
    <v>554</v>
    <v>2581</v>
    <v>2582</v>
    <v>2591</v>
    <v>2592</v>
    <v>1220</v>
    <v>2593</v>
    <v>2594</v>
    <v>Slovakia</v>
    <v>2595</v>
    <v>mdp/vdpid/143</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84</v>
    <v>6</v>
    <v>391</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152</v>
  </rv>
  <rv s="4">
    <v>https://www.bing.com/search?q=south+korea&amp;form=skydnc</v>
    <v>Learn more on Bing</v>
  </rv>
  <rv s="1">
    <fb>82.626829268292695</fb>
    <v>33</v>
  </rv>
  <rv s="1">
    <fb>1413716510000</fb>
    <v>35</v>
  </rv>
  <rv s="1">
    <fb>6.49</fb>
    <v>34</v>
  </rv>
  <rv s="3">
    <v>153</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154</v>
  </rv>
  <rv s="1">
    <fb>0.15574911728035101</fb>
    <v>29</v>
  </rv>
  <rv s="3">
    <v>155</v>
  </rv>
  <rv s="1">
    <fb>0.33200000000000002</fb>
    <v>29</v>
  </rv>
  <rv s="1">
    <fb>4.1479997634887703E-2</fb>
    <v>36</v>
  </rv>
  <rv s="1">
    <fb>42106719</fb>
    <v>8</v>
  </rv>
  <rv s="6">
    <v>#VALUE!</v>
    <v>395</v>
    <v>27</v>
    <v>South Korea</v>
    <v>4</v>
    <v>5</v>
    <v>Map</v>
    <v>6</v>
    <v>396</v>
    <v>en-US</v>
    <v>c0e15be0-5113-402c-c03f-516a6265e9cb</v>
    <v>536870912</v>
    <v>1</v>
    <v>KR</v>
    <v>2598</v>
    <v>2599</v>
    <v>2600</v>
    <v>2601</v>
    <v>2602</v>
    <v>2603</v>
    <v>2604</v>
    <v>2605</v>
    <v>2606</v>
    <v>KRW</v>
    <v>South Korea, officially the Republic of Korea, is a country in East Asia. It constitutes the southern half of the Korean Peninsula and borders North Korea along the Korean Demilitarized Zone, with the Yellow Sea to the west and the Sea of Japan ...</v>
    <v>2607</v>
    <v>2608</v>
    <v>2609</v>
    <v>2610</v>
    <v>2611</v>
    <v>2612</v>
    <v>2613</v>
    <v>2614</v>
    <v>2615</v>
    <v>2616</v>
    <v>2603</v>
    <v>2621</v>
    <v>2622</v>
    <v>2623</v>
    <v>2624</v>
    <v>2360</v>
    <v>2625</v>
    <v>South Korea</v>
    <v>Aegukga</v>
    <v>2626</v>
    <v>대한민국</v>
    <v>2627</v>
    <v>2628</v>
    <v>2629</v>
    <v>2579</v>
    <v>2330</v>
    <v>2630</v>
    <v>2631</v>
    <v>530</v>
    <v>234</v>
    <v>1322</v>
    <v>2632</v>
    <v>2649</v>
    <v>2650</v>
    <v>2651</v>
    <v>2652</v>
    <v>2653</v>
    <v>South Korea</v>
    <v>2654</v>
    <v>mdp/vdpid/134</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85</v>
    <v>6</v>
    <v>398</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156</v>
  </rv>
  <rv s="4">
    <v>https://www.bing.com/search?q=south+africa&amp;form=skydnc</v>
    <v>Learn more on Bing</v>
  </rv>
  <rv s="1">
    <fb>63.856999999999999</fb>
    <v>33</v>
  </rv>
  <rv s="1">
    <fb>1056341440000</fb>
    <v>35</v>
  </rv>
  <rv s="1">
    <fb>119</fb>
    <v>33</v>
  </rv>
  <rv s="3">
    <v>157</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158</v>
  </rv>
  <rv s="1">
    <fb>0.27465217966612804</fb>
    <v>29</v>
  </rv>
  <rv s="3">
    <v>159</v>
  </rv>
  <rv s="1">
    <fb>0.29199999999999998</fb>
    <v>29</v>
  </rv>
  <rv s="1">
    <fb>0.28180999755859398</fb>
    <v>36</v>
  </rv>
  <rv s="1">
    <fb>39149717</fb>
    <v>8</v>
  </rv>
  <rv s="20">
    <v>#VALUE!</v>
    <v>401</v>
    <v>269</v>
    <v>South Africa</v>
    <v>4</v>
    <v>5</v>
    <v>Map</v>
    <v>6</v>
    <v>402</v>
    <v>en-US</v>
    <v>38a9fd4a-4f7c-6d91-d6dd-4eed3131672d</v>
    <v>536870912</v>
    <v>1</v>
    <v>ZA</v>
    <v>2657</v>
    <v>2658</v>
    <v>2659</v>
    <v>2660</v>
    <v>2661</v>
    <v>2662</v>
    <v>2663</v>
    <v>2664</v>
    <v>2665</v>
    <v>ZAR</v>
    <v>South Africa, officially the Republic of South Africa, is the southernmost country in Africa. Its nine provinces are bounded to the south by 2,798 kilometres of coastline that stretches along the South Atlantic and Indian Ocean; to the north by ...</v>
    <v>2666</v>
    <v>2667</v>
    <v>2668</v>
    <v>2669</v>
    <v>2670</v>
    <v>2671</v>
    <v>2672</v>
    <v>2673</v>
    <v>2674</v>
    <v>2675</v>
    <v>2676</v>
    <v>2679</v>
    <v>2680</v>
    <v>2681</v>
    <v>2682</v>
    <v>2683</v>
    <v>South Africa</v>
    <v>National anthem of South Africa</v>
    <v>2684</v>
    <v>Republic of South Africa</v>
    <v>2685</v>
    <v>2686</v>
    <v>2687</v>
    <v>2210</v>
    <v>2688</v>
    <v>2689</v>
    <v>2690</v>
    <v>386</v>
    <v>668</v>
    <v>823</v>
    <v>2691</v>
    <v>2701</v>
    <v>2702</v>
    <v>2703</v>
    <v>2704</v>
    <v>2705</v>
    <v>South Africa</v>
    <v>2706</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86</v>
    <v>6</v>
    <v>404</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160</v>
  </rv>
  <rv s="4">
    <v>https://www.bing.com/search?q=argentina&amp;form=skydnc</v>
    <v>Learn more on Bing</v>
  </rv>
  <rv s="1">
    <fb>76.52</fb>
    <v>33</v>
  </rv>
  <rv s="1">
    <fb>39393540000</fb>
    <v>35</v>
  </rv>
  <rv s="1">
    <fb>39</fb>
    <v>33</v>
  </rv>
  <rv s="1">
    <fb>3.35</fb>
    <v>34</v>
  </rv>
  <rv s="3">
    <v>161</v>
  </rv>
  <rv s="1">
    <fb>0.17628076140000001</fb>
    <v>29</v>
  </rv>
  <rv s="1">
    <fb>3.96</fb>
    <v>30</v>
  </rv>
  <rv s="1">
    <fb>46234830</fb>
    <v>8</v>
  </rv>
  <rv s="1">
    <fb>0.46500000000000002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162</v>
  </rv>
  <rv s="1">
    <fb>0.10087499305375699</fb>
    <v>29</v>
  </rv>
  <rv s="3">
    <v>163</v>
  </rv>
  <rv s="1">
    <fb>1.0629999999999999</fb>
    <v>29</v>
  </rv>
  <rv s="1">
    <fb>9.7889995574951205E-2</fb>
    <v>36</v>
  </rv>
  <rv s="1">
    <fb>41339571</fb>
    <v>8</v>
  </rv>
  <rv s="6">
    <v>#VALUE!</v>
    <v>407</v>
    <v>27</v>
    <v>Argentina</v>
    <v>4</v>
    <v>5</v>
    <v>Map</v>
    <v>6</v>
    <v>408</v>
    <v>en-US</v>
    <v>87153d87-9bb0-166a-3d56-613bdc274e1b</v>
    <v>536870912</v>
    <v>1</v>
    <v>AR</v>
    <v>2709</v>
    <v>2710</v>
    <v>2711</v>
    <v>2712</v>
    <v>2713</v>
    <v>2714</v>
    <v>2715</v>
    <v>2716</v>
    <v>2717</v>
    <v>ARS</v>
    <v>Argentina, officially the Argentine Republic, is a country in the southern half of South America. It covers an area of 2,780,085 km², making it the second-largest country in South America after Brazil, the fourth-largest country in the Americas, ...</v>
    <v>2718</v>
    <v>2719</v>
    <v>2720</v>
    <v>2721</v>
    <v>2722</v>
    <v>2723</v>
    <v>2724</v>
    <v>2725</v>
    <v>2726</v>
    <v>2727</v>
    <v>2714</v>
    <v>2730</v>
    <v>2731</v>
    <v>2732</v>
    <v>2733</v>
    <v>2734</v>
    <v>2735</v>
    <v>Argentina</v>
    <v>Argentine National Anthem</v>
    <v>2736</v>
    <v>República Argentina</v>
    <v>2737</v>
    <v>2738</v>
    <v>2739</v>
    <v>2579</v>
    <v>2448</v>
    <v>2740</v>
    <v>392</v>
    <v>420</v>
    <v>588</v>
    <v>275</v>
    <v>2741</v>
    <v>2765</v>
    <v>2766</v>
    <v>2767</v>
    <v>2768</v>
    <v>2769</v>
    <v>Argentina</v>
    <v>2770</v>
    <v>mdp/vdpid/11</v>
  </rv>
  <rv s="0">
    <v>536870912</v>
    <v>Miami</v>
    <v>0f9ee715-4425-4f86-a2e6-2fe7befe1ac6</v>
    <v>en-US</v>
    <v>Map</v>
  </rv>
  <rv s="0">
    <v>536870912</v>
    <v>Miami-Dade County, Florida</v>
    <v>011ca011-9462-caa9-fe46-e0bfd960472e</v>
    <v>en-US</v>
    <v>Map</v>
  </rv>
  <rv s="1">
    <fb>145.204218</fb>
    <v>8</v>
  </rv>
  <rv s="2">
    <v>87</v>
    <v>6</v>
    <v>409</v>
    <v>7</v>
    <v>0</v>
    <v>Image of Miami</v>
  </rv>
  <rv s="1">
    <fb>25.783333333333001</fb>
    <v>9</v>
  </rv>
  <rv s="0">
    <v>805306368</v>
    <v>Francis Suarez (Mayor)</v>
    <v>e0123078-942d-04f1-659c-2e1b624aa4bc</v>
    <v>en-US</v>
    <v>Generic</v>
  </rv>
  <rv s="3">
    <v>164</v>
  </rv>
  <rv s="4">
    <v>https://www.bing.com/search?q=miami+florida&amp;form=skydnc</v>
    <v>Learn more on Bing</v>
  </rv>
  <rv s="1">
    <fb>-80.216666666666995</fb>
    <v>9</v>
  </rv>
  <rv s="1">
    <fb>455924</fb>
    <v>8</v>
  </rv>
  <rv s="12">
    <v>#VALUE!</v>
    <v>410</v>
    <v>148</v>
    <v>Miami</v>
    <v>4</v>
    <v>5</v>
    <v>Map</v>
    <v>6</v>
    <v>149</v>
    <v>en-US</v>
    <v>0f9ee715-4425-4f86-a2e6-2fe7befe1ac6</v>
    <v>536870912</v>
    <v>1</v>
    <v>62</v>
    <v>2773</v>
    <v>2774</v>
    <v>148</v>
    <v>Miami is a coastal city in the U.S. state of Florida and the county seat of Miami-Dade County in South Florida. It is the core of the Miami metropolitan area, which, with a population of 6.14 million, is the second-largest metropolitan area in ...</v>
    <v>2775</v>
    <v>2776</v>
    <v>2778</v>
    <v>2779</v>
    <v>2780</v>
    <v>Miami</v>
    <v>2781</v>
    <v>11</v>
    <v>Miami</v>
    <v>mdp/vdpid/5502110112036159489</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11">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75</v>
      <v>75</v>
      <v>16</v>
      <v>75</v>
      <v>75</v>
      <v>75</v>
      <v>76</v>
      <v>75</v>
      <v>16</v>
      <v>75</v>
      <v>16</v>
      <v>77</v>
      <v>75</v>
      <v>16</v>
      <v>16</v>
      <v>16</v>
      <v>16</v>
      <v>77</v>
      <v>16</v>
      <v>16</v>
      <v>16</v>
      <v>16</v>
      <v>16</v>
      <v>16</v>
      <v>16</v>
      <v>16</v>
      <v>16</v>
      <v>77</v>
      <v>16</v>
      <v>16</v>
      <v>16</v>
      <v>16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79</v>
      <v>79</v>
      <v>16</v>
      <v>79</v>
      <v>79</v>
      <v>79</v>
      <v>80</v>
      <v>79</v>
      <v>16</v>
      <v>79</v>
      <v>16</v>
      <v>81</v>
      <v>79</v>
      <v>16</v>
      <v>16</v>
      <v>16</v>
      <v>16</v>
      <v>81</v>
      <v>16</v>
      <v>16</v>
      <v>16</v>
      <v>16</v>
      <v>16</v>
      <v>16</v>
      <v>16</v>
      <v>16</v>
      <v>16</v>
      <v>81</v>
      <v>16</v>
      <v>16</v>
      <v>16</v>
      <v>16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83</v>
      <v>83</v>
      <v>16</v>
      <v>83</v>
      <v>83</v>
      <v>83</v>
      <v>84</v>
      <v>83</v>
      <v>16</v>
      <v>83</v>
      <v>16</v>
      <v>85</v>
      <v>83</v>
      <v>16</v>
      <v>16</v>
      <v>16</v>
      <v>16</v>
      <v>85</v>
      <v>16</v>
      <v>16</v>
      <v>16</v>
      <v>16</v>
      <v>16</v>
      <v>16</v>
      <v>16</v>
      <v>16</v>
      <v>16</v>
      <v>85</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87</v>
      <v>87</v>
      <v>16</v>
      <v>87</v>
      <v>87</v>
      <v>87</v>
      <v>88</v>
      <v>87</v>
      <v>16</v>
      <v>87</v>
      <v>16</v>
      <v>89</v>
      <v>87</v>
      <v>16</v>
      <v>16</v>
      <v>16</v>
      <v>16</v>
      <v>89</v>
      <v>16</v>
      <v>16</v>
      <v>16</v>
      <v>16</v>
      <v>16</v>
      <v>16</v>
      <v>16</v>
      <v>16</v>
      <v>16</v>
      <v>89</v>
      <v>16</v>
      <v>16</v>
      <v>16</v>
      <v>16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91</v>
      <v>91</v>
      <v>16</v>
      <v>91</v>
      <v>91</v>
      <v>91</v>
      <v>92</v>
      <v>91</v>
      <v>16</v>
      <v>91</v>
      <v>16</v>
      <v>93</v>
      <v>91</v>
      <v>16</v>
      <v>16</v>
      <v>16</v>
      <v>16</v>
      <v>93</v>
      <v>16</v>
      <v>16</v>
      <v>16</v>
      <v>16</v>
      <v>16</v>
      <v>16</v>
      <v>16</v>
      <v>16</v>
      <v>16</v>
      <v>93</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95</v>
      <v>95</v>
      <v>16</v>
      <v>95</v>
      <v>95</v>
      <v>95</v>
      <v>96</v>
      <v>95</v>
      <v>16</v>
      <v>95</v>
      <v>16</v>
      <v>97</v>
      <v>95</v>
      <v>16</v>
      <v>16</v>
      <v>16</v>
      <v>16</v>
      <v>97</v>
      <v>16</v>
      <v>16</v>
      <v>16</v>
      <v>16</v>
      <v>16</v>
      <v>16</v>
      <v>16</v>
      <v>16</v>
      <v>16</v>
      <v>97</v>
      <v>16</v>
      <v>16</v>
      <v>16</v>
      <v>16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99</v>
      <v>99</v>
      <v>16</v>
      <v>99</v>
      <v>99</v>
      <v>99</v>
      <v>100</v>
      <v>99</v>
      <v>16</v>
      <v>99</v>
      <v>16</v>
      <v>101</v>
      <v>99</v>
      <v>16</v>
      <v>16</v>
      <v>16</v>
      <v>16</v>
      <v>101</v>
      <v>16</v>
      <v>16</v>
      <v>16</v>
      <v>16</v>
      <v>16</v>
      <v>16</v>
      <v>16</v>
      <v>16</v>
      <v>16</v>
      <v>101</v>
      <v>16</v>
      <v>16</v>
      <v>16</v>
      <v>16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103</v>
      <v>103</v>
      <v>16</v>
      <v>103</v>
      <v>103</v>
      <v>103</v>
      <v>104</v>
      <v>103</v>
      <v>16</v>
      <v>103</v>
      <v>16</v>
      <v>105</v>
      <v>103</v>
      <v>16</v>
      <v>16</v>
      <v>16</v>
      <v>16</v>
      <v>105</v>
      <v>16</v>
      <v>16</v>
      <v>16</v>
      <v>16</v>
      <v>16</v>
      <v>16</v>
      <v>16</v>
      <v>16</v>
      <v>16</v>
      <v>105</v>
      <v>16</v>
      <v>16</v>
      <v>16</v>
      <v>16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107</v>
      <v>107</v>
      <v>16</v>
      <v>107</v>
      <v>107</v>
      <v>107</v>
      <v>108</v>
      <v>107</v>
      <v>16</v>
      <v>107</v>
      <v>16</v>
      <v>109</v>
      <v>107</v>
      <v>16</v>
      <v>16</v>
      <v>16</v>
      <v>16</v>
      <v>109</v>
      <v>16</v>
      <v>16</v>
      <v>16</v>
      <v>16</v>
      <v>16</v>
      <v>16</v>
      <v>16</v>
      <v>16</v>
      <v>16</v>
      <v>109</v>
      <v>16</v>
      <v>16</v>
      <v>16</v>
      <v>16</v>
    </spb>
    <spb s="2">
      <v>5</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112</v>
      <v>112</v>
      <v>16</v>
      <v>112</v>
      <v>112</v>
      <v>112</v>
      <v>113</v>
      <v>112</v>
      <v>16</v>
      <v>112</v>
      <v>16</v>
      <v>114</v>
      <v>112</v>
      <v>16</v>
      <v>16</v>
      <v>16</v>
      <v>16</v>
      <v>114</v>
      <v>16</v>
      <v>16</v>
      <v>16</v>
      <v>16</v>
      <v>16</v>
      <v>16</v>
      <v>16</v>
      <v>16</v>
      <v>16</v>
      <v>114</v>
      <v>16</v>
      <v>16</v>
      <v>16</v>
      <v>16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116</v>
      <v>116</v>
      <v>16</v>
      <v>116</v>
      <v>116</v>
      <v>116</v>
      <v>117</v>
      <v>116</v>
      <v>16</v>
      <v>116</v>
      <v>16</v>
      <v>118</v>
      <v>116</v>
      <v>16</v>
      <v>16</v>
      <v>16</v>
      <v>16</v>
      <v>118</v>
      <v>16</v>
      <v>16</v>
      <v>16</v>
      <v>16</v>
      <v>16</v>
      <v>16</v>
      <v>16</v>
      <v>16</v>
      <v>16</v>
      <v>118</v>
      <v>16</v>
      <v>16</v>
      <v>16</v>
      <v>16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120</v>
      <v>120</v>
      <v>16</v>
      <v>120</v>
      <v>120</v>
      <v>120</v>
      <v>121</v>
      <v>120</v>
      <v>16</v>
      <v>120</v>
      <v>16</v>
      <v>122</v>
      <v>120</v>
      <v>16</v>
      <v>16</v>
      <v>16</v>
      <v>16</v>
      <v>122</v>
      <v>16</v>
      <v>16</v>
      <v>16</v>
      <v>16</v>
      <v>16</v>
      <v>16</v>
      <v>16</v>
      <v>16</v>
      <v>16</v>
      <v>122</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124</v>
      <v>124</v>
      <v>16</v>
      <v>124</v>
      <v>124</v>
      <v>124</v>
      <v>125</v>
      <v>124</v>
      <v>16</v>
      <v>124</v>
      <v>16</v>
      <v>126</v>
      <v>124</v>
      <v>16</v>
      <v>16</v>
      <v>16</v>
      <v>16</v>
      <v>126</v>
      <v>16</v>
      <v>16</v>
      <v>16</v>
      <v>16</v>
      <v>16</v>
      <v>16</v>
      <v>16</v>
      <v>16</v>
      <v>16</v>
      <v>126</v>
      <v>16</v>
      <v>16</v>
      <v>16</v>
      <v>16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128</v>
      <v>128</v>
      <v>16</v>
      <v>128</v>
      <v>128</v>
      <v>128</v>
      <v>129</v>
      <v>128</v>
      <v>16</v>
      <v>128</v>
      <v>16</v>
      <v>130</v>
      <v>128</v>
      <v>16</v>
      <v>16</v>
      <v>16</v>
      <v>16</v>
      <v>130</v>
      <v>16</v>
      <v>16</v>
      <v>16</v>
      <v>16</v>
      <v>16</v>
      <v>16</v>
      <v>16</v>
      <v>16</v>
      <v>16</v>
      <v>130</v>
      <v>16</v>
      <v>16</v>
      <v>16</v>
      <v>16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132</v>
      <v>132</v>
      <v>16</v>
      <v>132</v>
      <v>132</v>
      <v>132</v>
      <v>133</v>
      <v>132</v>
      <v>16</v>
      <v>132</v>
      <v>16</v>
      <v>134</v>
      <v>132</v>
      <v>16</v>
      <v>16</v>
      <v>16</v>
      <v>16</v>
      <v>134</v>
      <v>16</v>
      <v>16</v>
      <v>16</v>
      <v>16</v>
      <v>16</v>
      <v>16</v>
      <v>16</v>
      <v>16</v>
      <v>16</v>
      <v>134</v>
      <v>16</v>
      <v>16</v>
      <v>16</v>
    </spb>
    <spb s="2">
      <v>6</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138</v>
      <v>138</v>
      <v>16</v>
      <v>138</v>
      <v>138</v>
      <v>138</v>
      <v>139</v>
      <v>138</v>
      <v>16</v>
      <v>138</v>
      <v>16</v>
      <v>140</v>
      <v>138</v>
      <v>16</v>
      <v>16</v>
      <v>16</v>
      <v>16</v>
      <v>140</v>
      <v>16</v>
      <v>16</v>
      <v>16</v>
      <v>16</v>
      <v>16</v>
      <v>16</v>
      <v>16</v>
      <v>16</v>
      <v>16</v>
      <v>140</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142</v>
      <v>142</v>
      <v>16</v>
      <v>142</v>
      <v>142</v>
      <v>142</v>
      <v>143</v>
      <v>142</v>
      <v>16</v>
      <v>142</v>
      <v>16</v>
      <v>144</v>
      <v>142</v>
      <v>16</v>
      <v>16</v>
      <v>16</v>
      <v>16</v>
      <v>144</v>
      <v>16</v>
      <v>16</v>
      <v>16</v>
      <v>16</v>
      <v>16</v>
      <v>16</v>
      <v>16</v>
      <v>16</v>
      <v>16</v>
      <v>144</v>
      <v>16</v>
      <v>16</v>
      <v>16</v>
      <v>16</v>
    </spb>
    <spb s="0">
      <v xml:space="preserve">Wikipedia	</v>
      <v xml:space="preserve">CC BY-SA 3.0	</v>
      <v xml:space="preserve">https://en.wikipedia.org/wiki/Chicago	</v>
      <v xml:space="preserve">https://creativecommons.org/licenses/by-sa/3.0	</v>
    </spb>
    <spb s="16">
      <v>146</v>
      <v>146</v>
      <v>146</v>
      <v>146</v>
      <v>146</v>
      <v>146</v>
      <v>146</v>
      <v>146</v>
      <v>146</v>
      <v>146</v>
    </spb>
    <spb s="2">
      <v>7</v>
      <v>Name</v>
      <v>LearnMoreOnLink</v>
    </spb>
    <spb s="7">
      <v>square km</v>
      <v>2023</v>
    </spb>
    <spb s="0">
      <v xml:space="preserve">Wikipedia	</v>
      <v xml:space="preserve">CC BY-SA 3.0	</v>
      <v xml:space="preserve">https://en.wikipedia.org/wiki/Boston	</v>
      <v xml:space="preserve">https://creativecommons.org/licenses/by-sa/3.0	</v>
    </spb>
    <spb s="16">
      <v>150</v>
      <v>150</v>
      <v>150</v>
      <v>150</v>
      <v>150</v>
      <v>150</v>
      <v>150</v>
      <v>150</v>
      <v>150</v>
      <v>150</v>
    </spb>
    <spb s="0">
      <v xml:space="preserve">Wikipedia	</v>
      <v xml:space="preserve">CC BY-SA 3.0	</v>
      <v xml:space="preserve">https://en.wikipedia.org/wiki/Houston	</v>
      <v xml:space="preserve">https://creativecommons.org/licenses/by-sa/3.0	</v>
    </spb>
    <spb s="16">
      <v>152</v>
      <v>152</v>
      <v>152</v>
      <v>152</v>
      <v>152</v>
      <v>152</v>
      <v>152</v>
      <v>152</v>
      <v>152</v>
      <v>152</v>
    </spb>
    <spb s="0">
      <v xml:space="preserve">Wikipedia	</v>
      <v xml:space="preserve">CC BY-SA 3.0	</v>
      <v xml:space="preserve">https://en.wikipedia.org/wiki/Richmond,_Virginia	</v>
      <v xml:space="preserve">https://creativecommons.org/licenses/by-sa/3.0	</v>
    </spb>
    <spb s="1">
      <v>154</v>
      <v>154</v>
      <v>154</v>
      <v>154</v>
      <v>154</v>
      <v>154</v>
      <v>154</v>
      <v>154</v>
      <v>154</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6">
      <v>156</v>
      <v>157</v>
      <v>157</v>
      <v>157</v>
      <v>157</v>
      <v>157</v>
      <v>157</v>
      <v>157</v>
      <v>157</v>
      <v>157</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10</v>
      <v>160</v>
      <v>161</v>
      <v>161</v>
      <v>13</v>
      <v>161</v>
      <v>161</v>
      <v>161</v>
      <v>162</v>
      <v>161</v>
      <v>161</v>
      <v>162</v>
      <v>161</v>
      <v>161</v>
      <v>163</v>
      <v>15</v>
      <v>160</v>
      <v>163</v>
      <v>17</v>
      <v>161</v>
      <v>163</v>
      <v>18</v>
      <v>19</v>
      <v>20</v>
      <v>163</v>
      <v>163</v>
      <v>161</v>
      <v>163</v>
      <v>21</v>
      <v>22</v>
      <v>23</v>
      <v>24</v>
      <v>163</v>
      <v>160</v>
      <v>163</v>
      <v>163</v>
      <v>163</v>
      <v>163</v>
      <v>163</v>
      <v>163</v>
      <v>163</v>
      <v>163</v>
      <v>163</v>
      <v>163</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166</v>
      <v>166</v>
      <v>167</v>
      <v>166</v>
      <v>166</v>
      <v>166</v>
      <v>168</v>
      <v>166</v>
      <v>167</v>
      <v>166</v>
      <v>167</v>
      <v>166</v>
      <v>167</v>
      <v>169</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174</v>
      <v>175</v>
      <v>175</v>
      <v>175</v>
      <v>175</v>
      <v>175</v>
      <v>175</v>
      <v>175</v>
      <v>175</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10</v>
      <v>177</v>
      <v>178</v>
      <v>178</v>
      <v>13</v>
      <v>178</v>
      <v>178</v>
      <v>178</v>
      <v>179</v>
      <v>178</v>
      <v>178</v>
      <v>179</v>
      <v>178</v>
      <v>178</v>
      <v>180</v>
      <v>15</v>
      <v>177</v>
      <v>180</v>
      <v>17</v>
      <v>178</v>
      <v>180</v>
      <v>18</v>
      <v>19</v>
      <v>20</v>
      <v>180</v>
      <v>180</v>
      <v>178</v>
      <v>180</v>
      <v>21</v>
      <v>22</v>
      <v>23</v>
      <v>24</v>
      <v>180</v>
      <v>177</v>
      <v>180</v>
      <v>180</v>
      <v>180</v>
      <v>180</v>
      <v>180</v>
      <v>180</v>
      <v>180</v>
      <v>180</v>
      <v>180</v>
      <v>180</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183</v>
      <v>183</v>
      <v>183</v>
      <v>183</v>
      <v>183</v>
      <v>184</v>
      <v>183</v>
      <v>183</v>
      <v>183</v>
    </spb>
    <spb s="2">
      <v>9</v>
      <v>Name</v>
      <v>LearnMoreOnLink</v>
    </spb>
    <spb s="7">
      <v>square km</v>
      <v>2024</v>
    </spb>
    <spb s="0">
      <v xml:space="preserve">Wikipedia	</v>
      <v xml:space="preserve">CC BY-SA 3.0	</v>
      <v xml:space="preserve">https://en.wikipedia.org/wiki/Reus	</v>
      <v xml:space="preserve">https://creativecommons.org/licenses/by-sa/3.0	</v>
    </spb>
    <spb s="16">
      <v>188</v>
      <v>188</v>
      <v>188</v>
      <v>188</v>
      <v>188</v>
      <v>188</v>
      <v>188</v>
      <v>188</v>
      <v>188</v>
      <v>188</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10</v>
      <v>191</v>
      <v>192</v>
      <v>192</v>
      <v>13</v>
      <v>192</v>
      <v>192</v>
      <v>192</v>
      <v>193</v>
      <v>192</v>
      <v>192</v>
      <v>193</v>
      <v>192</v>
      <v>192</v>
      <v>194</v>
      <v>15</v>
      <v>191</v>
      <v>194</v>
      <v>17</v>
      <v>192</v>
      <v>194</v>
      <v>18</v>
      <v>19</v>
      <v>20</v>
      <v>194</v>
      <v>194</v>
      <v>192</v>
      <v>194</v>
      <v>21</v>
      <v>22</v>
      <v>23</v>
      <v>24</v>
      <v>194</v>
      <v>191</v>
      <v>194</v>
      <v>194</v>
      <v>194</v>
      <v>194</v>
      <v>194</v>
      <v>194</v>
      <v>194</v>
      <v>194</v>
      <v>194</v>
      <v>194</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197</v>
      <v>197</v>
      <v>197</v>
      <v>197</v>
      <v>197</v>
      <v>197</v>
      <v>197</v>
      <v>197</v>
      <v>197</v>
    </spb>
    <spb s="2">
      <v>10</v>
      <v>Name</v>
      <v>LearnMoreOnLink</v>
    </spb>
    <spb s="0">
      <v xml:space="preserve">Wikipedia	</v>
      <v xml:space="preserve">CC BY-SA 3.0	</v>
      <v xml:space="preserve">https://en.wikipedia.org/wiki/Wellesley,_Massachusetts	</v>
      <v xml:space="preserve">https://creativecommons.org/licenses/by-sa/3.0	</v>
    </spb>
    <spb s="16">
      <v>200</v>
      <v>200</v>
      <v>200</v>
      <v>200</v>
      <v>200</v>
      <v>200</v>
      <v>200</v>
      <v>200</v>
      <v>200</v>
      <v>200</v>
    </spb>
    <spb s="2">
      <v>11</v>
      <v>Name</v>
      <v>LearnMoreOnLink</v>
    </spb>
    <spb s="0">
      <v xml:space="preserve">Wikipedia	</v>
      <v xml:space="preserve">CC BY-SA 3.0	</v>
      <v xml:space="preserve">https://en.wikipedia.org/wiki/Paris	</v>
      <v xml:space="preserve">https://creativecommons.org/licenses/by-sa/3.0	</v>
    </spb>
    <spb s="16">
      <v>203</v>
      <v>203</v>
      <v>203</v>
      <v>203</v>
      <v>203</v>
      <v>203</v>
      <v>203</v>
      <v>203</v>
      <v>203</v>
      <v>203</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10</v>
      <v>206</v>
      <v>207</v>
      <v>207</v>
      <v>13</v>
      <v>207</v>
      <v>207</v>
      <v>207</v>
      <v>208</v>
      <v>207</v>
      <v>207</v>
      <v>208</v>
      <v>207</v>
      <v>207</v>
      <v>209</v>
      <v>15</v>
      <v>206</v>
      <v>209</v>
      <v>17</v>
      <v>207</v>
      <v>209</v>
      <v>18</v>
      <v>19</v>
      <v>20</v>
      <v>209</v>
      <v>209</v>
      <v>207</v>
      <v>209</v>
      <v>21</v>
      <v>22</v>
      <v>23</v>
      <v>24</v>
      <v>209</v>
      <v>206</v>
      <v>209</v>
      <v>209</v>
      <v>209</v>
      <v>209</v>
      <v>209</v>
      <v>209</v>
      <v>209</v>
      <v>209</v>
      <v>209</v>
      <v>209</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6">
      <v>212</v>
      <v>212</v>
      <v>212</v>
      <v>212</v>
      <v>212</v>
      <v>212</v>
      <v>212</v>
      <v>212</v>
      <v>212</v>
      <v>212</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10</v>
      <v>216</v>
      <v>217</v>
      <v>217</v>
      <v>13</v>
      <v>217</v>
      <v>217</v>
      <v>217</v>
      <v>218</v>
      <v>217</v>
      <v>217</v>
      <v>218</v>
      <v>217</v>
      <v>217</v>
      <v>219</v>
      <v>15</v>
      <v>216</v>
      <v>219</v>
      <v>17</v>
      <v>217</v>
      <v>219</v>
      <v>18</v>
      <v>19</v>
      <v>20</v>
      <v>219</v>
      <v>219</v>
      <v>217</v>
      <v>219</v>
      <v>21</v>
      <v>22</v>
      <v>23</v>
      <v>24</v>
      <v>219</v>
      <v>216</v>
      <v>219</v>
      <v>219</v>
      <v>219</v>
      <v>219</v>
      <v>219</v>
      <v>219</v>
      <v>219</v>
      <v>219</v>
      <v>219</v>
      <v>219</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10</v>
      <v>222</v>
      <v>223</v>
      <v>223</v>
      <v>13</v>
      <v>223</v>
      <v>223</v>
      <v>223</v>
      <v>224</v>
      <v>223</v>
      <v>223</v>
      <v>224</v>
      <v>223</v>
      <v>223</v>
      <v>225</v>
      <v>15</v>
      <v>222</v>
      <v>225</v>
      <v>17</v>
      <v>223</v>
      <v>225</v>
      <v>18</v>
      <v>19</v>
      <v>20</v>
      <v>225</v>
      <v>225</v>
      <v>223</v>
      <v>225</v>
      <v>21</v>
      <v>22</v>
      <v>23</v>
      <v>24</v>
      <v>225</v>
      <v>222</v>
      <v>225</v>
      <v>225</v>
      <v>225</v>
      <v>225</v>
      <v>225</v>
      <v>225</v>
      <v>225</v>
      <v>225</v>
      <v>225</v>
      <v>225</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https://en.wikipedia.org/wiki/Barcelona	</v>
      <v xml:space="preserve">https://creativecommons.org/licenses/by-sa/3.0	</v>
    </spb>
    <spb s="1">
      <v>228</v>
      <v>228</v>
      <v>228</v>
      <v>228</v>
      <v>228</v>
      <v>228</v>
      <v>228</v>
      <v>228</v>
      <v>228</v>
    </spb>
    <spb s="0">
      <v xml:space="preserve">Wikipedia	</v>
      <v xml:space="preserve">CC BY-SA 3.0	</v>
      <v xml:space="preserve">https://en.wikipedia.org/wiki/Poughkeepsie,_New_York	</v>
      <v xml:space="preserve">https://creativecommons.org/licenses/by-sa/3.0	</v>
    </spb>
    <spb s="16">
      <v>230</v>
      <v>230</v>
      <v>230</v>
      <v>230</v>
      <v>230</v>
      <v>230</v>
      <v>230</v>
      <v>230</v>
      <v>230</v>
      <v>230</v>
    </spb>
    <spb s="0">
      <v xml:space="preserve">Wikipedia	</v>
      <v xml:space="preserve">CC BY-SA 3.0	</v>
      <v xml:space="preserve">https://en.wikipedia.org/wiki/Hanover	</v>
      <v xml:space="preserve">https://creativecommons.org/licenses/by-sa/3.0	</v>
    </spb>
    <spb s="16">
      <v>232</v>
      <v>232</v>
      <v>232</v>
      <v>232</v>
      <v>232</v>
      <v>232</v>
      <v>232</v>
      <v>232</v>
      <v>232</v>
      <v>232</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10</v>
      <v>235</v>
      <v>236</v>
      <v>236</v>
      <v>13</v>
      <v>236</v>
      <v>236</v>
      <v>236</v>
      <v>237</v>
      <v>236</v>
      <v>236</v>
      <v>237</v>
      <v>236</v>
      <v>236</v>
      <v>238</v>
      <v>15</v>
      <v>235</v>
      <v>238</v>
      <v>17</v>
      <v>236</v>
      <v>238</v>
      <v>18</v>
      <v>19</v>
      <v>20</v>
      <v>238</v>
      <v>238</v>
      <v>236</v>
      <v>238</v>
      <v>21</v>
      <v>22</v>
      <v>23</v>
      <v>24</v>
      <v>238</v>
      <v>235</v>
      <v>238</v>
      <v>238</v>
      <v>238</v>
      <v>238</v>
      <v>238</v>
      <v>238</v>
      <v>238</v>
      <v>238</v>
      <v>238</v>
      <v>238</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241</v>
      <v>241</v>
      <v>242</v>
      <v>241</v>
      <v>241</v>
      <v>241</v>
      <v>243</v>
      <v>242</v>
      <v>241</v>
      <v>242</v>
    </spb>
    <spb s="2">
      <v>13</v>
      <v>Name</v>
      <v>LearnMoreOnLink</v>
    </spb>
    <spb s="22">
      <v>square km</v>
      <v>2011</v>
      <v>2022</v>
      <v>2011</v>
      <v>2011</v>
    </spb>
    <spb s="0">
      <v xml:space="preserve">Wikipedia	</v>
      <v xml:space="preserve">CC BY-SA 3.0	</v>
      <v xml:space="preserve">https://en.wikipedia.org/wiki/Lewiston,_Maine	</v>
      <v xml:space="preserve">https://creativecommons.org/licenses/by-sa/3.0	</v>
    </spb>
    <spb s="16">
      <v>247</v>
      <v>247</v>
      <v>247</v>
      <v>247</v>
      <v>247</v>
      <v>247</v>
      <v>247</v>
      <v>247</v>
      <v>247</v>
      <v>247</v>
    </spb>
    <spb s="0">
      <v xml:space="preserve">Wikipedia	</v>
      <v xml:space="preserve">CC BY-SA 3.0	</v>
      <v xml:space="preserve">https://en.wikipedia.org/wiki/College_Station,_Texas	</v>
      <v xml:space="preserve">https://creativecommons.org/licenses/by-sa/3.0	</v>
    </spb>
    <spb s="16">
      <v>249</v>
      <v>249</v>
      <v>249</v>
      <v>249</v>
      <v>249</v>
      <v>249</v>
      <v>249</v>
      <v>249</v>
      <v>249</v>
      <v>249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10</v>
      <v>251</v>
      <v>252</v>
      <v>252</v>
      <v>13</v>
      <v>252</v>
      <v>252</v>
      <v>252</v>
      <v>253</v>
      <v>252</v>
      <v>252</v>
      <v>253</v>
      <v>252</v>
      <v>252</v>
      <v>254</v>
      <v>15</v>
      <v>251</v>
      <v>254</v>
      <v>17</v>
      <v>252</v>
      <v>254</v>
      <v>18</v>
      <v>19</v>
      <v>20</v>
      <v>254</v>
      <v>254</v>
      <v>252</v>
      <v>254</v>
      <v>21</v>
      <v>22</v>
      <v>23</v>
      <v>24</v>
      <v>254</v>
      <v>251</v>
      <v>254</v>
      <v>254</v>
      <v>254</v>
      <v>254</v>
      <v>254</v>
      <v>254</v>
      <v>254</v>
      <v>254</v>
      <v>254</v>
      <v>254</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257</v>
      <v>257</v>
      <v>257</v>
      <v>257</v>
      <v>257</v>
      <v>257</v>
      <v>257</v>
      <v>257</v>
      <v>257</v>
    </spb>
    <spb s="2">
      <v>14</v>
      <v>Name</v>
      <v>LearnMoreOnLink</v>
    </spb>
    <spb s="0">
      <v xml:space="preserve">Wikipedia	</v>
      <v xml:space="preserve">CC BY-SA 3.0	</v>
      <v xml:space="preserve">https://en.wikipedia.org/wiki/Montreal	</v>
      <v xml:space="preserve">https://creativecommons.org/licenses/by-sa/3.0	</v>
    </spb>
    <spb s="1">
      <v>260</v>
      <v>260</v>
      <v>260</v>
      <v>260</v>
      <v>260</v>
      <v>260</v>
      <v>260</v>
      <v>260</v>
      <v>260</v>
    </spb>
    <spb s="0">
      <v xml:space="preserve">Wikipedia	</v>
      <v xml:space="preserve">CC BY-SA 3.0	</v>
      <v xml:space="preserve">https://en.wikipedia.org/wiki/Albany,_New_York	</v>
      <v xml:space="preserve">https://creativecommons.org/licenses/by-sa/3.0	</v>
    </spb>
    <spb s="16">
      <v>262</v>
      <v>262</v>
      <v>262</v>
      <v>262</v>
      <v>262</v>
      <v>262</v>
      <v>262</v>
      <v>262</v>
      <v>262</v>
      <v>262</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10</v>
      <v>264</v>
      <v>265</v>
      <v>265</v>
      <v>13</v>
      <v>265</v>
      <v>265</v>
      <v>265</v>
      <v>266</v>
      <v>265</v>
      <v>265</v>
      <v>265</v>
      <v>265</v>
      <v>267</v>
      <v>15</v>
      <v>264</v>
      <v>267</v>
      <v>17</v>
      <v>265</v>
      <v>267</v>
      <v>18</v>
      <v>19</v>
      <v>20</v>
      <v>267</v>
      <v>267</v>
      <v>265</v>
      <v>267</v>
      <v>21</v>
      <v>22</v>
      <v>23</v>
      <v>24</v>
      <v>267</v>
      <v>264</v>
      <v>267</v>
      <v>267</v>
      <v>267</v>
      <v>267</v>
      <v>267</v>
      <v>267</v>
      <v>267</v>
      <v>267</v>
      <v>267</v>
      <v>267</v>
      <v>25</v>
    </spb>
    <spb s="2">
      <v>15</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10</v>
      <v>271</v>
      <v>272</v>
      <v>272</v>
      <v>13</v>
      <v>272</v>
      <v>272</v>
      <v>272</v>
      <v>273</v>
      <v>272</v>
      <v>272</v>
      <v>273</v>
      <v>272</v>
      <v>272</v>
      <v>274</v>
      <v>15</v>
      <v>271</v>
      <v>274</v>
      <v>17</v>
      <v>272</v>
      <v>274</v>
      <v>18</v>
      <v>19</v>
      <v>20</v>
      <v>274</v>
      <v>274</v>
      <v>272</v>
      <v>274</v>
      <v>21</v>
      <v>22</v>
      <v>23</v>
      <v>24</v>
      <v>274</v>
      <v>271</v>
      <v>274</v>
      <v>274</v>
      <v>274</v>
      <v>274</v>
      <v>274</v>
      <v>274</v>
      <v>274</v>
      <v>274</v>
      <v>274</v>
      <v>274</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6">
      <v>277</v>
      <v>277</v>
      <v>277</v>
      <v>277</v>
      <v>277</v>
      <v>277</v>
      <v>277</v>
      <v>277</v>
      <v>277</v>
      <v>277</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6">
      <v>279</v>
      <v>280</v>
      <v>280</v>
      <v>280</v>
      <v>280</v>
      <v>280</v>
      <v>280</v>
      <v>280</v>
      <v>280</v>
      <v>280</v>
    </spb>
    <spb s="0">
      <v xml:space="preserve">Wikipedia	</v>
      <v xml:space="preserve">CC BY-SA 3.0	</v>
      <v xml:space="preserve">https://en.wikipedia.org/wiki/Grinnell,_Iowa	</v>
      <v xml:space="preserve">https://creativecommons.org/licenses/by-sa/3.0	</v>
    </spb>
    <spb s="16">
      <v>282</v>
      <v>282</v>
      <v>282</v>
      <v>282</v>
      <v>282</v>
      <v>282</v>
      <v>282</v>
      <v>282</v>
      <v>282</v>
      <v>282</v>
    </spb>
    <spb s="0">
      <v xml:space="preserve">Wikipedia	</v>
      <v xml:space="preserve">CC BY-SA 3.0	</v>
      <v xml:space="preserve">https://en.wikipedia.org/wiki/Portland,_Oregon	</v>
      <v xml:space="preserve">https://creativecommons.org/licenses/by-sa/3.0	</v>
    </spb>
    <spb s="16">
      <v>284</v>
      <v>284</v>
      <v>284</v>
      <v>284</v>
      <v>284</v>
      <v>284</v>
      <v>284</v>
      <v>284</v>
      <v>284</v>
      <v>284</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10</v>
      <v>286</v>
      <v>287</v>
      <v>287</v>
      <v>13</v>
      <v>287</v>
      <v>287</v>
      <v>287</v>
      <v>288</v>
      <v>287</v>
      <v>287</v>
      <v>287</v>
      <v>287</v>
      <v>289</v>
      <v>15</v>
      <v>286</v>
      <v>289</v>
      <v>17</v>
      <v>287</v>
      <v>289</v>
      <v>18</v>
      <v>19</v>
      <v>20</v>
      <v>289</v>
      <v>289</v>
      <v>287</v>
      <v>289</v>
      <v>21</v>
      <v>22</v>
      <v>23</v>
      <v>24</v>
      <v>289</v>
      <v>286</v>
      <v>289</v>
      <v>289</v>
      <v>289</v>
      <v>289</v>
      <v>289</v>
      <v>289</v>
      <v>289</v>
      <v>289</v>
      <v>289</v>
      <v>289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292</v>
      <v>292</v>
      <v>292</v>
      <v>292</v>
      <v>292</v>
      <v>292</v>
      <v>292</v>
      <v>292</v>
      <v>292</v>
    </spb>
    <spb s="0">
      <v xml:space="preserve">Wikipedia	</v>
      <v xml:space="preserve">CC BY-SA 3.0	</v>
      <v xml:space="preserve">https://en.wikipedia.org/wiki/Waterville,_Maine	</v>
      <v xml:space="preserve">https://creativecommons.org/licenses/by-sa/3.0	</v>
    </spb>
    <spb s="16">
      <v>294</v>
      <v>294</v>
      <v>294</v>
      <v>294</v>
      <v>294</v>
      <v>294</v>
      <v>294</v>
      <v>294</v>
      <v>294</v>
      <v>294</v>
    </spb>
    <spb s="0">
      <v xml:space="preserve">Wikipedia	</v>
      <v xml:space="preserve">CC BY-SA 3.0	</v>
      <v xml:space="preserve">https://en.wikipedia.org/wiki/Indianapolis	</v>
      <v xml:space="preserve">https://creativecommons.org/licenses/by-sa/3.0	</v>
    </spb>
    <spb s="16">
      <v>296</v>
      <v>296</v>
      <v>296</v>
      <v>296</v>
      <v>296</v>
      <v>296</v>
      <v>296</v>
      <v>296</v>
      <v>296</v>
      <v>296</v>
    </spb>
    <spb s="0">
      <v xml:space="preserve">Wikipedia	</v>
      <v xml:space="preserve">CC BY-SA 3.0	</v>
      <v xml:space="preserve">https://en.wikipedia.org/wiki/Miane	</v>
      <v xml:space="preserve">https://creativecommons.org/licenses/by-sa/3.0	</v>
    </spb>
    <spb s="1">
      <v>298</v>
      <v>298</v>
      <v>298</v>
      <v>298</v>
      <v>298</v>
      <v>298</v>
      <v>298</v>
      <v>298</v>
      <v>298</v>
    </spb>
    <spb s="2">
      <v>16</v>
      <v>Name</v>
      <v>LearnMoreOnLink</v>
    </spb>
    <spb s="24">
      <v>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10</v>
      <v>302</v>
      <v>303</v>
      <v>303</v>
      <v>13</v>
      <v>303</v>
      <v>303</v>
      <v>303</v>
      <v>304</v>
      <v>303</v>
      <v>303</v>
      <v>304</v>
      <v>303</v>
      <v>303</v>
      <v>305</v>
      <v>15</v>
      <v>302</v>
      <v>305</v>
      <v>17</v>
      <v>303</v>
      <v>305</v>
      <v>18</v>
      <v>19</v>
      <v>20</v>
      <v>305</v>
      <v>305</v>
      <v>303</v>
      <v>305</v>
      <v>21</v>
      <v>22</v>
      <v>23</v>
      <v>24</v>
      <v>305</v>
      <v>302</v>
      <v>305</v>
      <v>305</v>
      <v>305</v>
      <v>305</v>
      <v>305</v>
      <v>305</v>
      <v>305</v>
      <v>305</v>
      <v>305</v>
      <v>305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10</v>
      <v>308</v>
      <v>309</v>
      <v>309</v>
      <v>13</v>
      <v>309</v>
      <v>309</v>
      <v>309</v>
      <v>310</v>
      <v>309</v>
      <v>309</v>
      <v>309</v>
      <v>309</v>
      <v>311</v>
      <v>15</v>
      <v>308</v>
      <v>311</v>
      <v>17</v>
      <v>309</v>
      <v>311</v>
      <v>18</v>
      <v>19</v>
      <v>20</v>
      <v>311</v>
      <v>311</v>
      <v>309</v>
      <v>311</v>
      <v>21</v>
      <v>22</v>
      <v>23</v>
      <v>24</v>
      <v>311</v>
      <v>308</v>
      <v>311</v>
      <v>311</v>
      <v>311</v>
      <v>311</v>
      <v>311</v>
      <v>311</v>
      <v>311</v>
      <v>311</v>
      <v>311</v>
      <v>311</v>
      <v>25</v>
    </spb>
    <spb s="0">
      <v xml:space="preserve">Wikipedia	</v>
      <v xml:space="preserve">CC BY-SA 3.0	</v>
      <v xml:space="preserve">https://en.wikipedia.org/wiki/Pittsburgh	</v>
      <v xml:space="preserve">https://creativecommons.org/licenses/by-sa/3.0	</v>
    </spb>
    <spb s="16">
      <v>313</v>
      <v>313</v>
      <v>313</v>
      <v>313</v>
      <v>313</v>
      <v>313</v>
      <v>313</v>
      <v>313</v>
      <v>313</v>
      <v>313</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10</v>
      <v>315</v>
      <v>316</v>
      <v>316</v>
      <v>13</v>
      <v>316</v>
      <v>316</v>
      <v>316</v>
      <v>317</v>
      <v>316</v>
      <v>316</v>
      <v>317</v>
      <v>316</v>
      <v>316</v>
      <v>318</v>
      <v>15</v>
      <v>315</v>
      <v>318</v>
      <v>17</v>
      <v>316</v>
      <v>318</v>
      <v>18</v>
      <v>19</v>
      <v>20</v>
      <v>318</v>
      <v>318</v>
      <v>316</v>
      <v>318</v>
      <v>21</v>
      <v>22</v>
      <v>23</v>
      <v>24</v>
      <v>318</v>
      <v>315</v>
      <v>318</v>
      <v>318</v>
      <v>318</v>
      <v>318</v>
      <v>318</v>
      <v>318</v>
      <v>318</v>
      <v>318</v>
      <v>318</v>
      <v>318</v>
      <v>25</v>
    </spb>
    <spb s="10">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https://en.wikipedia.org/wiki/Toulouse	</v>
      <v xml:space="preserve">https://creativecommons.org/licenses/by-sa/3.0	</v>
    </spb>
    <spb s="16">
      <v>321</v>
      <v>321</v>
      <v>321</v>
      <v>321</v>
      <v>321</v>
      <v>321</v>
      <v>321</v>
      <v>321</v>
      <v>321</v>
      <v>321</v>
    </spb>
    <spb s="0">
      <v xml:space="preserve">Wikipedia	</v>
      <v xml:space="preserve">CC BY-SA 3.0	</v>
      <v xml:space="preserve">https://en.wikipedia.org/wiki/Getafe	</v>
      <v xml:space="preserve">https://creativecommons.org/licenses/by-sa/3.0	</v>
    </spb>
    <spb s="1">
      <v>323</v>
      <v>323</v>
      <v>323</v>
      <v>323</v>
      <v>323</v>
      <v>323</v>
      <v>323</v>
      <v>323</v>
      <v>323</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10</v>
      <v>325</v>
      <v>326</v>
      <v>326</v>
      <v>13</v>
      <v>326</v>
      <v>326</v>
      <v>326</v>
      <v>327</v>
      <v>326</v>
      <v>326</v>
      <v>327</v>
      <v>326</v>
      <v>326</v>
      <v>328</v>
      <v>15</v>
      <v>325</v>
      <v>328</v>
      <v>17</v>
      <v>326</v>
      <v>328</v>
      <v>18</v>
      <v>19</v>
      <v>20</v>
      <v>328</v>
      <v>328</v>
      <v>326</v>
      <v>328</v>
      <v>21</v>
      <v>22</v>
      <v>23</v>
      <v>24</v>
      <v>328</v>
      <v>325</v>
      <v>328</v>
      <v>328</v>
      <v>328</v>
      <v>328</v>
      <v>328</v>
      <v>328</v>
      <v>328</v>
      <v>328</v>
      <v>328</v>
      <v>328</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331</v>
      <v>331</v>
      <v>331</v>
      <v>331</v>
      <v>331</v>
      <v>331</v>
      <v>331</v>
      <v>331</v>
      <v>331</v>
      <v>331</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10</v>
      <v>333</v>
      <v>334</v>
      <v>334</v>
      <v>13</v>
      <v>334</v>
      <v>334</v>
      <v>334</v>
      <v>335</v>
      <v>334</v>
      <v>334</v>
      <v>334</v>
      <v>334</v>
      <v>336</v>
      <v>15</v>
      <v>333</v>
      <v>336</v>
      <v>17</v>
      <v>334</v>
      <v>336</v>
      <v>18</v>
      <v>19</v>
      <v>20</v>
      <v>336</v>
      <v>336</v>
      <v>334</v>
      <v>336</v>
      <v>21</v>
      <v>22</v>
      <v>23</v>
      <v>24</v>
      <v>336</v>
      <v>333</v>
      <v>336</v>
      <v>336</v>
      <v>336</v>
      <v>336</v>
      <v>336</v>
      <v>336</v>
      <v>336</v>
      <v>336</v>
      <v>336</v>
      <v>336</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5">
      <v>339</v>
      <v>339</v>
      <v>339</v>
      <v>339</v>
      <v>339</v>
      <v>339</v>
      <v>339</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10</v>
      <v>343</v>
      <v>344</v>
      <v>344</v>
      <v>13</v>
      <v>344</v>
      <v>344</v>
      <v>344</v>
      <v>345</v>
      <v>344</v>
      <v>344</v>
      <v>345</v>
      <v>344</v>
      <v>344</v>
      <v>346</v>
      <v>15</v>
      <v>343</v>
      <v>346</v>
      <v>17</v>
      <v>344</v>
      <v>346</v>
      <v>18</v>
      <v>19</v>
      <v>20</v>
      <v>346</v>
      <v>346</v>
      <v>344</v>
      <v>346</v>
      <v>21</v>
      <v>22</v>
      <v>23</v>
      <v>24</v>
      <v>346</v>
      <v>343</v>
      <v>346</v>
      <v>346</v>
      <v>346</v>
      <v>346</v>
      <v>346</v>
      <v>346</v>
      <v>346</v>
      <v>346</v>
      <v>346</v>
      <v>346</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10</v>
      <v>349</v>
      <v>350</v>
      <v>350</v>
      <v>13</v>
      <v>350</v>
      <v>350</v>
      <v>350</v>
      <v>351</v>
      <v>350</v>
      <v>350</v>
      <v>350</v>
      <v>350</v>
      <v>352</v>
      <v>15</v>
      <v>349</v>
      <v>352</v>
      <v>17</v>
      <v>350</v>
      <v>352</v>
      <v>18</v>
      <v>19</v>
      <v>20</v>
      <v>352</v>
      <v>352</v>
      <v>350</v>
      <v>352</v>
      <v>21</v>
      <v>22</v>
      <v>23</v>
      <v>24</v>
      <v>352</v>
      <v>349</v>
      <v>352</v>
      <v>352</v>
      <v>352</v>
      <v>352</v>
      <v>352</v>
      <v>352</v>
      <v>352</v>
      <v>352</v>
      <v>352</v>
      <v>352</v>
      <v>25</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10</v>
      <v>354</v>
      <v>355</v>
      <v>355</v>
      <v>13</v>
      <v>355</v>
      <v>355</v>
      <v>355</v>
      <v>356</v>
      <v>355</v>
      <v>355</v>
      <v>355</v>
      <v>355</v>
      <v>357</v>
      <v>15</v>
      <v>354</v>
      <v>357</v>
      <v>17</v>
      <v>355</v>
      <v>357</v>
      <v>18</v>
      <v>19</v>
      <v>20</v>
      <v>357</v>
      <v>357</v>
      <v>355</v>
      <v>357</v>
      <v>21</v>
      <v>22</v>
      <v>23</v>
      <v>24</v>
      <v>357</v>
      <v>354</v>
      <v>357</v>
      <v>357</v>
      <v>357</v>
      <v>357</v>
      <v>357</v>
      <v>357</v>
      <v>357</v>
      <v>357</v>
      <v>357</v>
      <v>357</v>
      <v>25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6">
      <v>359</v>
      <v>360</v>
      <v>361</v>
      <v>361</v>
      <v>360</v>
      <v>359</v>
      <v>361</v>
      <v>361</v>
      <v>361</v>
    </spb>
    <spb s="2">
      <v>18</v>
      <v>Name</v>
      <v>LearnMoreOnLink</v>
    </spb>
    <spb s="27">
      <v>0</v>
      <v>0</v>
    </spb>
    <spb s="28">
      <v>3</v>
      <v>3</v>
      <v>364</v>
      <v>3</v>
    </spb>
    <spb s="29">
      <v>1</v>
      <v>15</v>
    </spb>
    <spb s="30">
      <v>square km</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10</v>
      <v>368</v>
      <v>369</v>
      <v>369</v>
      <v>13</v>
      <v>369</v>
      <v>369</v>
      <v>369</v>
      <v>370</v>
      <v>369</v>
      <v>369</v>
      <v>370</v>
      <v>369</v>
      <v>369</v>
      <v>371</v>
      <v>15</v>
      <v>368</v>
      <v>371</v>
      <v>17</v>
      <v>369</v>
      <v>371</v>
      <v>18</v>
      <v>19</v>
      <v>20</v>
      <v>371</v>
      <v>371</v>
      <v>369</v>
      <v>371</v>
      <v>21</v>
      <v>22</v>
      <v>23</v>
      <v>24</v>
      <v>371</v>
      <v>368</v>
      <v>371</v>
      <v>371</v>
      <v>371</v>
      <v>371</v>
      <v>371</v>
      <v>371</v>
      <v>371</v>
      <v>371</v>
      <v>371</v>
      <v>371</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10</v>
      <v>374</v>
      <v>375</v>
      <v>375</v>
      <v>13</v>
      <v>375</v>
      <v>375</v>
      <v>375</v>
      <v>376</v>
      <v>375</v>
      <v>375</v>
      <v>376</v>
      <v>375</v>
      <v>375</v>
      <v>377</v>
      <v>15</v>
      <v>374</v>
      <v>377</v>
      <v>17</v>
      <v>375</v>
      <v>377</v>
      <v>18</v>
      <v>19</v>
      <v>20</v>
      <v>377</v>
      <v>377</v>
      <v>375</v>
      <v>377</v>
      <v>21</v>
      <v>22</v>
      <v>23</v>
      <v>24</v>
      <v>377</v>
      <v>374</v>
      <v>377</v>
      <v>377</v>
      <v>377</v>
      <v>377</v>
      <v>377</v>
      <v>377</v>
      <v>377</v>
      <v>377</v>
      <v>377</v>
      <v>377</v>
      <v>25</v>
    </spb>
    <spb s="10">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1">
      <v>380</v>
      <v>380</v>
      <v>380</v>
      <v>380</v>
      <v>380</v>
      <v>381</v>
      <v>380</v>
    </spb>
    <spb s="2">
      <v>19</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10</v>
      <v>384</v>
      <v>385</v>
      <v>385</v>
      <v>13</v>
      <v>385</v>
      <v>385</v>
      <v>385</v>
      <v>386</v>
      <v>385</v>
      <v>385</v>
      <v>386</v>
      <v>385</v>
      <v>385</v>
      <v>387</v>
      <v>15</v>
      <v>384</v>
      <v>387</v>
      <v>17</v>
      <v>385</v>
      <v>387</v>
      <v>18</v>
      <v>19</v>
      <v>20</v>
      <v>387</v>
      <v>387</v>
      <v>385</v>
      <v>387</v>
      <v>21</v>
      <v>22</v>
      <v>23</v>
      <v>24</v>
      <v>387</v>
      <v>384</v>
      <v>387</v>
      <v>387</v>
      <v>387</v>
      <v>387</v>
      <v>387</v>
      <v>387</v>
      <v>387</v>
      <v>387</v>
      <v>387</v>
      <v>387</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10</v>
      <v>390</v>
      <v>391</v>
      <v>391</v>
      <v>13</v>
      <v>391</v>
      <v>391</v>
      <v>391</v>
      <v>392</v>
      <v>391</v>
      <v>391</v>
      <v>392</v>
      <v>391</v>
      <v>391</v>
      <v>393</v>
      <v>15</v>
      <v>394</v>
      <v>393</v>
      <v>17</v>
      <v>391</v>
      <v>393</v>
      <v>18</v>
      <v>19</v>
      <v>20</v>
      <v>393</v>
      <v>393</v>
      <v>391</v>
      <v>393</v>
      <v>21</v>
      <v>22</v>
      <v>23</v>
      <v>24</v>
      <v>393</v>
      <v>394</v>
      <v>393</v>
      <v>393</v>
      <v>393</v>
      <v>393</v>
      <v>393</v>
      <v>393</v>
      <v>393</v>
      <v>393</v>
      <v>393</v>
      <v>393</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10</v>
      <v>397</v>
      <v>398</v>
      <v>398</v>
      <v>13</v>
      <v>398</v>
      <v>398</v>
      <v>398</v>
      <v>399</v>
      <v>398</v>
      <v>398</v>
      <v>398</v>
      <v>398</v>
      <v>400</v>
      <v>15</v>
      <v>397</v>
      <v>400</v>
      <v>17</v>
      <v>398</v>
      <v>400</v>
      <v>18</v>
      <v>19</v>
      <v>20</v>
      <v>400</v>
      <v>400</v>
      <v>398</v>
      <v>400</v>
      <v>21</v>
      <v>22</v>
      <v>23</v>
      <v>24</v>
      <v>400</v>
      <v>397</v>
      <v>400</v>
      <v>400</v>
      <v>400</v>
      <v>400</v>
      <v>400</v>
      <v>400</v>
      <v>400</v>
      <v>400</v>
      <v>400</v>
      <v>400</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10</v>
      <v>403</v>
      <v>404</v>
      <v>404</v>
      <v>13</v>
      <v>404</v>
      <v>404</v>
      <v>404</v>
      <v>405</v>
      <v>404</v>
      <v>404</v>
      <v>405</v>
      <v>404</v>
      <v>404</v>
      <v>406</v>
      <v>15</v>
      <v>403</v>
      <v>406</v>
      <v>17</v>
      <v>404</v>
      <v>406</v>
      <v>18</v>
      <v>19</v>
      <v>20</v>
      <v>406</v>
      <v>406</v>
      <v>404</v>
      <v>406</v>
      <v>21</v>
      <v>22</v>
      <v>23</v>
      <v>24</v>
      <v>406</v>
      <v>403</v>
      <v>406</v>
      <v>406</v>
      <v>406</v>
      <v>406</v>
      <v>406</v>
      <v>406</v>
      <v>406</v>
      <v>406</v>
      <v>406</v>
      <v>406</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https://en.wikipedia.org/wiki/Miami	</v>
      <v xml:space="preserve">https://creativecommons.org/licenses/by-sa/3.0	</v>
    </spb>
    <spb s="16">
      <v>409</v>
      <v>409</v>
      <v>409</v>
      <v>409</v>
      <v>409</v>
      <v>409</v>
      <v>409</v>
      <v>409</v>
      <v>409</v>
      <v>409</v>
    </spb>
  </spbData>
</supportingPropertyBags>
</file>

<file path=xl/richData/rdsupportingpropertybagstructure.xml><?xml version="1.0" encoding="utf-8"?>
<spbStructures xmlns="http://schemas.microsoft.com/office/spreadsheetml/2017/richdata2" count="32">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Population" t="spb"/>
    <k n="UniqueName" t="spb"/>
    <k n="Description"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U181"/>
  <sheetViews>
    <sheetView tabSelected="1" zoomScale="140" zoomScaleNormal="140" workbookViewId="0">
      <pane ySplit="1" topLeftCell="A39" activePane="bottomLeft" state="frozen"/>
      <selection pane="bottomLeft" activeCell="E67" sqref="E67"/>
    </sheetView>
  </sheetViews>
  <sheetFormatPr baseColWidth="10" defaultRowHeight="16" x14ac:dyDescent="0.2"/>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bestFit="1" customWidth="1"/>
    <col min="20" max="20" width="13.33203125" bestFit="1" customWidth="1"/>
    <col min="21" max="21" width="13" bestFit="1" customWidth="1"/>
  </cols>
  <sheetData>
    <row r="1" spans="1:21" s="3" customFormat="1" ht="22" x14ac:dyDescent="0.3">
      <c r="A1" s="3" t="s">
        <v>0</v>
      </c>
      <c r="B1" s="3" t="s">
        <v>279</v>
      </c>
      <c r="C1" s="3" t="s">
        <v>10</v>
      </c>
      <c r="D1" s="3" t="s">
        <v>15</v>
      </c>
      <c r="E1" s="3" t="s">
        <v>3</v>
      </c>
      <c r="F1" s="3" t="s">
        <v>30</v>
      </c>
      <c r="G1" s="3" t="s">
        <v>118</v>
      </c>
      <c r="H1" s="3" t="s">
        <v>2</v>
      </c>
      <c r="I1" s="3" t="s">
        <v>241</v>
      </c>
      <c r="J1" s="3" t="s">
        <v>247</v>
      </c>
      <c r="K1" s="3" t="s">
        <v>341</v>
      </c>
      <c r="L1" s="3" t="s">
        <v>4</v>
      </c>
      <c r="M1" s="3" t="s">
        <v>9</v>
      </c>
      <c r="N1" s="3" t="s">
        <v>11</v>
      </c>
      <c r="O1" s="3" t="s">
        <v>13</v>
      </c>
      <c r="P1" s="3" t="s">
        <v>1</v>
      </c>
      <c r="Q1" s="3" t="s">
        <v>117</v>
      </c>
      <c r="R1" s="3" t="s">
        <v>44</v>
      </c>
      <c r="S1" s="3" t="s">
        <v>22</v>
      </c>
      <c r="T1" s="3" t="s">
        <v>23</v>
      </c>
      <c r="U1" s="3" t="s">
        <v>24</v>
      </c>
    </row>
    <row r="2" spans="1:21" x14ac:dyDescent="0.2">
      <c r="A2" t="s">
        <v>152</v>
      </c>
      <c r="C2" s="1">
        <v>45902</v>
      </c>
      <c r="D2" t="s">
        <v>42</v>
      </c>
      <c r="E2" t="s">
        <v>153</v>
      </c>
      <c r="F2">
        <v>1</v>
      </c>
      <c r="H2" t="s">
        <v>132</v>
      </c>
      <c r="L2" t="s">
        <v>151</v>
      </c>
      <c r="M2" t="e" vm="1">
        <v>#VALUE!</v>
      </c>
      <c r="N2" t="s">
        <v>12</v>
      </c>
      <c r="P2" t="s">
        <v>20</v>
      </c>
      <c r="Q2" s="1">
        <v>45902</v>
      </c>
      <c r="S2">
        <v>1</v>
      </c>
      <c r="T2">
        <v>0</v>
      </c>
      <c r="U2">
        <v>1</v>
      </c>
    </row>
    <row r="3" spans="1:21" x14ac:dyDescent="0.2">
      <c r="A3" t="s">
        <v>8</v>
      </c>
      <c r="C3" s="1">
        <v>45931</v>
      </c>
      <c r="D3" t="s">
        <v>16</v>
      </c>
      <c r="E3" t="s">
        <v>16</v>
      </c>
      <c r="G3" s="1"/>
      <c r="H3" t="s">
        <v>99</v>
      </c>
      <c r="L3" s="2" t="s">
        <v>14</v>
      </c>
      <c r="M3" t="e" vm="2">
        <v>#VALUE!</v>
      </c>
      <c r="N3" t="s">
        <v>12</v>
      </c>
      <c r="O3" t="s">
        <v>19</v>
      </c>
      <c r="P3" t="s">
        <v>20</v>
      </c>
      <c r="Q3" s="1">
        <v>45931</v>
      </c>
      <c r="S3">
        <v>1</v>
      </c>
      <c r="T3">
        <v>1</v>
      </c>
      <c r="U3">
        <v>1</v>
      </c>
    </row>
    <row r="4" spans="1:21" x14ac:dyDescent="0.2">
      <c r="A4" t="s">
        <v>18</v>
      </c>
      <c r="C4" s="1">
        <v>45931</v>
      </c>
      <c r="D4" t="s">
        <v>16</v>
      </c>
      <c r="E4" t="s">
        <v>16</v>
      </c>
      <c r="G4" s="1"/>
      <c r="H4" t="s">
        <v>99</v>
      </c>
      <c r="L4" s="2" t="s">
        <v>17</v>
      </c>
      <c r="M4" t="e" vm="3">
        <v>#VALUE!</v>
      </c>
      <c r="N4" t="s">
        <v>12</v>
      </c>
      <c r="O4" t="s">
        <v>19</v>
      </c>
      <c r="P4" t="s">
        <v>21</v>
      </c>
      <c r="Q4" s="1">
        <v>45931</v>
      </c>
      <c r="S4">
        <v>1</v>
      </c>
      <c r="T4">
        <v>1</v>
      </c>
      <c r="U4">
        <v>1</v>
      </c>
    </row>
    <row r="5" spans="1:21" x14ac:dyDescent="0.2">
      <c r="A5" t="s">
        <v>50</v>
      </c>
      <c r="C5" s="1">
        <v>45931</v>
      </c>
      <c r="D5" s="2" t="s">
        <v>53</v>
      </c>
      <c r="G5" s="1"/>
      <c r="H5" t="s">
        <v>99</v>
      </c>
      <c r="L5" s="2" t="s">
        <v>51</v>
      </c>
      <c r="M5" t="e" vm="4">
        <v>#VALUE!</v>
      </c>
      <c r="N5" t="s">
        <v>12</v>
      </c>
      <c r="O5" t="s">
        <v>52</v>
      </c>
      <c r="P5" t="s">
        <v>20</v>
      </c>
      <c r="Q5" s="1">
        <v>45931</v>
      </c>
      <c r="S5">
        <v>1</v>
      </c>
      <c r="T5">
        <v>0</v>
      </c>
      <c r="U5">
        <v>1</v>
      </c>
    </row>
    <row r="6" spans="1:21" x14ac:dyDescent="0.2">
      <c r="A6" t="s">
        <v>54</v>
      </c>
      <c r="C6" s="1">
        <v>45931</v>
      </c>
      <c r="D6" t="s">
        <v>55</v>
      </c>
      <c r="G6" s="1"/>
      <c r="H6" t="s">
        <v>156</v>
      </c>
      <c r="L6" s="2" t="s">
        <v>51</v>
      </c>
      <c r="M6" t="e" vm="4">
        <v>#VALUE!</v>
      </c>
      <c r="N6" t="s">
        <v>12</v>
      </c>
      <c r="P6" t="s">
        <v>20</v>
      </c>
      <c r="Q6" s="1">
        <v>45931</v>
      </c>
      <c r="S6">
        <v>1</v>
      </c>
      <c r="T6">
        <v>0</v>
      </c>
      <c r="U6">
        <v>1</v>
      </c>
    </row>
    <row r="7" spans="1:21" x14ac:dyDescent="0.2">
      <c r="A7" t="s">
        <v>40</v>
      </c>
      <c r="C7" s="1">
        <v>45940</v>
      </c>
      <c r="D7" t="s">
        <v>42</v>
      </c>
      <c r="E7" t="s">
        <v>43</v>
      </c>
      <c r="F7">
        <v>1</v>
      </c>
      <c r="G7" s="1"/>
      <c r="H7" t="s">
        <v>156</v>
      </c>
      <c r="L7" s="2" t="s">
        <v>41</v>
      </c>
      <c r="M7" t="e" vm="5">
        <v>#VALUE!</v>
      </c>
      <c r="N7" t="s">
        <v>12</v>
      </c>
      <c r="O7" t="s">
        <v>19</v>
      </c>
      <c r="P7" t="s">
        <v>20</v>
      </c>
      <c r="Q7" s="1">
        <v>45940</v>
      </c>
      <c r="R7" s="2" t="s">
        <v>45</v>
      </c>
      <c r="S7">
        <v>1</v>
      </c>
      <c r="T7">
        <v>1</v>
      </c>
      <c r="U7">
        <v>1</v>
      </c>
    </row>
    <row r="8" spans="1:21" x14ac:dyDescent="0.2">
      <c r="A8" s="4" t="s">
        <v>80</v>
      </c>
      <c r="C8" s="1">
        <v>45940</v>
      </c>
      <c r="D8" t="s">
        <v>16</v>
      </c>
      <c r="F8">
        <v>1</v>
      </c>
      <c r="G8" s="7" t="s">
        <v>131</v>
      </c>
      <c r="H8" t="s">
        <v>99</v>
      </c>
      <c r="J8" t="s">
        <v>313</v>
      </c>
      <c r="K8" s="1">
        <v>45976</v>
      </c>
      <c r="L8" s="2" t="s">
        <v>81</v>
      </c>
      <c r="M8" t="e" vm="6">
        <v>#VALUE!</v>
      </c>
      <c r="N8" t="s">
        <v>12</v>
      </c>
      <c r="Q8" s="1">
        <v>45940</v>
      </c>
      <c r="S8">
        <v>1</v>
      </c>
      <c r="T8">
        <v>0</v>
      </c>
      <c r="U8">
        <v>0</v>
      </c>
    </row>
    <row r="9" spans="1:21" x14ac:dyDescent="0.2">
      <c r="A9" t="s">
        <v>62</v>
      </c>
      <c r="C9" s="1">
        <v>45940</v>
      </c>
      <c r="D9" t="s">
        <v>65</v>
      </c>
      <c r="G9" s="1"/>
      <c r="H9" t="s">
        <v>156</v>
      </c>
      <c r="L9" s="2" t="s">
        <v>63</v>
      </c>
      <c r="M9" t="e" vm="7">
        <v>#VALUE!</v>
      </c>
      <c r="N9" t="s">
        <v>64</v>
      </c>
      <c r="P9" t="s">
        <v>21</v>
      </c>
      <c r="Q9" s="1">
        <v>45940</v>
      </c>
      <c r="S9">
        <v>1</v>
      </c>
      <c r="T9">
        <v>0</v>
      </c>
      <c r="U9">
        <v>1</v>
      </c>
    </row>
    <row r="10" spans="1:21" x14ac:dyDescent="0.2">
      <c r="A10" t="s">
        <v>66</v>
      </c>
      <c r="C10" s="1">
        <v>45940</v>
      </c>
      <c r="D10" s="2" t="s">
        <v>68</v>
      </c>
      <c r="G10" s="1"/>
      <c r="H10" t="s">
        <v>99</v>
      </c>
      <c r="L10" s="2" t="s">
        <v>63</v>
      </c>
      <c r="M10" t="e" vm="7">
        <v>#VALUE!</v>
      </c>
      <c r="N10" t="s">
        <v>12</v>
      </c>
      <c r="O10" t="s">
        <v>67</v>
      </c>
      <c r="P10" t="s">
        <v>20</v>
      </c>
      <c r="Q10" s="1">
        <v>45940</v>
      </c>
      <c r="S10">
        <v>1</v>
      </c>
      <c r="T10">
        <v>1</v>
      </c>
      <c r="U10">
        <v>1</v>
      </c>
    </row>
    <row r="11" spans="1:21" x14ac:dyDescent="0.2">
      <c r="A11" t="s">
        <v>85</v>
      </c>
      <c r="C11" s="1">
        <v>45945</v>
      </c>
      <c r="D11" s="2" t="s">
        <v>87</v>
      </c>
      <c r="G11" s="1"/>
      <c r="H11" t="s">
        <v>99</v>
      </c>
      <c r="L11" s="2" t="s">
        <v>86</v>
      </c>
      <c r="M11" t="e" vm="4">
        <v>#VALUE!</v>
      </c>
      <c r="P11" t="s">
        <v>20</v>
      </c>
      <c r="Q11" s="1">
        <v>45945</v>
      </c>
      <c r="S11">
        <v>1</v>
      </c>
      <c r="T11">
        <v>0</v>
      </c>
      <c r="U11">
        <v>0</v>
      </c>
    </row>
    <row r="12" spans="1:21" x14ac:dyDescent="0.2">
      <c r="A12" t="s">
        <v>102</v>
      </c>
      <c r="C12" s="1">
        <v>45945</v>
      </c>
      <c r="D12" t="s">
        <v>16</v>
      </c>
      <c r="G12" s="1"/>
      <c r="H12" t="s">
        <v>132</v>
      </c>
      <c r="L12" s="2" t="s">
        <v>101</v>
      </c>
      <c r="M12" t="e" vm="8">
        <v>#VALUE!</v>
      </c>
      <c r="N12" t="s">
        <v>12</v>
      </c>
      <c r="P12" t="s">
        <v>20</v>
      </c>
      <c r="Q12" s="1">
        <v>45945</v>
      </c>
      <c r="S12">
        <v>1</v>
      </c>
      <c r="T12">
        <v>0</v>
      </c>
      <c r="U12">
        <v>0</v>
      </c>
    </row>
    <row r="13" spans="1:21" x14ac:dyDescent="0.2">
      <c r="A13" t="s">
        <v>103</v>
      </c>
      <c r="C13" s="1">
        <v>45945</v>
      </c>
      <c r="D13" t="s">
        <v>16</v>
      </c>
      <c r="G13" s="1"/>
      <c r="H13" t="s">
        <v>132</v>
      </c>
      <c r="L13" s="2" t="s">
        <v>101</v>
      </c>
      <c r="M13" t="e" vm="8">
        <v>#VALUE!</v>
      </c>
      <c r="N13" t="s">
        <v>12</v>
      </c>
      <c r="P13" t="s">
        <v>20</v>
      </c>
      <c r="Q13" s="1">
        <v>45945</v>
      </c>
      <c r="S13">
        <v>1</v>
      </c>
      <c r="T13">
        <v>0</v>
      </c>
      <c r="U13">
        <v>0</v>
      </c>
    </row>
    <row r="14" spans="1:21" x14ac:dyDescent="0.2">
      <c r="A14" t="s">
        <v>104</v>
      </c>
      <c r="C14" s="1">
        <v>45945</v>
      </c>
      <c r="D14" t="s">
        <v>16</v>
      </c>
      <c r="E14" s="2" t="s">
        <v>107</v>
      </c>
      <c r="G14" s="1"/>
      <c r="H14" t="s">
        <v>99</v>
      </c>
      <c r="L14" t="s">
        <v>105</v>
      </c>
      <c r="M14" t="e" vm="9">
        <v>#VALUE!</v>
      </c>
      <c r="P14" t="s">
        <v>20</v>
      </c>
      <c r="Q14" s="1">
        <v>45945</v>
      </c>
      <c r="R14" s="2" t="s">
        <v>106</v>
      </c>
      <c r="S14">
        <v>1</v>
      </c>
      <c r="T14">
        <v>0</v>
      </c>
      <c r="U14">
        <v>0</v>
      </c>
    </row>
    <row r="15" spans="1:21" x14ac:dyDescent="0.2">
      <c r="A15" t="s">
        <v>367</v>
      </c>
      <c r="C15" s="1">
        <v>45945</v>
      </c>
      <c r="D15" t="s">
        <v>368</v>
      </c>
      <c r="H15" t="s">
        <v>99</v>
      </c>
      <c r="L15" t="s">
        <v>366</v>
      </c>
      <c r="M15" t="e" vm="10">
        <v>#VALUE!</v>
      </c>
      <c r="N15" t="s">
        <v>12</v>
      </c>
      <c r="P15" t="s">
        <v>20</v>
      </c>
      <c r="Q15" s="1">
        <v>45945</v>
      </c>
      <c r="S15">
        <v>1</v>
      </c>
      <c r="T15">
        <v>0</v>
      </c>
      <c r="U15">
        <v>1</v>
      </c>
    </row>
    <row r="16" spans="1:21" x14ac:dyDescent="0.2">
      <c r="A16" t="s">
        <v>229</v>
      </c>
      <c r="C16" s="1">
        <v>45945</v>
      </c>
      <c r="D16" t="s">
        <v>42</v>
      </c>
      <c r="E16" t="s">
        <v>232</v>
      </c>
      <c r="G16" t="s">
        <v>234</v>
      </c>
      <c r="H16" t="s">
        <v>99</v>
      </c>
      <c r="L16" s="2" t="s">
        <v>236</v>
      </c>
      <c r="M16" t="e" vm="11">
        <v>#VALUE!</v>
      </c>
      <c r="N16" t="s">
        <v>12</v>
      </c>
      <c r="O16" t="s">
        <v>231</v>
      </c>
      <c r="P16" t="s">
        <v>20</v>
      </c>
      <c r="Q16" s="1">
        <v>46142</v>
      </c>
      <c r="S16">
        <v>1</v>
      </c>
      <c r="T16">
        <v>0</v>
      </c>
      <c r="U16">
        <v>1</v>
      </c>
    </row>
    <row r="17" spans="1:21" ht="17" x14ac:dyDescent="0.2">
      <c r="A17" t="s">
        <v>546</v>
      </c>
      <c r="C17" s="1">
        <v>45945</v>
      </c>
      <c r="D17" t="s">
        <v>545</v>
      </c>
      <c r="H17" t="s">
        <v>25</v>
      </c>
      <c r="L17" s="17" t="s">
        <v>544</v>
      </c>
      <c r="M17" t="e" vm="12">
        <v>#VALUE!</v>
      </c>
      <c r="N17" t="s">
        <v>12</v>
      </c>
      <c r="P17" t="s">
        <v>20</v>
      </c>
      <c r="Q17" s="1">
        <v>45945</v>
      </c>
      <c r="S17">
        <v>1</v>
      </c>
      <c r="T17">
        <v>1</v>
      </c>
      <c r="U17">
        <v>1</v>
      </c>
    </row>
    <row r="18" spans="1:21" x14ac:dyDescent="0.2">
      <c r="A18" s="4" t="s">
        <v>146</v>
      </c>
      <c r="C18" s="1">
        <v>45947</v>
      </c>
      <c r="D18" t="s">
        <v>42</v>
      </c>
      <c r="F18">
        <v>1</v>
      </c>
      <c r="H18" t="s">
        <v>99</v>
      </c>
      <c r="J18" t="s">
        <v>313</v>
      </c>
      <c r="K18" s="1">
        <v>45976</v>
      </c>
      <c r="L18" s="2" t="s">
        <v>147</v>
      </c>
      <c r="M18" t="e" vm="13">
        <v>#VALUE!</v>
      </c>
      <c r="N18" t="s">
        <v>12</v>
      </c>
      <c r="P18" t="s">
        <v>20</v>
      </c>
      <c r="Q18" s="1">
        <v>45992</v>
      </c>
      <c r="S18">
        <v>1</v>
      </c>
      <c r="T18">
        <v>0</v>
      </c>
      <c r="U18">
        <v>0</v>
      </c>
    </row>
    <row r="19" spans="1:21" x14ac:dyDescent="0.2">
      <c r="A19" t="s">
        <v>345</v>
      </c>
      <c r="C19" s="1">
        <v>45950</v>
      </c>
      <c r="D19" t="s">
        <v>42</v>
      </c>
      <c r="H19" t="s">
        <v>99</v>
      </c>
      <c r="L19" t="s">
        <v>344</v>
      </c>
      <c r="M19" t="e" vm="4">
        <v>#VALUE!</v>
      </c>
      <c r="P19" t="s">
        <v>20</v>
      </c>
      <c r="Q19" s="1">
        <v>45950</v>
      </c>
      <c r="S19">
        <v>1</v>
      </c>
      <c r="T19">
        <v>0</v>
      </c>
      <c r="U19">
        <v>0</v>
      </c>
    </row>
    <row r="20" spans="1:21" x14ac:dyDescent="0.2">
      <c r="A20" t="s">
        <v>206</v>
      </c>
      <c r="C20" s="1">
        <v>45950</v>
      </c>
      <c r="D20" t="s">
        <v>207</v>
      </c>
      <c r="H20" t="s">
        <v>99</v>
      </c>
      <c r="L20" s="2" t="s">
        <v>86</v>
      </c>
      <c r="M20" t="e" vm="4">
        <v>#VALUE!</v>
      </c>
      <c r="P20" t="s">
        <v>20</v>
      </c>
      <c r="Q20" s="1">
        <v>45954</v>
      </c>
      <c r="S20">
        <v>1</v>
      </c>
      <c r="T20">
        <v>0</v>
      </c>
      <c r="U20">
        <v>0</v>
      </c>
    </row>
    <row r="21" spans="1:21" x14ac:dyDescent="0.2">
      <c r="A21" t="s">
        <v>116</v>
      </c>
      <c r="C21" s="1">
        <v>45950</v>
      </c>
      <c r="D21" t="s">
        <v>42</v>
      </c>
      <c r="E21" t="s">
        <v>155</v>
      </c>
      <c r="G21" s="1"/>
      <c r="H21" t="s">
        <v>99</v>
      </c>
      <c r="L21" s="2" t="s">
        <v>115</v>
      </c>
      <c r="M21" t="e" vm="14">
        <v>#VALUE!</v>
      </c>
      <c r="N21" t="s">
        <v>12</v>
      </c>
      <c r="P21" t="s">
        <v>20</v>
      </c>
      <c r="Q21" s="1">
        <v>45957</v>
      </c>
      <c r="S21">
        <v>1</v>
      </c>
      <c r="T21">
        <v>1</v>
      </c>
      <c r="U21">
        <v>1</v>
      </c>
    </row>
    <row r="22" spans="1:21" x14ac:dyDescent="0.2">
      <c r="A22" s="4" t="s">
        <v>180</v>
      </c>
      <c r="C22" s="1">
        <v>45950</v>
      </c>
      <c r="D22" t="s">
        <v>16</v>
      </c>
      <c r="E22" s="2" t="s">
        <v>184</v>
      </c>
      <c r="F22">
        <v>1</v>
      </c>
      <c r="G22" t="s">
        <v>183</v>
      </c>
      <c r="H22" t="s">
        <v>99</v>
      </c>
      <c r="J22" t="s">
        <v>313</v>
      </c>
      <c r="K22" s="1">
        <v>45976</v>
      </c>
      <c r="L22" s="2" t="s">
        <v>181</v>
      </c>
      <c r="M22" t="e" vm="15">
        <v>#VALUE!</v>
      </c>
      <c r="N22" t="s">
        <v>182</v>
      </c>
      <c r="P22" t="s">
        <v>21</v>
      </c>
      <c r="Q22" s="1">
        <v>45959</v>
      </c>
      <c r="S22">
        <v>1</v>
      </c>
      <c r="T22">
        <v>0</v>
      </c>
      <c r="U22">
        <v>0</v>
      </c>
    </row>
    <row r="23" spans="1:21" x14ac:dyDescent="0.2">
      <c r="A23" t="s">
        <v>447</v>
      </c>
      <c r="C23" s="1">
        <v>45950</v>
      </c>
      <c r="D23" s="2" t="s">
        <v>448</v>
      </c>
      <c r="H23" t="s">
        <v>99</v>
      </c>
      <c r="L23" t="s">
        <v>449</v>
      </c>
      <c r="M23" t="e" vm="16">
        <v>#VALUE!</v>
      </c>
      <c r="N23" t="s">
        <v>12</v>
      </c>
      <c r="P23" t="s">
        <v>20</v>
      </c>
      <c r="Q23" s="1">
        <v>45960</v>
      </c>
      <c r="S23">
        <v>1</v>
      </c>
      <c r="T23">
        <v>1</v>
      </c>
      <c r="U23">
        <v>1</v>
      </c>
    </row>
    <row r="24" spans="1:21" x14ac:dyDescent="0.2">
      <c r="A24" t="s">
        <v>216</v>
      </c>
      <c r="C24" s="1">
        <v>45950</v>
      </c>
      <c r="D24" t="s">
        <v>42</v>
      </c>
      <c r="E24" t="s">
        <v>215</v>
      </c>
      <c r="F24">
        <v>1</v>
      </c>
      <c r="H24" t="s">
        <v>99</v>
      </c>
      <c r="L24" t="s">
        <v>214</v>
      </c>
      <c r="M24" t="e" vm="5">
        <v>#VALUE!</v>
      </c>
      <c r="N24" t="s">
        <v>12</v>
      </c>
      <c r="P24" t="s">
        <v>20</v>
      </c>
      <c r="Q24" s="1">
        <v>45961</v>
      </c>
      <c r="S24">
        <v>1</v>
      </c>
      <c r="T24">
        <v>0</v>
      </c>
      <c r="U24">
        <v>0</v>
      </c>
    </row>
    <row r="25" spans="1:21" x14ac:dyDescent="0.2">
      <c r="A25" s="6" t="s">
        <v>163</v>
      </c>
      <c r="B25" s="6"/>
      <c r="C25" s="1">
        <v>45950</v>
      </c>
      <c r="D25" t="s">
        <v>16</v>
      </c>
      <c r="H25" t="s">
        <v>99</v>
      </c>
      <c r="L25" s="2" t="s">
        <v>164</v>
      </c>
      <c r="M25" t="e" vm="17">
        <v>#VALUE!</v>
      </c>
      <c r="N25" t="s">
        <v>12</v>
      </c>
      <c r="P25" t="s">
        <v>20</v>
      </c>
      <c r="Q25" s="1">
        <v>45963</v>
      </c>
      <c r="S25">
        <v>1</v>
      </c>
      <c r="T25">
        <v>1</v>
      </c>
      <c r="U25">
        <v>0</v>
      </c>
    </row>
    <row r="26" spans="1:21" x14ac:dyDescent="0.2">
      <c r="A26" t="s">
        <v>175</v>
      </c>
      <c r="C26" s="1">
        <v>45950</v>
      </c>
      <c r="D26" t="s">
        <v>16</v>
      </c>
      <c r="F26">
        <v>1</v>
      </c>
      <c r="G26" t="s">
        <v>177</v>
      </c>
      <c r="H26" t="s">
        <v>99</v>
      </c>
      <c r="L26" s="2" t="s">
        <v>176</v>
      </c>
      <c r="M26" t="e" vm="18">
        <v>#VALUE!</v>
      </c>
      <c r="N26" t="s">
        <v>12</v>
      </c>
      <c r="P26" t="s">
        <v>20</v>
      </c>
      <c r="Q26" s="1">
        <v>45964</v>
      </c>
      <c r="S26">
        <v>1</v>
      </c>
      <c r="T26">
        <v>1</v>
      </c>
      <c r="U26">
        <v>1</v>
      </c>
    </row>
    <row r="27" spans="1:21" x14ac:dyDescent="0.2">
      <c r="A27" t="s">
        <v>171</v>
      </c>
      <c r="C27" s="1">
        <v>45950</v>
      </c>
      <c r="D27" t="s">
        <v>16</v>
      </c>
      <c r="E27" s="2" t="s">
        <v>174</v>
      </c>
      <c r="H27" t="s">
        <v>99</v>
      </c>
      <c r="L27" s="2" t="s">
        <v>172</v>
      </c>
      <c r="M27" t="e" vm="19">
        <v>#VALUE!</v>
      </c>
      <c r="N27" t="s">
        <v>12</v>
      </c>
      <c r="O27" t="s">
        <v>173</v>
      </c>
      <c r="P27" t="s">
        <v>20</v>
      </c>
      <c r="Q27" s="1">
        <v>45964</v>
      </c>
      <c r="S27">
        <v>1</v>
      </c>
      <c r="T27">
        <v>1</v>
      </c>
      <c r="U27">
        <v>1</v>
      </c>
    </row>
    <row r="28" spans="1:21" x14ac:dyDescent="0.2">
      <c r="A28" t="s">
        <v>267</v>
      </c>
      <c r="C28" s="1">
        <v>45950</v>
      </c>
      <c r="D28" t="s">
        <v>16</v>
      </c>
      <c r="H28" t="s">
        <v>99</v>
      </c>
      <c r="L28" t="s">
        <v>268</v>
      </c>
      <c r="M28" t="e" vm="20">
        <v>#VALUE!</v>
      </c>
      <c r="N28" t="s">
        <v>182</v>
      </c>
      <c r="P28" t="s">
        <v>21</v>
      </c>
      <c r="Q28" s="1">
        <v>45992</v>
      </c>
      <c r="S28">
        <v>1</v>
      </c>
      <c r="T28">
        <v>0</v>
      </c>
      <c r="U28">
        <v>0</v>
      </c>
    </row>
    <row r="29" spans="1:21" x14ac:dyDescent="0.2">
      <c r="A29" t="s">
        <v>223</v>
      </c>
      <c r="C29" s="1">
        <v>45950</v>
      </c>
      <c r="D29" t="s">
        <v>42</v>
      </c>
      <c r="H29" t="s">
        <v>99</v>
      </c>
      <c r="L29" s="2" t="s">
        <v>224</v>
      </c>
      <c r="M29" t="e" vm="5">
        <v>#VALUE!</v>
      </c>
      <c r="N29" t="s">
        <v>12</v>
      </c>
      <c r="P29" t="s">
        <v>20</v>
      </c>
      <c r="Q29" s="1">
        <v>46022</v>
      </c>
      <c r="S29">
        <v>1</v>
      </c>
      <c r="T29">
        <v>0</v>
      </c>
      <c r="U29">
        <v>0</v>
      </c>
    </row>
    <row r="30" spans="1:21" x14ac:dyDescent="0.2">
      <c r="A30" t="s">
        <v>187</v>
      </c>
      <c r="C30" s="1">
        <v>45950</v>
      </c>
      <c r="D30" t="s">
        <v>16</v>
      </c>
      <c r="H30" t="s">
        <v>99</v>
      </c>
      <c r="L30" t="s">
        <v>256</v>
      </c>
      <c r="M30" t="e" vm="21">
        <v>#VALUE!</v>
      </c>
      <c r="N30" t="s">
        <v>12</v>
      </c>
      <c r="P30" t="s">
        <v>20</v>
      </c>
      <c r="Q30" s="1">
        <v>46022</v>
      </c>
      <c r="S30">
        <v>1</v>
      </c>
      <c r="T30">
        <v>0</v>
      </c>
      <c r="U30">
        <v>0</v>
      </c>
    </row>
    <row r="31" spans="1:21" x14ac:dyDescent="0.2">
      <c r="A31" t="s">
        <v>228</v>
      </c>
      <c r="C31" s="1">
        <v>45950</v>
      </c>
      <c r="D31" t="s">
        <v>42</v>
      </c>
      <c r="E31" t="s">
        <v>233</v>
      </c>
      <c r="G31" t="s">
        <v>235</v>
      </c>
      <c r="H31" t="s">
        <v>99</v>
      </c>
      <c r="L31" s="2" t="s">
        <v>236</v>
      </c>
      <c r="M31" t="e" vm="11">
        <v>#VALUE!</v>
      </c>
      <c r="N31" t="s">
        <v>12</v>
      </c>
      <c r="O31" t="s">
        <v>230</v>
      </c>
      <c r="P31" t="s">
        <v>20</v>
      </c>
      <c r="Q31" s="1">
        <v>46142</v>
      </c>
      <c r="S31">
        <v>1</v>
      </c>
      <c r="T31">
        <v>0</v>
      </c>
      <c r="U31">
        <v>1</v>
      </c>
    </row>
    <row r="32" spans="1:21" x14ac:dyDescent="0.2">
      <c r="A32" t="s">
        <v>226</v>
      </c>
      <c r="C32" s="1">
        <v>45950</v>
      </c>
      <c r="D32" t="s">
        <v>42</v>
      </c>
      <c r="E32" t="s">
        <v>227</v>
      </c>
      <c r="H32" t="s">
        <v>99</v>
      </c>
      <c r="L32" t="s">
        <v>225</v>
      </c>
      <c r="M32" t="e" vm="22">
        <v>#VALUE!</v>
      </c>
      <c r="N32" t="s">
        <v>12</v>
      </c>
      <c r="P32" t="s">
        <v>20</v>
      </c>
      <c r="Q32" s="1">
        <v>46157</v>
      </c>
      <c r="S32">
        <v>1</v>
      </c>
      <c r="T32">
        <v>1</v>
      </c>
      <c r="U32">
        <v>1</v>
      </c>
    </row>
    <row r="33" spans="1:21" x14ac:dyDescent="0.2">
      <c r="A33" t="s">
        <v>478</v>
      </c>
      <c r="C33" s="1">
        <v>45950</v>
      </c>
      <c r="D33" t="s">
        <v>42</v>
      </c>
      <c r="E33" s="2" t="s">
        <v>479</v>
      </c>
      <c r="H33" t="s">
        <v>99</v>
      </c>
      <c r="L33" t="s">
        <v>480</v>
      </c>
      <c r="M33" t="e" vm="23">
        <v>#VALUE!</v>
      </c>
      <c r="N33" t="s">
        <v>12</v>
      </c>
      <c r="P33" t="s">
        <v>20</v>
      </c>
      <c r="Q33" s="1">
        <v>45961</v>
      </c>
      <c r="S33">
        <v>1</v>
      </c>
      <c r="T33">
        <v>1</v>
      </c>
      <c r="U33">
        <v>1</v>
      </c>
    </row>
    <row r="34" spans="1:21" x14ac:dyDescent="0.2">
      <c r="A34" t="s">
        <v>485</v>
      </c>
      <c r="C34" s="1">
        <v>45950</v>
      </c>
      <c r="D34" t="s">
        <v>42</v>
      </c>
      <c r="E34" t="s">
        <v>486</v>
      </c>
      <c r="H34" t="s">
        <v>99</v>
      </c>
      <c r="L34" t="s">
        <v>484</v>
      </c>
      <c r="M34" t="e" vm="14">
        <v>#VALUE!</v>
      </c>
      <c r="N34" t="s">
        <v>12</v>
      </c>
      <c r="P34" t="s">
        <v>20</v>
      </c>
      <c r="Q34" s="1">
        <v>45962</v>
      </c>
      <c r="S34">
        <v>1</v>
      </c>
      <c r="T34">
        <v>1</v>
      </c>
      <c r="U34">
        <v>1</v>
      </c>
    </row>
    <row r="35" spans="1:21" x14ac:dyDescent="0.2">
      <c r="A35" t="s">
        <v>69</v>
      </c>
      <c r="C35" s="1">
        <v>45955</v>
      </c>
      <c r="D35" s="2" t="s">
        <v>71</v>
      </c>
      <c r="F35">
        <v>1</v>
      </c>
      <c r="G35" s="1"/>
      <c r="H35" t="s">
        <v>99</v>
      </c>
      <c r="L35" s="2" t="s">
        <v>70</v>
      </c>
      <c r="M35" t="e" vm="24">
        <v>#VALUE!</v>
      </c>
      <c r="N35" t="s">
        <v>12</v>
      </c>
      <c r="O35" t="s">
        <v>19</v>
      </c>
      <c r="P35" t="s">
        <v>20</v>
      </c>
      <c r="Q35" s="1">
        <v>45962</v>
      </c>
      <c r="S35">
        <v>1</v>
      </c>
      <c r="T35">
        <v>1</v>
      </c>
      <c r="U35">
        <v>1</v>
      </c>
    </row>
    <row r="36" spans="1:21" x14ac:dyDescent="0.2">
      <c r="A36" s="4" t="s">
        <v>77</v>
      </c>
      <c r="C36" s="1">
        <v>45955</v>
      </c>
      <c r="D36" t="s">
        <v>78</v>
      </c>
      <c r="F36">
        <v>1</v>
      </c>
      <c r="G36" s="1"/>
      <c r="H36" t="s">
        <v>99</v>
      </c>
      <c r="J36" t="s">
        <v>248</v>
      </c>
      <c r="K36" s="1">
        <v>45965</v>
      </c>
      <c r="L36" s="2" t="s">
        <v>76</v>
      </c>
      <c r="M36" t="e" vm="25">
        <v>#VALUE!</v>
      </c>
      <c r="N36" t="s">
        <v>12</v>
      </c>
      <c r="O36" t="s">
        <v>19</v>
      </c>
      <c r="P36" t="s">
        <v>20</v>
      </c>
      <c r="Q36" s="1">
        <v>45962</v>
      </c>
      <c r="S36">
        <v>1</v>
      </c>
      <c r="T36">
        <v>1</v>
      </c>
      <c r="U36">
        <v>1</v>
      </c>
    </row>
    <row r="37" spans="1:21" x14ac:dyDescent="0.2">
      <c r="A37" s="4" t="s">
        <v>126</v>
      </c>
      <c r="C37" s="1">
        <v>45955</v>
      </c>
      <c r="D37" t="s">
        <v>16</v>
      </c>
      <c r="F37">
        <v>1</v>
      </c>
      <c r="G37" t="s">
        <v>128</v>
      </c>
      <c r="H37" t="s">
        <v>99</v>
      </c>
      <c r="J37" t="s">
        <v>248</v>
      </c>
      <c r="K37" s="1">
        <v>45965</v>
      </c>
      <c r="L37" s="2" t="s">
        <v>127</v>
      </c>
      <c r="M37" t="e" vm="26">
        <v>#VALUE!</v>
      </c>
      <c r="N37" t="s">
        <v>12</v>
      </c>
      <c r="P37" t="s">
        <v>20</v>
      </c>
      <c r="Q37" s="1">
        <v>45962</v>
      </c>
      <c r="S37">
        <v>1</v>
      </c>
      <c r="T37">
        <v>0</v>
      </c>
      <c r="U37">
        <v>0</v>
      </c>
    </row>
    <row r="38" spans="1:21" x14ac:dyDescent="0.2">
      <c r="A38" t="s">
        <v>56</v>
      </c>
      <c r="C38" s="1">
        <v>45955</v>
      </c>
      <c r="D38" t="s">
        <v>57</v>
      </c>
      <c r="G38" s="1"/>
      <c r="H38" t="s">
        <v>99</v>
      </c>
      <c r="L38" s="2" t="s">
        <v>61</v>
      </c>
      <c r="M38" t="e" vm="27">
        <v>#VALUE!</v>
      </c>
      <c r="P38" t="s">
        <v>60</v>
      </c>
      <c r="Q38" s="1">
        <v>45962</v>
      </c>
      <c r="S38">
        <v>1</v>
      </c>
      <c r="T38">
        <v>0</v>
      </c>
      <c r="U38">
        <v>0</v>
      </c>
    </row>
    <row r="39" spans="1:21" x14ac:dyDescent="0.2">
      <c r="A39" t="s">
        <v>58</v>
      </c>
      <c r="C39" s="1">
        <v>45955</v>
      </c>
      <c r="D39" s="2" t="s">
        <v>59</v>
      </c>
      <c r="G39" s="1"/>
      <c r="H39" t="s">
        <v>99</v>
      </c>
      <c r="L39" s="2" t="s">
        <v>61</v>
      </c>
      <c r="M39" t="e" vm="28">
        <v>#VALUE!</v>
      </c>
      <c r="P39" t="s">
        <v>60</v>
      </c>
      <c r="Q39" s="1">
        <v>45962</v>
      </c>
      <c r="S39">
        <v>1</v>
      </c>
      <c r="T39">
        <v>0</v>
      </c>
      <c r="U39">
        <v>0</v>
      </c>
    </row>
    <row r="40" spans="1:21" x14ac:dyDescent="0.2">
      <c r="A40" t="s">
        <v>372</v>
      </c>
      <c r="C40" s="1">
        <v>45955</v>
      </c>
      <c r="D40" t="s">
        <v>374</v>
      </c>
      <c r="H40" t="s">
        <v>99</v>
      </c>
      <c r="L40" t="s">
        <v>373</v>
      </c>
      <c r="M40" t="e" vm="29">
        <v>#VALUE!</v>
      </c>
      <c r="N40" t="s">
        <v>12</v>
      </c>
      <c r="P40" t="s">
        <v>20</v>
      </c>
      <c r="Q40" s="1">
        <v>45962</v>
      </c>
      <c r="S40">
        <v>1</v>
      </c>
      <c r="T40">
        <v>1</v>
      </c>
      <c r="U40">
        <v>1</v>
      </c>
    </row>
    <row r="41" spans="1:21" x14ac:dyDescent="0.2">
      <c r="A41" s="4" t="s">
        <v>129</v>
      </c>
      <c r="C41" s="1">
        <v>45955</v>
      </c>
      <c r="D41" t="s">
        <v>16</v>
      </c>
      <c r="F41">
        <v>1</v>
      </c>
      <c r="H41" t="s">
        <v>99</v>
      </c>
      <c r="J41" t="s">
        <v>248</v>
      </c>
      <c r="K41" s="1">
        <v>45965</v>
      </c>
      <c r="L41" s="2" t="s">
        <v>130</v>
      </c>
      <c r="M41" t="e" vm="17">
        <v>#VALUE!</v>
      </c>
      <c r="N41" t="s">
        <v>12</v>
      </c>
      <c r="P41" t="s">
        <v>20</v>
      </c>
      <c r="Q41" s="1">
        <v>45963</v>
      </c>
      <c r="S41">
        <v>1</v>
      </c>
      <c r="T41">
        <v>1</v>
      </c>
      <c r="U41">
        <v>1</v>
      </c>
    </row>
    <row r="42" spans="1:21" x14ac:dyDescent="0.2">
      <c r="A42" t="s">
        <v>185</v>
      </c>
      <c r="C42" s="1">
        <v>45955</v>
      </c>
      <c r="D42" t="s">
        <v>16</v>
      </c>
      <c r="H42" t="s">
        <v>99</v>
      </c>
      <c r="L42" s="2" t="s">
        <v>186</v>
      </c>
      <c r="M42" t="e" vm="21">
        <v>#VALUE!</v>
      </c>
      <c r="N42" t="s">
        <v>12</v>
      </c>
      <c r="P42" t="s">
        <v>20</v>
      </c>
      <c r="Q42" s="1">
        <v>45968</v>
      </c>
      <c r="S42">
        <v>1</v>
      </c>
      <c r="T42">
        <v>0</v>
      </c>
      <c r="U42">
        <v>0</v>
      </c>
    </row>
    <row r="43" spans="1:21" x14ac:dyDescent="0.2">
      <c r="A43" t="s">
        <v>191</v>
      </c>
      <c r="C43" s="1">
        <v>45955</v>
      </c>
      <c r="D43" t="s">
        <v>16</v>
      </c>
      <c r="H43" t="s">
        <v>99</v>
      </c>
      <c r="L43" s="2" t="s">
        <v>192</v>
      </c>
      <c r="M43" t="e" vm="19">
        <v>#VALUE!</v>
      </c>
      <c r="N43" t="s">
        <v>12</v>
      </c>
      <c r="P43" t="s">
        <v>20</v>
      </c>
      <c r="Q43" s="1">
        <v>45968</v>
      </c>
      <c r="S43">
        <v>1</v>
      </c>
      <c r="T43">
        <v>0</v>
      </c>
      <c r="U43">
        <v>0</v>
      </c>
    </row>
    <row r="44" spans="1:21" x14ac:dyDescent="0.2">
      <c r="A44" t="s">
        <v>211</v>
      </c>
      <c r="C44" s="1">
        <v>45955</v>
      </c>
      <c r="D44" t="s">
        <v>42</v>
      </c>
      <c r="H44" t="s">
        <v>99</v>
      </c>
      <c r="L44" s="2" t="s">
        <v>210</v>
      </c>
      <c r="M44" t="e" vm="5">
        <v>#VALUE!</v>
      </c>
      <c r="N44" t="s">
        <v>12</v>
      </c>
      <c r="P44" t="s">
        <v>20</v>
      </c>
      <c r="Q44" s="1">
        <v>45968</v>
      </c>
      <c r="S44">
        <v>1</v>
      </c>
      <c r="T44">
        <v>0</v>
      </c>
      <c r="U44">
        <v>0</v>
      </c>
    </row>
    <row r="45" spans="1:21" x14ac:dyDescent="0.2">
      <c r="A45" s="4" t="s">
        <v>139</v>
      </c>
      <c r="C45" s="1">
        <v>45955</v>
      </c>
      <c r="D45" t="s">
        <v>42</v>
      </c>
      <c r="F45">
        <v>1</v>
      </c>
      <c r="G45" t="s">
        <v>141</v>
      </c>
      <c r="H45" t="s">
        <v>99</v>
      </c>
      <c r="J45" t="s">
        <v>248</v>
      </c>
      <c r="K45" s="1">
        <v>45965</v>
      </c>
      <c r="L45" s="2" t="s">
        <v>140</v>
      </c>
      <c r="M45" t="e" vm="26">
        <v>#VALUE!</v>
      </c>
      <c r="N45" t="s">
        <v>12</v>
      </c>
      <c r="P45" t="s">
        <v>20</v>
      </c>
      <c r="Q45" s="1">
        <v>45969</v>
      </c>
      <c r="S45">
        <v>1</v>
      </c>
      <c r="T45">
        <v>0</v>
      </c>
      <c r="U45">
        <v>0</v>
      </c>
    </row>
    <row r="46" spans="1:21" x14ac:dyDescent="0.2">
      <c r="A46" t="s">
        <v>188</v>
      </c>
      <c r="C46" s="1">
        <v>45955</v>
      </c>
      <c r="D46" t="s">
        <v>16</v>
      </c>
      <c r="H46" t="s">
        <v>99</v>
      </c>
      <c r="L46" s="2" t="s">
        <v>189</v>
      </c>
      <c r="M46" t="e" vm="30">
        <v>#VALUE!</v>
      </c>
      <c r="N46" t="s">
        <v>12</v>
      </c>
      <c r="O46" t="s">
        <v>190</v>
      </c>
      <c r="P46" t="s">
        <v>20</v>
      </c>
      <c r="Q46" s="1">
        <v>45970</v>
      </c>
      <c r="S46">
        <v>1</v>
      </c>
      <c r="T46">
        <v>0</v>
      </c>
      <c r="U46">
        <v>0</v>
      </c>
    </row>
    <row r="47" spans="1:21" x14ac:dyDescent="0.2">
      <c r="A47" t="s">
        <v>376</v>
      </c>
      <c r="C47" s="1">
        <v>45955</v>
      </c>
      <c r="D47" t="s">
        <v>377</v>
      </c>
      <c r="H47" t="s">
        <v>99</v>
      </c>
      <c r="L47" t="s">
        <v>375</v>
      </c>
      <c r="M47" t="e" vm="31">
        <v>#VALUE!</v>
      </c>
      <c r="N47" t="s">
        <v>12</v>
      </c>
      <c r="P47" t="s">
        <v>21</v>
      </c>
      <c r="Q47" s="1">
        <v>46203</v>
      </c>
      <c r="S47">
        <v>1</v>
      </c>
      <c r="T47">
        <v>0</v>
      </c>
      <c r="U47">
        <v>0</v>
      </c>
    </row>
    <row r="48" spans="1:21" x14ac:dyDescent="0.2">
      <c r="A48" t="s">
        <v>521</v>
      </c>
      <c r="C48" s="1">
        <v>45955</v>
      </c>
      <c r="D48" t="s">
        <v>522</v>
      </c>
      <c r="H48" t="s">
        <v>25</v>
      </c>
      <c r="L48" t="s">
        <v>523</v>
      </c>
      <c r="M48" t="e" vm="32">
        <v>#VALUE!</v>
      </c>
      <c r="N48" t="s">
        <v>12</v>
      </c>
      <c r="P48" t="s">
        <v>20</v>
      </c>
      <c r="Q48" s="1">
        <v>45962</v>
      </c>
      <c r="S48">
        <v>1</v>
      </c>
      <c r="T48">
        <v>0</v>
      </c>
      <c r="U48">
        <v>0</v>
      </c>
    </row>
    <row r="49" spans="1:21" x14ac:dyDescent="0.2">
      <c r="A49" t="s">
        <v>528</v>
      </c>
      <c r="C49" s="1">
        <v>45955</v>
      </c>
      <c r="D49" t="s">
        <v>529</v>
      </c>
      <c r="H49" t="s">
        <v>25</v>
      </c>
      <c r="L49" t="s">
        <v>530</v>
      </c>
      <c r="M49" t="e" vm="33">
        <v>#VALUE!</v>
      </c>
      <c r="N49" t="s">
        <v>21</v>
      </c>
      <c r="Q49" s="1">
        <v>46010</v>
      </c>
      <c r="S49">
        <v>1</v>
      </c>
      <c r="T49">
        <v>0</v>
      </c>
      <c r="U49">
        <v>1</v>
      </c>
    </row>
    <row r="50" spans="1:21" x14ac:dyDescent="0.2">
      <c r="A50" t="s">
        <v>476</v>
      </c>
      <c r="C50" s="1">
        <v>45955</v>
      </c>
      <c r="D50" t="s">
        <v>551</v>
      </c>
      <c r="H50" t="s">
        <v>25</v>
      </c>
      <c r="L50" t="s">
        <v>550</v>
      </c>
      <c r="M50" t="e" vm="34">
        <v>#VALUE!</v>
      </c>
      <c r="N50" t="s">
        <v>12</v>
      </c>
      <c r="P50" t="s">
        <v>20</v>
      </c>
      <c r="Q50" s="1">
        <v>45995</v>
      </c>
      <c r="S50">
        <v>1</v>
      </c>
      <c r="T50">
        <v>0</v>
      </c>
      <c r="U50">
        <v>1</v>
      </c>
    </row>
    <row r="51" spans="1:21" x14ac:dyDescent="0.2">
      <c r="A51" t="s">
        <v>552</v>
      </c>
      <c r="C51" s="1">
        <v>45955</v>
      </c>
      <c r="D51" t="s">
        <v>553</v>
      </c>
      <c r="H51" t="s">
        <v>25</v>
      </c>
      <c r="L51" t="s">
        <v>554</v>
      </c>
      <c r="M51" t="e" vm="35">
        <v>#VALUE!</v>
      </c>
      <c r="N51" t="s">
        <v>12</v>
      </c>
      <c r="P51" t="s">
        <v>20</v>
      </c>
      <c r="Q51" s="1">
        <v>46203</v>
      </c>
      <c r="S51">
        <v>1</v>
      </c>
      <c r="T51">
        <v>1</v>
      </c>
      <c r="U51">
        <v>1</v>
      </c>
    </row>
    <row r="52" spans="1:21" x14ac:dyDescent="0.2">
      <c r="A52" t="s">
        <v>560</v>
      </c>
      <c r="C52" s="1">
        <v>45955</v>
      </c>
      <c r="D52" t="s">
        <v>559</v>
      </c>
      <c r="H52" t="s">
        <v>25</v>
      </c>
      <c r="L52" t="s">
        <v>561</v>
      </c>
      <c r="M52" t="e" vm="36">
        <v>#VALUE!</v>
      </c>
      <c r="N52" t="s">
        <v>12</v>
      </c>
      <c r="P52" t="s">
        <v>20</v>
      </c>
      <c r="Q52" s="1">
        <v>46053</v>
      </c>
      <c r="S52">
        <v>1</v>
      </c>
      <c r="T52">
        <v>1</v>
      </c>
      <c r="U52">
        <v>0</v>
      </c>
    </row>
    <row r="53" spans="1:21" x14ac:dyDescent="0.2">
      <c r="A53" t="s">
        <v>513</v>
      </c>
      <c r="B53" t="s">
        <v>520</v>
      </c>
      <c r="C53" s="1">
        <v>45960</v>
      </c>
      <c r="D53" t="s">
        <v>514</v>
      </c>
      <c r="H53" t="s">
        <v>25</v>
      </c>
      <c r="L53" t="s">
        <v>515</v>
      </c>
      <c r="M53" t="e" vm="22">
        <v>#VALUE!</v>
      </c>
      <c r="N53" t="s">
        <v>12</v>
      </c>
      <c r="P53" t="s">
        <v>20</v>
      </c>
      <c r="Q53" s="1">
        <v>46081</v>
      </c>
      <c r="S53">
        <v>1</v>
      </c>
      <c r="T53">
        <v>0</v>
      </c>
      <c r="U53">
        <v>0</v>
      </c>
    </row>
    <row r="54" spans="1:21" x14ac:dyDescent="0.2">
      <c r="A54" t="s">
        <v>109</v>
      </c>
      <c r="C54" s="1">
        <v>45961</v>
      </c>
      <c r="D54" t="s">
        <v>16</v>
      </c>
      <c r="G54" s="1"/>
      <c r="H54" t="s">
        <v>99</v>
      </c>
      <c r="L54" s="2" t="s">
        <v>110</v>
      </c>
      <c r="M54" t="e" vm="9">
        <v>#VALUE!</v>
      </c>
      <c r="N54" t="s">
        <v>28</v>
      </c>
      <c r="P54" t="s">
        <v>20</v>
      </c>
      <c r="Q54" s="1">
        <v>45961</v>
      </c>
      <c r="S54">
        <v>1</v>
      </c>
      <c r="T54">
        <v>0</v>
      </c>
      <c r="U54">
        <v>0</v>
      </c>
    </row>
    <row r="55" spans="1:21" x14ac:dyDescent="0.2">
      <c r="A55" t="s">
        <v>193</v>
      </c>
      <c r="C55" s="1">
        <v>45962</v>
      </c>
      <c r="D55" t="s">
        <v>16</v>
      </c>
      <c r="H55" t="s">
        <v>99</v>
      </c>
      <c r="L55" s="2" t="s">
        <v>194</v>
      </c>
      <c r="M55" t="e" vm="37">
        <v>#VALUE!</v>
      </c>
      <c r="N55" t="s">
        <v>12</v>
      </c>
      <c r="P55" t="s">
        <v>20</v>
      </c>
      <c r="Q55" s="1">
        <v>45971</v>
      </c>
      <c r="S55">
        <v>1</v>
      </c>
      <c r="T55">
        <v>1</v>
      </c>
      <c r="U55">
        <v>0</v>
      </c>
    </row>
    <row r="56" spans="1:21" x14ac:dyDescent="0.2">
      <c r="A56" t="s">
        <v>195</v>
      </c>
      <c r="C56" s="1">
        <v>45962</v>
      </c>
      <c r="D56" t="s">
        <v>16</v>
      </c>
      <c r="E56" s="2" t="s">
        <v>197</v>
      </c>
      <c r="G56" t="s">
        <v>198</v>
      </c>
      <c r="H56" t="s">
        <v>99</v>
      </c>
      <c r="L56" s="2" t="s">
        <v>196</v>
      </c>
      <c r="M56" t="e" vm="10">
        <v>#VALUE!</v>
      </c>
      <c r="N56" t="s">
        <v>12</v>
      </c>
      <c r="P56" t="s">
        <v>20</v>
      </c>
      <c r="Q56" s="1">
        <v>45971</v>
      </c>
      <c r="S56">
        <v>1</v>
      </c>
      <c r="T56">
        <v>0</v>
      </c>
      <c r="U56">
        <v>0</v>
      </c>
    </row>
    <row r="57" spans="1:21" x14ac:dyDescent="0.2">
      <c r="A57" t="s">
        <v>199</v>
      </c>
      <c r="C57" s="1">
        <v>45962</v>
      </c>
      <c r="D57" t="s">
        <v>16</v>
      </c>
      <c r="E57" s="2" t="s">
        <v>201</v>
      </c>
      <c r="H57" t="s">
        <v>99</v>
      </c>
      <c r="L57" s="2" t="s">
        <v>200</v>
      </c>
      <c r="M57" t="e" vm="9">
        <v>#VALUE!</v>
      </c>
      <c r="N57" t="s">
        <v>12</v>
      </c>
      <c r="P57" t="s">
        <v>20</v>
      </c>
      <c r="Q57" s="1">
        <v>45971</v>
      </c>
      <c r="S57">
        <v>1</v>
      </c>
      <c r="T57">
        <v>1</v>
      </c>
      <c r="U57">
        <v>1</v>
      </c>
    </row>
    <row r="58" spans="1:21" x14ac:dyDescent="0.2">
      <c r="A58" s="4" t="s">
        <v>148</v>
      </c>
      <c r="C58" s="1">
        <v>45962</v>
      </c>
      <c r="D58" t="s">
        <v>42</v>
      </c>
      <c r="F58">
        <v>1</v>
      </c>
      <c r="G58" t="s">
        <v>150</v>
      </c>
      <c r="H58" t="s">
        <v>99</v>
      </c>
      <c r="J58" t="s">
        <v>248</v>
      </c>
      <c r="K58" s="1">
        <v>45976</v>
      </c>
      <c r="L58" s="2" t="s">
        <v>149</v>
      </c>
      <c r="M58" t="e" vm="38">
        <v>#VALUE!</v>
      </c>
      <c r="N58" t="s">
        <v>12</v>
      </c>
      <c r="P58" t="s">
        <v>20</v>
      </c>
      <c r="Q58" s="1">
        <v>45975</v>
      </c>
      <c r="S58">
        <v>1</v>
      </c>
      <c r="T58">
        <v>0</v>
      </c>
      <c r="U58">
        <v>0</v>
      </c>
    </row>
    <row r="59" spans="1:21" x14ac:dyDescent="0.2">
      <c r="A59" t="s">
        <v>202</v>
      </c>
      <c r="B59" t="s">
        <v>284</v>
      </c>
      <c r="C59" s="1">
        <v>45962</v>
      </c>
      <c r="D59" t="s">
        <v>16</v>
      </c>
      <c r="H59" t="s">
        <v>99</v>
      </c>
      <c r="L59" s="2" t="s">
        <v>203</v>
      </c>
      <c r="M59" t="e" vm="39">
        <v>#VALUE!</v>
      </c>
      <c r="N59" t="s">
        <v>182</v>
      </c>
      <c r="P59" t="s">
        <v>21</v>
      </c>
      <c r="Q59" s="1">
        <v>45979</v>
      </c>
      <c r="S59">
        <v>1</v>
      </c>
      <c r="T59">
        <v>0</v>
      </c>
      <c r="U59">
        <v>1</v>
      </c>
    </row>
    <row r="60" spans="1:21" x14ac:dyDescent="0.2">
      <c r="A60" t="s">
        <v>426</v>
      </c>
      <c r="C60" s="1">
        <v>45962</v>
      </c>
      <c r="D60" s="2" t="s">
        <v>425</v>
      </c>
      <c r="E60" t="s">
        <v>424</v>
      </c>
      <c r="H60" t="s">
        <v>99</v>
      </c>
      <c r="L60" t="s">
        <v>427</v>
      </c>
      <c r="M60" t="e" vm="40">
        <v>#VALUE!</v>
      </c>
      <c r="N60" t="s">
        <v>12</v>
      </c>
      <c r="P60" t="s">
        <v>20</v>
      </c>
      <c r="Q60" s="1">
        <v>45981</v>
      </c>
      <c r="S60">
        <v>1</v>
      </c>
      <c r="T60">
        <v>1</v>
      </c>
      <c r="U60">
        <v>1</v>
      </c>
    </row>
    <row r="61" spans="1:21" x14ac:dyDescent="0.2">
      <c r="A61" t="s">
        <v>467</v>
      </c>
      <c r="C61" s="1">
        <v>45962</v>
      </c>
      <c r="D61" t="s">
        <v>469</v>
      </c>
      <c r="H61" t="s">
        <v>99</v>
      </c>
      <c r="L61" t="s">
        <v>468</v>
      </c>
      <c r="M61" t="e" vm="41">
        <v>#VALUE!</v>
      </c>
      <c r="N61" t="s">
        <v>12</v>
      </c>
      <c r="P61" t="s">
        <v>20</v>
      </c>
      <c r="Q61" s="1">
        <v>46244</v>
      </c>
      <c r="S61">
        <v>1</v>
      </c>
      <c r="T61">
        <v>0</v>
      </c>
      <c r="U61">
        <v>0</v>
      </c>
    </row>
    <row r="62" spans="1:21" x14ac:dyDescent="0.2">
      <c r="A62" t="s">
        <v>491</v>
      </c>
      <c r="C62" s="1">
        <v>45962</v>
      </c>
      <c r="D62" t="s">
        <v>42</v>
      </c>
      <c r="E62" s="2" t="s">
        <v>493</v>
      </c>
      <c r="H62" t="s">
        <v>99</v>
      </c>
      <c r="L62" t="s">
        <v>490</v>
      </c>
      <c r="M62" t="e" vm="21">
        <v>#VALUE!</v>
      </c>
      <c r="N62" t="s">
        <v>12</v>
      </c>
      <c r="P62" t="s">
        <v>20</v>
      </c>
      <c r="Q62" s="1">
        <v>45976</v>
      </c>
      <c r="S62">
        <v>1</v>
      </c>
      <c r="T62">
        <v>1</v>
      </c>
      <c r="U62">
        <v>1</v>
      </c>
    </row>
    <row r="63" spans="1:21" x14ac:dyDescent="0.2">
      <c r="A63" t="s">
        <v>494</v>
      </c>
      <c r="B63" t="s">
        <v>497</v>
      </c>
      <c r="C63" s="1">
        <v>45962</v>
      </c>
      <c r="D63" t="s">
        <v>42</v>
      </c>
      <c r="E63" t="s">
        <v>496</v>
      </c>
      <c r="H63" t="s">
        <v>99</v>
      </c>
      <c r="L63" t="s">
        <v>495</v>
      </c>
      <c r="M63" t="e" vm="42">
        <v>#VALUE!</v>
      </c>
      <c r="N63" t="s">
        <v>12</v>
      </c>
      <c r="P63" t="s">
        <v>20</v>
      </c>
      <c r="Q63" s="1">
        <v>46055</v>
      </c>
      <c r="S63">
        <v>1</v>
      </c>
      <c r="T63">
        <v>1</v>
      </c>
      <c r="U63">
        <v>1</v>
      </c>
    </row>
    <row r="64" spans="1:21" ht="17" x14ac:dyDescent="0.2">
      <c r="A64" t="s">
        <v>501</v>
      </c>
      <c r="B64" t="s">
        <v>456</v>
      </c>
      <c r="C64" s="1">
        <v>45962</v>
      </c>
      <c r="D64" t="s">
        <v>42</v>
      </c>
      <c r="E64" t="s">
        <v>502</v>
      </c>
      <c r="H64" t="s">
        <v>99</v>
      </c>
      <c r="L64" s="17" t="s">
        <v>499</v>
      </c>
      <c r="M64" t="e" vm="43">
        <v>#VALUE!</v>
      </c>
      <c r="N64" t="s">
        <v>12</v>
      </c>
      <c r="P64" t="s">
        <v>20</v>
      </c>
      <c r="Q64" s="1">
        <v>45964</v>
      </c>
      <c r="S64">
        <v>1</v>
      </c>
      <c r="T64">
        <v>0</v>
      </c>
      <c r="U64">
        <v>0</v>
      </c>
    </row>
    <row r="65" spans="1:21" x14ac:dyDescent="0.2">
      <c r="A65" t="s">
        <v>566</v>
      </c>
      <c r="C65" s="1">
        <v>45962</v>
      </c>
      <c r="D65" t="s">
        <v>567</v>
      </c>
      <c r="H65" t="s">
        <v>25</v>
      </c>
      <c r="L65" t="s">
        <v>568</v>
      </c>
      <c r="M65" t="e" vm="22">
        <v>#VALUE!</v>
      </c>
      <c r="N65" t="s">
        <v>12</v>
      </c>
      <c r="P65" t="s">
        <v>20</v>
      </c>
      <c r="Q65" s="1">
        <v>45962</v>
      </c>
      <c r="S65">
        <v>1</v>
      </c>
      <c r="T65">
        <v>1</v>
      </c>
      <c r="U65">
        <v>1</v>
      </c>
    </row>
    <row r="66" spans="1:21" x14ac:dyDescent="0.2">
      <c r="A66" t="s">
        <v>218</v>
      </c>
      <c r="C66" s="1">
        <v>45966</v>
      </c>
      <c r="D66" t="s">
        <v>42</v>
      </c>
      <c r="E66" t="s">
        <v>222</v>
      </c>
      <c r="H66" t="s">
        <v>99</v>
      </c>
      <c r="L66" t="s">
        <v>217</v>
      </c>
      <c r="M66" t="e" vm="5">
        <v>#VALUE!</v>
      </c>
      <c r="N66" t="s">
        <v>12</v>
      </c>
      <c r="P66" t="s">
        <v>20</v>
      </c>
      <c r="Q66" s="1">
        <v>45716</v>
      </c>
      <c r="S66">
        <v>1</v>
      </c>
      <c r="T66">
        <v>0</v>
      </c>
      <c r="U66">
        <v>0</v>
      </c>
    </row>
    <row r="67" spans="1:21" x14ac:dyDescent="0.2">
      <c r="A67" s="4" t="s">
        <v>120</v>
      </c>
      <c r="B67" t="s">
        <v>412</v>
      </c>
      <c r="C67" s="1">
        <v>45966</v>
      </c>
      <c r="D67" t="s">
        <v>16</v>
      </c>
      <c r="F67">
        <v>2</v>
      </c>
      <c r="H67" t="s">
        <v>25</v>
      </c>
      <c r="J67" t="s">
        <v>248</v>
      </c>
      <c r="K67" s="1">
        <v>45976</v>
      </c>
      <c r="L67" s="2" t="s">
        <v>121</v>
      </c>
      <c r="M67" t="e" vm="9">
        <v>#VALUE!</v>
      </c>
      <c r="N67" t="s">
        <v>12</v>
      </c>
      <c r="P67" t="s">
        <v>20</v>
      </c>
      <c r="Q67" s="1">
        <v>45971</v>
      </c>
      <c r="S67">
        <v>1</v>
      </c>
      <c r="T67">
        <v>0</v>
      </c>
      <c r="U67">
        <v>0</v>
      </c>
    </row>
    <row r="68" spans="1:21" x14ac:dyDescent="0.2">
      <c r="A68" t="s">
        <v>165</v>
      </c>
      <c r="C68" s="1">
        <v>45966</v>
      </c>
      <c r="D68" t="s">
        <v>16</v>
      </c>
      <c r="E68" s="2" t="s">
        <v>167</v>
      </c>
      <c r="H68" t="s">
        <v>99</v>
      </c>
      <c r="L68" s="2" t="s">
        <v>166</v>
      </c>
      <c r="M68" t="e" vm="44">
        <v>#VALUE!</v>
      </c>
      <c r="N68" t="s">
        <v>12</v>
      </c>
      <c r="O68" t="s">
        <v>95</v>
      </c>
      <c r="P68" t="s">
        <v>20</v>
      </c>
      <c r="Q68" s="1">
        <v>45971</v>
      </c>
      <c r="S68">
        <v>1</v>
      </c>
      <c r="T68">
        <v>1</v>
      </c>
      <c r="U68">
        <v>1</v>
      </c>
    </row>
    <row r="69" spans="1:21" x14ac:dyDescent="0.2">
      <c r="A69" t="s">
        <v>35</v>
      </c>
      <c r="C69" s="1">
        <v>45966</v>
      </c>
      <c r="D69" t="s">
        <v>16</v>
      </c>
      <c r="E69" s="2" t="s">
        <v>36</v>
      </c>
      <c r="G69" s="1"/>
      <c r="H69" t="s">
        <v>99</v>
      </c>
      <c r="L69" s="2" t="s">
        <v>34</v>
      </c>
      <c r="M69" t="e" vm="45">
        <v>#VALUE!</v>
      </c>
      <c r="N69" t="s">
        <v>12</v>
      </c>
      <c r="O69" t="s">
        <v>19</v>
      </c>
      <c r="P69" t="s">
        <v>20</v>
      </c>
      <c r="Q69" s="1">
        <v>45971</v>
      </c>
      <c r="R69" s="2"/>
      <c r="S69">
        <v>1</v>
      </c>
      <c r="T69">
        <v>0</v>
      </c>
      <c r="U69">
        <v>1</v>
      </c>
    </row>
    <row r="70" spans="1:21" x14ac:dyDescent="0.2">
      <c r="A70" t="s">
        <v>92</v>
      </c>
      <c r="C70" s="1">
        <v>45966</v>
      </c>
      <c r="D70" t="s">
        <v>94</v>
      </c>
      <c r="G70" s="1"/>
      <c r="H70" t="s">
        <v>99</v>
      </c>
      <c r="L70" s="2" t="s">
        <v>93</v>
      </c>
      <c r="M70" t="e" vm="46">
        <v>#VALUE!</v>
      </c>
      <c r="N70" t="s">
        <v>12</v>
      </c>
      <c r="O70" t="s">
        <v>95</v>
      </c>
      <c r="P70" t="s">
        <v>20</v>
      </c>
      <c r="Q70" s="1">
        <v>45971</v>
      </c>
      <c r="S70">
        <v>1</v>
      </c>
      <c r="T70">
        <v>0</v>
      </c>
      <c r="U70">
        <v>1</v>
      </c>
    </row>
    <row r="71" spans="1:21" x14ac:dyDescent="0.2">
      <c r="A71" t="s">
        <v>96</v>
      </c>
      <c r="C71" s="1">
        <v>45966</v>
      </c>
      <c r="D71" t="s">
        <v>42</v>
      </c>
      <c r="E71" t="s">
        <v>98</v>
      </c>
      <c r="G71" s="1"/>
      <c r="H71" t="s">
        <v>99</v>
      </c>
      <c r="L71" s="2" t="s">
        <v>97</v>
      </c>
      <c r="M71" t="e" vm="47">
        <v>#VALUE!</v>
      </c>
      <c r="N71" t="s">
        <v>12</v>
      </c>
      <c r="P71" t="s">
        <v>20</v>
      </c>
      <c r="Q71" s="1">
        <v>45971</v>
      </c>
      <c r="S71">
        <v>1</v>
      </c>
      <c r="T71">
        <v>0</v>
      </c>
      <c r="U71">
        <v>0</v>
      </c>
    </row>
    <row r="72" spans="1:21" x14ac:dyDescent="0.2">
      <c r="A72" t="s">
        <v>450</v>
      </c>
      <c r="B72" t="s">
        <v>453</v>
      </c>
      <c r="C72" s="1">
        <v>45966</v>
      </c>
      <c r="D72" t="s">
        <v>451</v>
      </c>
      <c r="H72" t="s">
        <v>99</v>
      </c>
      <c r="L72" t="s">
        <v>452</v>
      </c>
      <c r="M72" t="e" vm="48">
        <v>#VALUE!</v>
      </c>
      <c r="N72" t="s">
        <v>12</v>
      </c>
      <c r="P72" t="s">
        <v>20</v>
      </c>
      <c r="Q72" s="1">
        <v>45972</v>
      </c>
      <c r="S72">
        <v>1</v>
      </c>
      <c r="T72">
        <v>1</v>
      </c>
      <c r="U72">
        <v>1</v>
      </c>
    </row>
    <row r="73" spans="1:21" x14ac:dyDescent="0.2">
      <c r="A73" s="4" t="s">
        <v>205</v>
      </c>
      <c r="C73" s="1">
        <v>45966</v>
      </c>
      <c r="D73" t="s">
        <v>16</v>
      </c>
      <c r="F73">
        <v>3</v>
      </c>
      <c r="H73" t="s">
        <v>25</v>
      </c>
      <c r="J73" t="s">
        <v>248</v>
      </c>
      <c r="K73" s="1">
        <v>45976</v>
      </c>
      <c r="L73" s="2" t="s">
        <v>204</v>
      </c>
      <c r="M73" t="e" vm="49">
        <v>#VALUE!</v>
      </c>
      <c r="N73" t="s">
        <v>12</v>
      </c>
      <c r="P73" t="s">
        <v>20</v>
      </c>
      <c r="Q73" s="1">
        <v>45974</v>
      </c>
      <c r="S73">
        <v>1</v>
      </c>
      <c r="T73">
        <v>0</v>
      </c>
      <c r="U73">
        <v>0</v>
      </c>
    </row>
    <row r="74" spans="1:21" x14ac:dyDescent="0.2">
      <c r="A74" t="s">
        <v>220</v>
      </c>
      <c r="C74" s="1">
        <v>45966</v>
      </c>
      <c r="D74" t="s">
        <v>42</v>
      </c>
      <c r="E74" t="s">
        <v>221</v>
      </c>
      <c r="H74" t="s">
        <v>99</v>
      </c>
      <c r="L74" t="s">
        <v>219</v>
      </c>
      <c r="M74" t="e" vm="5">
        <v>#VALUE!</v>
      </c>
      <c r="N74" t="s">
        <v>12</v>
      </c>
      <c r="P74" t="s">
        <v>20</v>
      </c>
      <c r="Q74" s="1">
        <v>45975</v>
      </c>
      <c r="S74">
        <v>1</v>
      </c>
      <c r="T74">
        <v>0</v>
      </c>
      <c r="U74">
        <v>0</v>
      </c>
    </row>
    <row r="75" spans="1:21" x14ac:dyDescent="0.2">
      <c r="A75" t="s">
        <v>333</v>
      </c>
      <c r="C75" s="1">
        <v>45966</v>
      </c>
      <c r="D75" t="s">
        <v>16</v>
      </c>
      <c r="H75" t="s">
        <v>99</v>
      </c>
      <c r="L75" t="s">
        <v>332</v>
      </c>
      <c r="M75" t="e" vm="37">
        <v>#VALUE!</v>
      </c>
      <c r="N75" t="s">
        <v>12</v>
      </c>
      <c r="P75" t="s">
        <v>20</v>
      </c>
      <c r="Q75" s="1">
        <v>45975</v>
      </c>
      <c r="S75">
        <v>1</v>
      </c>
      <c r="T75">
        <v>0</v>
      </c>
      <c r="U75">
        <v>0</v>
      </c>
    </row>
    <row r="76" spans="1:21" x14ac:dyDescent="0.2">
      <c r="A76" t="s">
        <v>335</v>
      </c>
      <c r="C76" s="1">
        <v>45966</v>
      </c>
      <c r="D76" t="s">
        <v>16</v>
      </c>
      <c r="G76" t="s">
        <v>336</v>
      </c>
      <c r="H76" t="s">
        <v>99</v>
      </c>
      <c r="L76" t="s">
        <v>334</v>
      </c>
      <c r="M76" t="e" vm="49">
        <v>#VALUE!</v>
      </c>
      <c r="N76" t="s">
        <v>28</v>
      </c>
      <c r="P76" t="s">
        <v>20</v>
      </c>
      <c r="Q76" s="1">
        <v>45975</v>
      </c>
      <c r="S76">
        <v>1</v>
      </c>
      <c r="T76">
        <v>0</v>
      </c>
      <c r="U76">
        <v>0</v>
      </c>
    </row>
    <row r="77" spans="1:21" x14ac:dyDescent="0.2">
      <c r="A77" t="s">
        <v>338</v>
      </c>
      <c r="C77" s="1">
        <v>45966</v>
      </c>
      <c r="D77" t="s">
        <v>16</v>
      </c>
      <c r="G77" t="s">
        <v>339</v>
      </c>
      <c r="H77" t="s">
        <v>99</v>
      </c>
      <c r="L77" t="s">
        <v>337</v>
      </c>
      <c r="M77" t="e" vm="49">
        <v>#VALUE!</v>
      </c>
      <c r="N77" t="s">
        <v>12</v>
      </c>
      <c r="P77" t="s">
        <v>20</v>
      </c>
      <c r="Q77" s="1">
        <v>45975</v>
      </c>
      <c r="S77">
        <v>1</v>
      </c>
      <c r="T77">
        <v>0</v>
      </c>
      <c r="U77">
        <v>0</v>
      </c>
    </row>
    <row r="78" spans="1:21" x14ac:dyDescent="0.2">
      <c r="A78" t="s">
        <v>369</v>
      </c>
      <c r="C78" s="1">
        <v>45966</v>
      </c>
      <c r="D78" t="s">
        <v>371</v>
      </c>
      <c r="H78" t="s">
        <v>99</v>
      </c>
      <c r="L78" t="s">
        <v>370</v>
      </c>
      <c r="M78" t="e" vm="50">
        <v>#VALUE!</v>
      </c>
      <c r="N78" t="s">
        <v>12</v>
      </c>
      <c r="P78" t="s">
        <v>20</v>
      </c>
      <c r="Q78" s="1">
        <v>45975</v>
      </c>
      <c r="S78">
        <v>1</v>
      </c>
      <c r="T78">
        <v>0</v>
      </c>
      <c r="U78">
        <v>1</v>
      </c>
    </row>
    <row r="79" spans="1:21" x14ac:dyDescent="0.2">
      <c r="A79" t="s">
        <v>441</v>
      </c>
      <c r="B79" t="s">
        <v>444</v>
      </c>
      <c r="C79" s="1">
        <v>45966</v>
      </c>
      <c r="D79" t="s">
        <v>16</v>
      </c>
      <c r="E79" t="s">
        <v>442</v>
      </c>
      <c r="H79" t="s">
        <v>99</v>
      </c>
      <c r="L79" t="s">
        <v>443</v>
      </c>
      <c r="M79" t="e" vm="51">
        <v>#VALUE!</v>
      </c>
      <c r="N79" t="s">
        <v>12</v>
      </c>
      <c r="P79" t="s">
        <v>20</v>
      </c>
      <c r="Q79" s="1">
        <v>45975</v>
      </c>
      <c r="S79">
        <v>1</v>
      </c>
      <c r="T79">
        <v>1</v>
      </c>
      <c r="U79">
        <v>1</v>
      </c>
    </row>
    <row r="80" spans="1:21" x14ac:dyDescent="0.2">
      <c r="A80" t="s">
        <v>473</v>
      </c>
      <c r="C80" s="1">
        <v>45966</v>
      </c>
      <c r="D80" s="2" t="s">
        <v>474</v>
      </c>
      <c r="H80" t="s">
        <v>99</v>
      </c>
      <c r="L80" t="s">
        <v>475</v>
      </c>
      <c r="M80" t="e" vm="34">
        <v>#VALUE!</v>
      </c>
      <c r="N80" t="s">
        <v>12</v>
      </c>
      <c r="P80" t="s">
        <v>20</v>
      </c>
      <c r="Q80" s="1">
        <v>45975</v>
      </c>
      <c r="S80">
        <v>1</v>
      </c>
      <c r="T80">
        <v>1</v>
      </c>
      <c r="U80">
        <v>1</v>
      </c>
    </row>
    <row r="81" spans="1:21" x14ac:dyDescent="0.2">
      <c r="A81" t="s">
        <v>238</v>
      </c>
      <c r="C81" s="1">
        <v>45966</v>
      </c>
      <c r="D81" t="s">
        <v>42</v>
      </c>
      <c r="E81" t="s">
        <v>239</v>
      </c>
      <c r="F81">
        <v>1</v>
      </c>
      <c r="H81" t="s">
        <v>99</v>
      </c>
      <c r="L81" t="s">
        <v>237</v>
      </c>
      <c r="M81" t="e" vm="52">
        <v>#VALUE!</v>
      </c>
      <c r="N81" t="s">
        <v>12</v>
      </c>
      <c r="P81" t="s">
        <v>20</v>
      </c>
      <c r="Q81" s="1">
        <v>45976</v>
      </c>
      <c r="S81">
        <v>1</v>
      </c>
      <c r="T81">
        <v>1</v>
      </c>
      <c r="U81">
        <v>1</v>
      </c>
    </row>
    <row r="82" spans="1:21" x14ac:dyDescent="0.2">
      <c r="A82" t="s">
        <v>331</v>
      </c>
      <c r="C82" s="1">
        <v>45966</v>
      </c>
      <c r="D82" t="s">
        <v>16</v>
      </c>
      <c r="H82" t="s">
        <v>99</v>
      </c>
      <c r="L82" t="s">
        <v>330</v>
      </c>
      <c r="M82" t="e" vm="49">
        <v>#VALUE!</v>
      </c>
      <c r="N82" t="s">
        <v>12</v>
      </c>
      <c r="P82" t="s">
        <v>20</v>
      </c>
      <c r="Q82" s="1">
        <v>45976</v>
      </c>
      <c r="S82">
        <v>1</v>
      </c>
      <c r="T82">
        <v>0</v>
      </c>
      <c r="U82">
        <v>0</v>
      </c>
    </row>
    <row r="83" spans="1:21" x14ac:dyDescent="0.2">
      <c r="A83" t="s">
        <v>322</v>
      </c>
      <c r="C83" s="1">
        <v>45966</v>
      </c>
      <c r="D83" t="s">
        <v>16</v>
      </c>
      <c r="H83" t="s">
        <v>99</v>
      </c>
      <c r="L83" t="s">
        <v>399</v>
      </c>
      <c r="M83" t="e" vm="53">
        <v>#VALUE!</v>
      </c>
      <c r="N83" t="s">
        <v>12</v>
      </c>
      <c r="P83" t="s">
        <v>20</v>
      </c>
      <c r="Q83" s="1">
        <v>45976</v>
      </c>
      <c r="S83">
        <v>1</v>
      </c>
      <c r="T83">
        <v>0</v>
      </c>
      <c r="U83">
        <v>0</v>
      </c>
    </row>
    <row r="84" spans="1:21" x14ac:dyDescent="0.2">
      <c r="A84" t="s">
        <v>400</v>
      </c>
      <c r="C84" s="1">
        <v>45966</v>
      </c>
      <c r="D84" t="s">
        <v>16</v>
      </c>
      <c r="G84" t="s">
        <v>402</v>
      </c>
      <c r="H84" t="s">
        <v>99</v>
      </c>
      <c r="L84" t="s">
        <v>401</v>
      </c>
      <c r="M84" t="e" vm="54">
        <v>#VALUE!</v>
      </c>
      <c r="N84" t="s">
        <v>28</v>
      </c>
      <c r="P84" t="s">
        <v>20</v>
      </c>
      <c r="Q84" s="1">
        <v>45976</v>
      </c>
      <c r="S84">
        <v>1</v>
      </c>
      <c r="T84">
        <v>0</v>
      </c>
      <c r="U84">
        <v>0</v>
      </c>
    </row>
    <row r="85" spans="1:21" x14ac:dyDescent="0.2">
      <c r="A85" t="s">
        <v>462</v>
      </c>
      <c r="C85" s="1">
        <v>45966</v>
      </c>
      <c r="D85" t="s">
        <v>42</v>
      </c>
      <c r="F85">
        <v>1</v>
      </c>
      <c r="G85" s="18" t="s">
        <v>509</v>
      </c>
      <c r="H85" t="s">
        <v>99</v>
      </c>
      <c r="J85" t="s">
        <v>248</v>
      </c>
      <c r="K85" s="1">
        <v>45976</v>
      </c>
      <c r="L85" t="s">
        <v>463</v>
      </c>
      <c r="M85" t="e" vm="55">
        <v>#VALUE!</v>
      </c>
      <c r="N85" t="s">
        <v>12</v>
      </c>
      <c r="P85" t="s">
        <v>20</v>
      </c>
      <c r="Q85" s="1">
        <v>45976</v>
      </c>
      <c r="S85">
        <v>1</v>
      </c>
      <c r="T85">
        <v>1</v>
      </c>
      <c r="U85">
        <v>1</v>
      </c>
    </row>
    <row r="86" spans="1:21" x14ac:dyDescent="0.2">
      <c r="A86" t="s">
        <v>470</v>
      </c>
      <c r="C86" s="1">
        <v>45966</v>
      </c>
      <c r="D86" t="s">
        <v>471</v>
      </c>
      <c r="H86" t="s">
        <v>99</v>
      </c>
      <c r="L86" t="s">
        <v>472</v>
      </c>
      <c r="M86" t="e" vm="51">
        <v>#VALUE!</v>
      </c>
      <c r="N86" t="s">
        <v>12</v>
      </c>
      <c r="P86" t="s">
        <v>20</v>
      </c>
      <c r="Q86" s="1">
        <v>45976</v>
      </c>
      <c r="S86">
        <v>1</v>
      </c>
      <c r="T86">
        <v>0</v>
      </c>
      <c r="U86">
        <v>1</v>
      </c>
    </row>
    <row r="87" spans="1:21" x14ac:dyDescent="0.2">
      <c r="A87" t="s">
        <v>318</v>
      </c>
      <c r="B87" t="s">
        <v>319</v>
      </c>
      <c r="C87" s="1">
        <v>45966</v>
      </c>
      <c r="D87" t="s">
        <v>16</v>
      </c>
      <c r="F87">
        <v>1</v>
      </c>
      <c r="H87" t="s">
        <v>99</v>
      </c>
      <c r="J87" t="s">
        <v>248</v>
      </c>
      <c r="K87" s="1">
        <v>45976</v>
      </c>
      <c r="L87" t="s">
        <v>317</v>
      </c>
      <c r="M87" t="e" vm="37">
        <v>#VALUE!</v>
      </c>
      <c r="N87" t="s">
        <v>12</v>
      </c>
      <c r="P87" t="s">
        <v>20</v>
      </c>
      <c r="Q87" s="1">
        <v>45977</v>
      </c>
      <c r="S87">
        <v>1</v>
      </c>
      <c r="T87">
        <v>1</v>
      </c>
      <c r="U87">
        <v>0</v>
      </c>
    </row>
    <row r="88" spans="1:21" x14ac:dyDescent="0.2">
      <c r="A88" t="s">
        <v>321</v>
      </c>
      <c r="C88" s="1">
        <v>45966</v>
      </c>
      <c r="D88" t="s">
        <v>16</v>
      </c>
      <c r="H88" t="s">
        <v>99</v>
      </c>
      <c r="L88" t="s">
        <v>320</v>
      </c>
      <c r="M88" t="e" vm="56">
        <v>#VALUE!</v>
      </c>
      <c r="N88" t="s">
        <v>12</v>
      </c>
      <c r="P88" t="s">
        <v>20</v>
      </c>
      <c r="Q88" s="1">
        <v>45977</v>
      </c>
      <c r="S88">
        <v>1</v>
      </c>
      <c r="T88">
        <v>0</v>
      </c>
      <c r="U88">
        <v>0</v>
      </c>
    </row>
    <row r="89" spans="1:21" x14ac:dyDescent="0.2">
      <c r="A89" t="s">
        <v>397</v>
      </c>
      <c r="C89" s="1">
        <v>45966</v>
      </c>
      <c r="D89" t="s">
        <v>16</v>
      </c>
      <c r="H89" t="s">
        <v>99</v>
      </c>
      <c r="L89" t="s">
        <v>398</v>
      </c>
      <c r="M89" t="e" vm="57">
        <v>#VALUE!</v>
      </c>
      <c r="P89" t="s">
        <v>20</v>
      </c>
      <c r="Q89" s="1">
        <v>45977</v>
      </c>
      <c r="S89">
        <v>1</v>
      </c>
      <c r="T89">
        <v>0</v>
      </c>
      <c r="U89">
        <v>0</v>
      </c>
    </row>
    <row r="90" spans="1:21" x14ac:dyDescent="0.2">
      <c r="A90" t="s">
        <v>432</v>
      </c>
      <c r="C90" s="1">
        <v>45966</v>
      </c>
      <c r="D90" t="s">
        <v>433</v>
      </c>
      <c r="H90" t="s">
        <v>99</v>
      </c>
      <c r="L90" t="s">
        <v>434</v>
      </c>
      <c r="M90" t="e" vm="40">
        <v>#VALUE!</v>
      </c>
      <c r="N90" t="s">
        <v>12</v>
      </c>
      <c r="P90" t="s">
        <v>20</v>
      </c>
      <c r="Q90" s="1">
        <v>45977</v>
      </c>
      <c r="S90">
        <v>1</v>
      </c>
      <c r="T90">
        <v>0</v>
      </c>
      <c r="U90">
        <v>0</v>
      </c>
    </row>
    <row r="91" spans="1:21" x14ac:dyDescent="0.2">
      <c r="A91" t="s">
        <v>458</v>
      </c>
      <c r="B91" t="s">
        <v>461</v>
      </c>
      <c r="C91" s="1">
        <v>45966</v>
      </c>
      <c r="D91" t="s">
        <v>42</v>
      </c>
      <c r="E91" t="s">
        <v>459</v>
      </c>
      <c r="F91">
        <v>1</v>
      </c>
      <c r="H91" t="s">
        <v>99</v>
      </c>
      <c r="L91" t="s">
        <v>460</v>
      </c>
      <c r="M91" t="e" vm="58">
        <v>#VALUE!</v>
      </c>
      <c r="N91" t="s">
        <v>12</v>
      </c>
      <c r="P91" t="s">
        <v>20</v>
      </c>
      <c r="Q91" s="1">
        <v>45977</v>
      </c>
      <c r="S91">
        <v>1</v>
      </c>
      <c r="T91">
        <v>0</v>
      </c>
      <c r="U91">
        <v>0</v>
      </c>
    </row>
    <row r="92" spans="1:21" x14ac:dyDescent="0.2">
      <c r="A92" t="s">
        <v>315</v>
      </c>
      <c r="C92" s="1">
        <v>45966</v>
      </c>
      <c r="D92" t="s">
        <v>16</v>
      </c>
      <c r="G92" t="s">
        <v>316</v>
      </c>
      <c r="H92" t="s">
        <v>99</v>
      </c>
      <c r="L92" t="s">
        <v>314</v>
      </c>
      <c r="M92" t="e" vm="15">
        <v>#VALUE!</v>
      </c>
      <c r="N92" t="s">
        <v>12</v>
      </c>
      <c r="P92" t="s">
        <v>20</v>
      </c>
      <c r="Q92" s="1">
        <v>45978</v>
      </c>
      <c r="S92">
        <v>1</v>
      </c>
      <c r="T92">
        <v>0</v>
      </c>
      <c r="U92">
        <v>0</v>
      </c>
    </row>
    <row r="93" spans="1:21" x14ac:dyDescent="0.2">
      <c r="A93" t="s">
        <v>525</v>
      </c>
      <c r="C93" s="1">
        <v>45966</v>
      </c>
      <c r="D93" t="s">
        <v>42</v>
      </c>
      <c r="H93" t="s">
        <v>25</v>
      </c>
      <c r="L93" t="s">
        <v>524</v>
      </c>
      <c r="M93" t="e" vm="59">
        <v>#VALUE!</v>
      </c>
      <c r="N93" t="s">
        <v>12</v>
      </c>
      <c r="P93" t="s">
        <v>20</v>
      </c>
      <c r="Q93" s="1">
        <v>46033</v>
      </c>
      <c r="S93">
        <v>1</v>
      </c>
      <c r="T93">
        <v>0</v>
      </c>
      <c r="U93">
        <v>0</v>
      </c>
    </row>
    <row r="94" spans="1:21" x14ac:dyDescent="0.2">
      <c r="A94" t="s">
        <v>37</v>
      </c>
      <c r="C94" s="1">
        <v>45971</v>
      </c>
      <c r="E94" t="s">
        <v>49</v>
      </c>
      <c r="F94">
        <v>1</v>
      </c>
      <c r="G94" s="1"/>
      <c r="H94" t="s">
        <v>99</v>
      </c>
      <c r="L94" s="2" t="s">
        <v>38</v>
      </c>
      <c r="M94" t="e" vm="60">
        <v>#VALUE!</v>
      </c>
      <c r="N94" t="s">
        <v>39</v>
      </c>
      <c r="P94" t="s">
        <v>20</v>
      </c>
      <c r="Q94" s="1">
        <v>45971</v>
      </c>
      <c r="S94">
        <v>1</v>
      </c>
      <c r="T94">
        <v>1</v>
      </c>
      <c r="U94">
        <v>0</v>
      </c>
    </row>
    <row r="95" spans="1:21" x14ac:dyDescent="0.2">
      <c r="A95" t="s">
        <v>328</v>
      </c>
      <c r="C95" s="1">
        <v>45971</v>
      </c>
      <c r="D95" t="s">
        <v>42</v>
      </c>
      <c r="E95" t="s">
        <v>329</v>
      </c>
      <c r="H95" t="s">
        <v>99</v>
      </c>
      <c r="L95" t="s">
        <v>86</v>
      </c>
      <c r="M95" t="e" vm="4">
        <v>#VALUE!</v>
      </c>
      <c r="P95" t="s">
        <v>20</v>
      </c>
      <c r="Q95" s="1">
        <v>45973</v>
      </c>
      <c r="S95">
        <v>1</v>
      </c>
      <c r="T95">
        <v>0</v>
      </c>
      <c r="U95">
        <v>0</v>
      </c>
    </row>
    <row r="96" spans="1:21" x14ac:dyDescent="0.2">
      <c r="A96" s="4" t="s">
        <v>136</v>
      </c>
      <c r="C96" s="1">
        <v>45971</v>
      </c>
      <c r="D96" t="s">
        <v>16</v>
      </c>
      <c r="E96" t="s">
        <v>138</v>
      </c>
      <c r="F96">
        <v>2</v>
      </c>
      <c r="H96" t="s">
        <v>25</v>
      </c>
      <c r="J96" t="s">
        <v>248</v>
      </c>
      <c r="K96" s="1">
        <v>45976</v>
      </c>
      <c r="L96" s="2" t="s">
        <v>137</v>
      </c>
      <c r="M96" t="e" vm="8">
        <v>#VALUE!</v>
      </c>
      <c r="N96" t="s">
        <v>12</v>
      </c>
      <c r="P96" t="s">
        <v>20</v>
      </c>
      <c r="Q96" s="1">
        <v>45974</v>
      </c>
      <c r="S96">
        <v>1</v>
      </c>
      <c r="T96">
        <v>0</v>
      </c>
      <c r="U96">
        <v>1</v>
      </c>
    </row>
    <row r="97" spans="1:21" x14ac:dyDescent="0.2">
      <c r="A97" t="s">
        <v>435</v>
      </c>
      <c r="C97" s="1">
        <v>45971</v>
      </c>
      <c r="D97" t="s">
        <v>16</v>
      </c>
      <c r="H97" t="s">
        <v>99</v>
      </c>
      <c r="L97" t="s">
        <v>436</v>
      </c>
      <c r="M97" t="e" vm="56">
        <v>#VALUE!</v>
      </c>
      <c r="N97" t="s">
        <v>12</v>
      </c>
      <c r="P97" t="s">
        <v>20</v>
      </c>
      <c r="Q97" s="1">
        <v>45974</v>
      </c>
      <c r="S97">
        <v>1</v>
      </c>
      <c r="T97">
        <v>0</v>
      </c>
      <c r="U97">
        <v>0</v>
      </c>
    </row>
    <row r="98" spans="1:21" x14ac:dyDescent="0.2">
      <c r="A98" t="s">
        <v>280</v>
      </c>
      <c r="B98" t="s">
        <v>378</v>
      </c>
      <c r="C98" s="1">
        <v>45971</v>
      </c>
      <c r="D98" t="s">
        <v>16</v>
      </c>
      <c r="H98" t="s">
        <v>99</v>
      </c>
      <c r="L98" t="s">
        <v>203</v>
      </c>
      <c r="M98" t="e" vm="39">
        <v>#VALUE!</v>
      </c>
      <c r="N98" t="s">
        <v>12</v>
      </c>
      <c r="P98" t="s">
        <v>20</v>
      </c>
      <c r="Q98" s="1">
        <v>45975</v>
      </c>
      <c r="S98">
        <v>1</v>
      </c>
      <c r="T98">
        <v>0</v>
      </c>
      <c r="U98">
        <v>1</v>
      </c>
    </row>
    <row r="99" spans="1:21" x14ac:dyDescent="0.2">
      <c r="A99" t="s">
        <v>352</v>
      </c>
      <c r="B99" t="s">
        <v>355</v>
      </c>
      <c r="C99" s="1">
        <v>45971</v>
      </c>
      <c r="D99" t="s">
        <v>354</v>
      </c>
      <c r="H99" t="s">
        <v>99</v>
      </c>
      <c r="L99" t="s">
        <v>353</v>
      </c>
      <c r="M99" t="e" vm="19">
        <v>#VALUE!</v>
      </c>
      <c r="N99" t="s">
        <v>12</v>
      </c>
      <c r="P99" t="s">
        <v>20</v>
      </c>
      <c r="Q99" s="1">
        <v>45975</v>
      </c>
      <c r="S99">
        <v>1</v>
      </c>
      <c r="T99">
        <v>0</v>
      </c>
      <c r="U99">
        <v>1</v>
      </c>
    </row>
    <row r="100" spans="1:21" x14ac:dyDescent="0.2">
      <c r="A100" s="4" t="s">
        <v>73</v>
      </c>
      <c r="C100" s="1">
        <v>45971</v>
      </c>
      <c r="D100" t="s">
        <v>75</v>
      </c>
      <c r="F100">
        <v>3</v>
      </c>
      <c r="G100" s="1"/>
      <c r="H100" t="s">
        <v>25</v>
      </c>
      <c r="J100" t="s">
        <v>248</v>
      </c>
      <c r="K100" s="1">
        <v>45976</v>
      </c>
      <c r="L100" s="2" t="s">
        <v>74</v>
      </c>
      <c r="M100" t="e" vm="61">
        <v>#VALUE!</v>
      </c>
      <c r="N100" t="s">
        <v>12</v>
      </c>
      <c r="P100" t="s">
        <v>20</v>
      </c>
      <c r="Q100" s="1">
        <v>45976</v>
      </c>
      <c r="S100">
        <v>1</v>
      </c>
      <c r="T100">
        <v>0</v>
      </c>
      <c r="U100">
        <v>0</v>
      </c>
    </row>
    <row r="101" spans="1:21" x14ac:dyDescent="0.2">
      <c r="A101" s="4" t="s">
        <v>88</v>
      </c>
      <c r="C101" s="1">
        <v>45971</v>
      </c>
      <c r="D101" t="s">
        <v>16</v>
      </c>
      <c r="F101">
        <v>2</v>
      </c>
      <c r="G101" s="1"/>
      <c r="H101" t="s">
        <v>25</v>
      </c>
      <c r="J101" t="s">
        <v>248</v>
      </c>
      <c r="K101" s="1">
        <v>45976</v>
      </c>
      <c r="L101" s="2" t="s">
        <v>89</v>
      </c>
      <c r="M101" t="e" vm="60">
        <v>#VALUE!</v>
      </c>
      <c r="N101" t="s">
        <v>12</v>
      </c>
      <c r="P101" t="s">
        <v>20</v>
      </c>
      <c r="Q101" s="1">
        <v>45976</v>
      </c>
      <c r="S101">
        <v>1</v>
      </c>
      <c r="T101">
        <v>0</v>
      </c>
      <c r="U101">
        <v>0</v>
      </c>
    </row>
    <row r="102" spans="1:21" x14ac:dyDescent="0.2">
      <c r="A102" s="4" t="s">
        <v>90</v>
      </c>
      <c r="C102" s="1">
        <v>45971</v>
      </c>
      <c r="D102" t="s">
        <v>16</v>
      </c>
      <c r="F102">
        <v>2</v>
      </c>
      <c r="G102" s="1" t="s">
        <v>119</v>
      </c>
      <c r="H102" t="s">
        <v>99</v>
      </c>
      <c r="J102" t="s">
        <v>248</v>
      </c>
      <c r="K102" s="1">
        <v>45976</v>
      </c>
      <c r="L102" s="2" t="s">
        <v>91</v>
      </c>
      <c r="M102" t="e" vm="62">
        <v>#VALUE!</v>
      </c>
      <c r="N102" t="s">
        <v>12</v>
      </c>
      <c r="P102" t="s">
        <v>20</v>
      </c>
      <c r="Q102" s="1">
        <v>45976</v>
      </c>
      <c r="S102">
        <v>1</v>
      </c>
      <c r="T102">
        <v>0</v>
      </c>
      <c r="U102">
        <v>0</v>
      </c>
    </row>
    <row r="103" spans="1:21" x14ac:dyDescent="0.2">
      <c r="A103" s="4" t="s">
        <v>133</v>
      </c>
      <c r="C103" s="1">
        <v>45971</v>
      </c>
      <c r="D103" t="s">
        <v>16</v>
      </c>
      <c r="F103">
        <v>1</v>
      </c>
      <c r="H103" t="s">
        <v>25</v>
      </c>
      <c r="J103" t="s">
        <v>248</v>
      </c>
      <c r="K103" s="1">
        <v>45976</v>
      </c>
      <c r="L103" s="2" t="s">
        <v>134</v>
      </c>
      <c r="M103" t="e" vm="8">
        <v>#VALUE!</v>
      </c>
      <c r="N103" t="s">
        <v>12</v>
      </c>
      <c r="P103" t="s">
        <v>20</v>
      </c>
      <c r="Q103" s="1">
        <v>45976</v>
      </c>
      <c r="S103">
        <v>1</v>
      </c>
      <c r="T103">
        <v>0</v>
      </c>
      <c r="U103">
        <v>0</v>
      </c>
    </row>
    <row r="104" spans="1:21" x14ac:dyDescent="0.2">
      <c r="A104" s="4" t="s">
        <v>160</v>
      </c>
      <c r="C104" s="1">
        <v>45971</v>
      </c>
      <c r="D104" t="s">
        <v>16</v>
      </c>
      <c r="F104">
        <v>1</v>
      </c>
      <c r="H104" t="s">
        <v>25</v>
      </c>
      <c r="J104" t="s">
        <v>248</v>
      </c>
      <c r="K104" s="1">
        <v>45976</v>
      </c>
      <c r="L104" s="2" t="s">
        <v>135</v>
      </c>
      <c r="M104" t="e" vm="8">
        <v>#VALUE!</v>
      </c>
      <c r="N104" t="s">
        <v>12</v>
      </c>
      <c r="P104" t="s">
        <v>20</v>
      </c>
      <c r="Q104" s="1">
        <v>45976</v>
      </c>
      <c r="S104">
        <v>1</v>
      </c>
      <c r="T104">
        <v>0</v>
      </c>
      <c r="U104">
        <v>0</v>
      </c>
    </row>
    <row r="105" spans="1:21" x14ac:dyDescent="0.2">
      <c r="A105" s="4" t="s">
        <v>275</v>
      </c>
      <c r="C105" s="1">
        <v>45971</v>
      </c>
      <c r="D105" t="s">
        <v>16</v>
      </c>
      <c r="F105">
        <v>1</v>
      </c>
      <c r="H105" t="s">
        <v>25</v>
      </c>
      <c r="J105" t="s">
        <v>248</v>
      </c>
      <c r="K105" s="1">
        <v>45976</v>
      </c>
      <c r="L105" t="s">
        <v>274</v>
      </c>
      <c r="M105" t="e" vm="62">
        <v>#VALUE!</v>
      </c>
      <c r="N105" t="s">
        <v>12</v>
      </c>
      <c r="P105" t="s">
        <v>20</v>
      </c>
      <c r="Q105" s="1">
        <v>45976</v>
      </c>
      <c r="S105">
        <v>1</v>
      </c>
      <c r="T105">
        <v>0</v>
      </c>
      <c r="U105">
        <v>0</v>
      </c>
    </row>
    <row r="106" spans="1:21" x14ac:dyDescent="0.2">
      <c r="A106" s="4" t="s">
        <v>282</v>
      </c>
      <c r="B106" t="s">
        <v>283</v>
      </c>
      <c r="C106" s="1">
        <v>45971</v>
      </c>
      <c r="D106" t="s">
        <v>16</v>
      </c>
      <c r="F106">
        <v>1</v>
      </c>
      <c r="H106" t="s">
        <v>25</v>
      </c>
      <c r="J106" t="s">
        <v>248</v>
      </c>
      <c r="K106" s="1">
        <v>45976</v>
      </c>
      <c r="L106" t="s">
        <v>281</v>
      </c>
      <c r="M106" t="e" vm="39">
        <v>#VALUE!</v>
      </c>
      <c r="N106" t="s">
        <v>12</v>
      </c>
      <c r="P106" t="s">
        <v>20</v>
      </c>
      <c r="Q106" s="1">
        <v>45976</v>
      </c>
      <c r="S106">
        <v>1</v>
      </c>
      <c r="T106">
        <v>0</v>
      </c>
      <c r="U106">
        <v>1</v>
      </c>
    </row>
    <row r="107" spans="1:21" x14ac:dyDescent="0.2">
      <c r="A107" t="s">
        <v>324</v>
      </c>
      <c r="C107" s="1">
        <v>45971</v>
      </c>
      <c r="D107" t="s">
        <v>16</v>
      </c>
      <c r="H107" t="s">
        <v>99</v>
      </c>
      <c r="L107" t="s">
        <v>323</v>
      </c>
      <c r="M107" t="e" vm="53">
        <v>#VALUE!</v>
      </c>
      <c r="N107" t="s">
        <v>12</v>
      </c>
      <c r="P107" t="s">
        <v>20</v>
      </c>
      <c r="Q107" s="1">
        <v>45976</v>
      </c>
      <c r="S107">
        <v>1</v>
      </c>
      <c r="T107">
        <v>0</v>
      </c>
      <c r="U107">
        <v>0</v>
      </c>
    </row>
    <row r="108" spans="1:21" x14ac:dyDescent="0.2">
      <c r="A108" t="s">
        <v>326</v>
      </c>
      <c r="C108" s="1">
        <v>45971</v>
      </c>
      <c r="D108" t="s">
        <v>16</v>
      </c>
      <c r="G108" t="s">
        <v>327</v>
      </c>
      <c r="H108" t="s">
        <v>25</v>
      </c>
      <c r="L108" t="s">
        <v>325</v>
      </c>
      <c r="M108" t="e" vm="39">
        <v>#VALUE!</v>
      </c>
      <c r="N108" t="s">
        <v>12</v>
      </c>
      <c r="P108" t="s">
        <v>20</v>
      </c>
      <c r="Q108" s="1">
        <v>45976</v>
      </c>
      <c r="S108">
        <v>1</v>
      </c>
      <c r="T108">
        <v>1</v>
      </c>
      <c r="U108">
        <v>1</v>
      </c>
    </row>
    <row r="109" spans="1:21" x14ac:dyDescent="0.2">
      <c r="A109" t="s">
        <v>82</v>
      </c>
      <c r="C109" s="1">
        <v>45971</v>
      </c>
      <c r="D109" t="s">
        <v>84</v>
      </c>
      <c r="E109" t="s">
        <v>16</v>
      </c>
      <c r="G109" s="1"/>
      <c r="H109" t="s">
        <v>25</v>
      </c>
      <c r="L109" s="2" t="s">
        <v>83</v>
      </c>
      <c r="M109" t="e" vm="63">
        <v>#VALUE!</v>
      </c>
      <c r="N109" t="s">
        <v>28</v>
      </c>
      <c r="O109" t="s">
        <v>19</v>
      </c>
      <c r="P109" t="s">
        <v>20</v>
      </c>
      <c r="Q109" s="1">
        <v>45976</v>
      </c>
      <c r="S109">
        <v>1</v>
      </c>
      <c r="T109">
        <v>0</v>
      </c>
      <c r="U109">
        <v>0</v>
      </c>
    </row>
    <row r="110" spans="1:21" x14ac:dyDescent="0.2">
      <c r="A110" t="s">
        <v>113</v>
      </c>
      <c r="C110" s="1">
        <v>45971</v>
      </c>
      <c r="D110" t="s">
        <v>42</v>
      </c>
      <c r="E110" t="s">
        <v>154</v>
      </c>
      <c r="G110" s="1"/>
      <c r="H110" t="s">
        <v>25</v>
      </c>
      <c r="L110" s="2" t="s">
        <v>114</v>
      </c>
      <c r="M110" t="e" vm="1">
        <v>#VALUE!</v>
      </c>
      <c r="N110" t="s">
        <v>12</v>
      </c>
      <c r="P110" t="s">
        <v>20</v>
      </c>
      <c r="Q110" s="1">
        <v>45976</v>
      </c>
      <c r="S110">
        <v>1</v>
      </c>
      <c r="T110">
        <v>0</v>
      </c>
      <c r="U110">
        <v>1</v>
      </c>
    </row>
    <row r="111" spans="1:21" x14ac:dyDescent="0.2">
      <c r="A111" t="s">
        <v>360</v>
      </c>
      <c r="C111" s="1">
        <v>45971</v>
      </c>
      <c r="D111" t="s">
        <v>362</v>
      </c>
      <c r="H111" t="s">
        <v>25</v>
      </c>
      <c r="L111" t="s">
        <v>358</v>
      </c>
      <c r="M111" t="e" vm="14">
        <v>#VALUE!</v>
      </c>
      <c r="N111" t="s">
        <v>12</v>
      </c>
      <c r="P111" t="s">
        <v>20</v>
      </c>
      <c r="Q111" s="1">
        <v>45976</v>
      </c>
      <c r="S111">
        <v>1</v>
      </c>
      <c r="T111">
        <v>1</v>
      </c>
      <c r="U111">
        <v>1</v>
      </c>
    </row>
    <row r="112" spans="1:21" x14ac:dyDescent="0.2">
      <c r="A112" t="s">
        <v>249</v>
      </c>
      <c r="C112" s="1">
        <v>45971</v>
      </c>
      <c r="D112" t="s">
        <v>16</v>
      </c>
      <c r="H112" t="s">
        <v>99</v>
      </c>
      <c r="L112" t="s">
        <v>250</v>
      </c>
      <c r="M112" t="e" vm="54">
        <v>#VALUE!</v>
      </c>
      <c r="N112" t="s">
        <v>28</v>
      </c>
      <c r="P112" t="s">
        <v>20</v>
      </c>
      <c r="Q112" s="1">
        <v>45977</v>
      </c>
      <c r="S112">
        <v>1</v>
      </c>
      <c r="T112">
        <v>0</v>
      </c>
      <c r="U112">
        <v>0</v>
      </c>
    </row>
    <row r="113" spans="1:21" x14ac:dyDescent="0.2">
      <c r="A113" s="4" t="s">
        <v>276</v>
      </c>
      <c r="B113" t="s">
        <v>278</v>
      </c>
      <c r="C113" s="1">
        <v>45971</v>
      </c>
      <c r="D113" t="s">
        <v>16</v>
      </c>
      <c r="F113">
        <v>2</v>
      </c>
      <c r="G113" t="s">
        <v>277</v>
      </c>
      <c r="H113" t="s">
        <v>25</v>
      </c>
      <c r="J113" t="s">
        <v>248</v>
      </c>
      <c r="K113" s="1">
        <v>45976</v>
      </c>
      <c r="L113" t="s">
        <v>164</v>
      </c>
      <c r="M113" t="e" vm="17">
        <v>#VALUE!</v>
      </c>
      <c r="N113" t="s">
        <v>12</v>
      </c>
      <c r="P113" t="s">
        <v>20</v>
      </c>
      <c r="Q113" s="1">
        <v>45977</v>
      </c>
      <c r="S113">
        <v>1</v>
      </c>
      <c r="T113">
        <v>0</v>
      </c>
      <c r="U113">
        <v>1</v>
      </c>
    </row>
    <row r="114" spans="1:21" x14ac:dyDescent="0.2">
      <c r="A114" t="s">
        <v>437</v>
      </c>
      <c r="B114" t="s">
        <v>439</v>
      </c>
      <c r="C114" s="1">
        <v>45971</v>
      </c>
      <c r="D114" t="s">
        <v>16</v>
      </c>
      <c r="E114" t="s">
        <v>438</v>
      </c>
      <c r="F114">
        <v>1</v>
      </c>
      <c r="H114" t="s">
        <v>25</v>
      </c>
      <c r="L114" t="s">
        <v>440</v>
      </c>
      <c r="M114" t="e" vm="64">
        <v>#VALUE!</v>
      </c>
      <c r="N114" t="s">
        <v>12</v>
      </c>
      <c r="P114" t="s">
        <v>20</v>
      </c>
      <c r="Q114" s="1">
        <v>45977</v>
      </c>
      <c r="S114">
        <v>1</v>
      </c>
      <c r="T114">
        <v>0</v>
      </c>
      <c r="U114">
        <v>0</v>
      </c>
    </row>
    <row r="115" spans="1:21" x14ac:dyDescent="0.2">
      <c r="A115" t="s">
        <v>310</v>
      </c>
      <c r="B115" t="s">
        <v>396</v>
      </c>
      <c r="C115" s="1">
        <v>45971</v>
      </c>
      <c r="D115" t="s">
        <v>16</v>
      </c>
      <c r="E115" t="s">
        <v>395</v>
      </c>
      <c r="G115" s="2" t="s">
        <v>311</v>
      </c>
      <c r="H115" t="s">
        <v>25</v>
      </c>
      <c r="L115" t="s">
        <v>309</v>
      </c>
      <c r="M115" t="e" vm="65">
        <v>#VALUE!</v>
      </c>
      <c r="N115" t="s">
        <v>12</v>
      </c>
      <c r="P115" t="s">
        <v>20</v>
      </c>
      <c r="Q115" s="1">
        <v>45978</v>
      </c>
      <c r="S115">
        <v>1</v>
      </c>
      <c r="T115">
        <v>0</v>
      </c>
      <c r="U115">
        <v>1</v>
      </c>
    </row>
    <row r="116" spans="1:21" x14ac:dyDescent="0.2">
      <c r="A116" t="s">
        <v>26</v>
      </c>
      <c r="C116" s="1">
        <v>45971</v>
      </c>
      <c r="D116" t="s">
        <v>16</v>
      </c>
      <c r="E116" t="s">
        <v>16</v>
      </c>
      <c r="F116">
        <v>1</v>
      </c>
      <c r="G116" s="1"/>
      <c r="H116" t="s">
        <v>108</v>
      </c>
      <c r="L116" s="2" t="s">
        <v>27</v>
      </c>
      <c r="M116" t="e" vm="66">
        <v>#VALUE!</v>
      </c>
      <c r="N116" t="s">
        <v>28</v>
      </c>
      <c r="O116" t="s">
        <v>29</v>
      </c>
      <c r="P116" t="s">
        <v>20</v>
      </c>
      <c r="Q116" s="1">
        <v>45978</v>
      </c>
      <c r="S116">
        <v>1</v>
      </c>
      <c r="T116">
        <v>0</v>
      </c>
      <c r="U116">
        <v>0</v>
      </c>
    </row>
    <row r="117" spans="1:21" x14ac:dyDescent="0.2">
      <c r="A117" t="s">
        <v>31</v>
      </c>
      <c r="C117" s="1">
        <v>45971</v>
      </c>
      <c r="D117" t="s">
        <v>16</v>
      </c>
      <c r="E117" t="s">
        <v>16</v>
      </c>
      <c r="G117" s="1"/>
      <c r="H117" t="s">
        <v>25</v>
      </c>
      <c r="L117" s="9" t="s">
        <v>32</v>
      </c>
      <c r="M117" t="e" vm="67">
        <v>#VALUE!</v>
      </c>
      <c r="N117" t="s">
        <v>12</v>
      </c>
      <c r="O117" t="s">
        <v>33</v>
      </c>
      <c r="P117" t="s">
        <v>20</v>
      </c>
      <c r="Q117" s="1">
        <v>45978</v>
      </c>
      <c r="S117">
        <v>1</v>
      </c>
      <c r="T117">
        <v>0</v>
      </c>
      <c r="U117">
        <v>0</v>
      </c>
    </row>
    <row r="118" spans="1:21" x14ac:dyDescent="0.2">
      <c r="A118" t="s">
        <v>306</v>
      </c>
      <c r="C118" s="1">
        <v>45971</v>
      </c>
      <c r="D118" t="s">
        <v>16</v>
      </c>
      <c r="E118" t="s">
        <v>308</v>
      </c>
      <c r="H118" t="s">
        <v>25</v>
      </c>
      <c r="L118" t="s">
        <v>307</v>
      </c>
      <c r="M118" t="e" vm="64">
        <v>#VALUE!</v>
      </c>
      <c r="N118" t="s">
        <v>12</v>
      </c>
      <c r="P118" t="s">
        <v>20</v>
      </c>
      <c r="Q118" s="1">
        <v>45980</v>
      </c>
      <c r="S118">
        <v>1</v>
      </c>
      <c r="T118">
        <v>0</v>
      </c>
      <c r="U118">
        <v>0</v>
      </c>
    </row>
    <row r="119" spans="1:21" x14ac:dyDescent="0.2">
      <c r="A119" s="4" t="s">
        <v>392</v>
      </c>
      <c r="B119" t="s">
        <v>394</v>
      </c>
      <c r="C119" s="1">
        <v>45971</v>
      </c>
      <c r="D119" t="s">
        <v>16</v>
      </c>
      <c r="F119">
        <v>2</v>
      </c>
      <c r="H119" t="s">
        <v>25</v>
      </c>
      <c r="J119" t="s">
        <v>248</v>
      </c>
      <c r="K119" s="1">
        <v>45986</v>
      </c>
      <c r="L119" t="s">
        <v>393</v>
      </c>
      <c r="M119" t="e" vm="30">
        <v>#VALUE!</v>
      </c>
      <c r="N119" t="s">
        <v>28</v>
      </c>
      <c r="P119" t="s">
        <v>20</v>
      </c>
      <c r="Q119" s="1">
        <v>45980</v>
      </c>
      <c r="S119">
        <v>1</v>
      </c>
      <c r="T119">
        <v>0</v>
      </c>
      <c r="U119">
        <v>0</v>
      </c>
    </row>
    <row r="120" spans="1:21" x14ac:dyDescent="0.2">
      <c r="A120" t="s">
        <v>290</v>
      </c>
      <c r="C120" s="1">
        <v>45971</v>
      </c>
      <c r="D120" t="s">
        <v>16</v>
      </c>
      <c r="H120" t="s">
        <v>25</v>
      </c>
      <c r="L120" t="s">
        <v>289</v>
      </c>
      <c r="M120" t="e" vm="37">
        <v>#VALUE!</v>
      </c>
      <c r="N120" t="s">
        <v>28</v>
      </c>
      <c r="P120" t="s">
        <v>20</v>
      </c>
      <c r="Q120" s="1">
        <v>45981</v>
      </c>
      <c r="S120">
        <v>1</v>
      </c>
      <c r="T120">
        <v>0</v>
      </c>
      <c r="U120">
        <v>0</v>
      </c>
    </row>
    <row r="121" spans="1:21" x14ac:dyDescent="0.2">
      <c r="A121" t="s">
        <v>302</v>
      </c>
      <c r="C121" s="1">
        <v>45971</v>
      </c>
      <c r="D121" t="s">
        <v>16</v>
      </c>
      <c r="G121" t="s">
        <v>303</v>
      </c>
      <c r="H121" t="s">
        <v>25</v>
      </c>
      <c r="L121" t="s">
        <v>301</v>
      </c>
      <c r="M121" t="e" vm="68">
        <v>#VALUE!</v>
      </c>
      <c r="N121" t="s">
        <v>12</v>
      </c>
      <c r="P121" t="s">
        <v>20</v>
      </c>
      <c r="Q121" s="1">
        <v>45981</v>
      </c>
      <c r="S121">
        <v>1</v>
      </c>
      <c r="T121">
        <v>1</v>
      </c>
      <c r="U121">
        <v>1</v>
      </c>
    </row>
    <row r="122" spans="1:21" x14ac:dyDescent="0.2">
      <c r="A122" t="s">
        <v>305</v>
      </c>
      <c r="C122" s="1">
        <v>45971</v>
      </c>
      <c r="D122" t="s">
        <v>16</v>
      </c>
      <c r="H122" t="s">
        <v>25</v>
      </c>
      <c r="L122" t="s">
        <v>304</v>
      </c>
      <c r="M122" t="e" vm="65">
        <v>#VALUE!</v>
      </c>
      <c r="N122" t="s">
        <v>12</v>
      </c>
      <c r="P122" t="s">
        <v>20</v>
      </c>
      <c r="Q122" s="1">
        <v>45981</v>
      </c>
      <c r="S122">
        <v>1</v>
      </c>
      <c r="T122">
        <v>1</v>
      </c>
      <c r="U122">
        <v>1</v>
      </c>
    </row>
    <row r="123" spans="1:21" x14ac:dyDescent="0.2">
      <c r="A123" t="s">
        <v>346</v>
      </c>
      <c r="B123" t="s">
        <v>350</v>
      </c>
      <c r="C123" s="1">
        <v>45971</v>
      </c>
      <c r="D123" t="s">
        <v>349</v>
      </c>
      <c r="E123" t="s">
        <v>348</v>
      </c>
      <c r="F123">
        <v>1</v>
      </c>
      <c r="G123" s="2" t="s">
        <v>351</v>
      </c>
      <c r="H123" t="s">
        <v>25</v>
      </c>
      <c r="J123" t="s">
        <v>248</v>
      </c>
      <c r="K123" s="1">
        <v>45986</v>
      </c>
      <c r="L123" t="s">
        <v>347</v>
      </c>
      <c r="M123" t="e" vm="63">
        <v>#VALUE!</v>
      </c>
      <c r="P123" t="s">
        <v>20</v>
      </c>
      <c r="Q123" s="1">
        <v>45981</v>
      </c>
      <c r="S123">
        <v>1</v>
      </c>
      <c r="T123">
        <v>1</v>
      </c>
      <c r="U123">
        <v>0</v>
      </c>
    </row>
    <row r="124" spans="1:21" x14ac:dyDescent="0.2">
      <c r="A124" t="s">
        <v>421</v>
      </c>
      <c r="C124" s="1">
        <v>45971</v>
      </c>
      <c r="D124" t="s">
        <v>422</v>
      </c>
      <c r="H124" t="s">
        <v>25</v>
      </c>
      <c r="L124" t="s">
        <v>423</v>
      </c>
      <c r="M124" t="e" vm="10">
        <v>#VALUE!</v>
      </c>
      <c r="N124" t="s">
        <v>21</v>
      </c>
      <c r="P124" t="s">
        <v>21</v>
      </c>
      <c r="Q124" s="1">
        <v>45981</v>
      </c>
      <c r="S124">
        <v>1</v>
      </c>
      <c r="T124">
        <v>0</v>
      </c>
      <c r="U124">
        <v>1</v>
      </c>
    </row>
    <row r="125" spans="1:21" x14ac:dyDescent="0.2">
      <c r="A125" t="s">
        <v>364</v>
      </c>
      <c r="B125" t="s">
        <v>365</v>
      </c>
      <c r="C125" s="1">
        <v>45971</v>
      </c>
      <c r="D125" t="s">
        <v>42</v>
      </c>
      <c r="H125" t="s">
        <v>25</v>
      </c>
      <c r="L125" t="s">
        <v>363</v>
      </c>
      <c r="M125" t="e" vm="69">
        <v>#VALUE!</v>
      </c>
      <c r="N125" t="s">
        <v>12</v>
      </c>
      <c r="P125" t="s">
        <v>20</v>
      </c>
      <c r="Q125" s="1">
        <v>45982</v>
      </c>
      <c r="S125">
        <v>1</v>
      </c>
      <c r="T125">
        <v>0</v>
      </c>
      <c r="U125">
        <v>0</v>
      </c>
    </row>
    <row r="126" spans="1:21" x14ac:dyDescent="0.2">
      <c r="A126" t="s">
        <v>388</v>
      </c>
      <c r="B126" t="s">
        <v>389</v>
      </c>
      <c r="C126" s="1">
        <v>45971</v>
      </c>
      <c r="D126" t="s">
        <v>16</v>
      </c>
      <c r="H126" t="s">
        <v>25</v>
      </c>
      <c r="L126" t="s">
        <v>169</v>
      </c>
      <c r="M126" t="e" vm="64">
        <v>#VALUE!</v>
      </c>
      <c r="N126" t="s">
        <v>28</v>
      </c>
      <c r="P126" t="s">
        <v>20</v>
      </c>
      <c r="Q126" s="1">
        <v>45982</v>
      </c>
      <c r="S126">
        <v>1</v>
      </c>
      <c r="T126">
        <v>0</v>
      </c>
      <c r="U126">
        <v>0</v>
      </c>
    </row>
    <row r="127" spans="1:21" x14ac:dyDescent="0.2">
      <c r="A127" s="4" t="s">
        <v>391</v>
      </c>
      <c r="C127" s="1">
        <v>45971</v>
      </c>
      <c r="D127" t="s">
        <v>16</v>
      </c>
      <c r="F127">
        <v>1</v>
      </c>
      <c r="H127" t="s">
        <v>25</v>
      </c>
      <c r="J127" t="s">
        <v>248</v>
      </c>
      <c r="K127" s="1">
        <v>45986</v>
      </c>
      <c r="L127" t="s">
        <v>390</v>
      </c>
      <c r="M127" t="e" vm="70">
        <v>#VALUE!</v>
      </c>
      <c r="N127" t="s">
        <v>12</v>
      </c>
      <c r="P127" t="s">
        <v>20</v>
      </c>
      <c r="Q127" s="1">
        <v>45982</v>
      </c>
      <c r="S127">
        <v>1</v>
      </c>
      <c r="T127">
        <v>1</v>
      </c>
      <c r="U127">
        <v>0</v>
      </c>
    </row>
    <row r="128" spans="1:21" x14ac:dyDescent="0.2">
      <c r="A128" t="s">
        <v>446</v>
      </c>
      <c r="C128" s="1">
        <v>45971</v>
      </c>
      <c r="D128" t="s">
        <v>42</v>
      </c>
      <c r="H128" t="s">
        <v>25</v>
      </c>
      <c r="L128" t="s">
        <v>363</v>
      </c>
      <c r="M128" t="e" vm="69">
        <v>#VALUE!</v>
      </c>
      <c r="N128" t="s">
        <v>12</v>
      </c>
      <c r="P128" t="s">
        <v>20</v>
      </c>
      <c r="Q128" s="1">
        <v>45982</v>
      </c>
      <c r="S128">
        <v>1</v>
      </c>
      <c r="T128">
        <v>0</v>
      </c>
      <c r="U128">
        <v>0</v>
      </c>
    </row>
    <row r="129" spans="1:21" x14ac:dyDescent="0.2">
      <c r="A129" t="s">
        <v>293</v>
      </c>
      <c r="C129" s="1">
        <v>45971</v>
      </c>
      <c r="D129" t="s">
        <v>16</v>
      </c>
      <c r="H129" t="s">
        <v>25</v>
      </c>
      <c r="L129" t="s">
        <v>294</v>
      </c>
      <c r="M129" t="e" vm="64">
        <v>#VALUE!</v>
      </c>
      <c r="N129" t="s">
        <v>12</v>
      </c>
      <c r="P129" t="s">
        <v>20</v>
      </c>
      <c r="Q129" s="1">
        <v>45989</v>
      </c>
      <c r="S129">
        <v>1</v>
      </c>
      <c r="T129">
        <v>0</v>
      </c>
      <c r="U129">
        <v>0</v>
      </c>
    </row>
    <row r="130" spans="1:21" x14ac:dyDescent="0.2">
      <c r="A130" t="s">
        <v>213</v>
      </c>
      <c r="C130" s="1">
        <v>45971</v>
      </c>
      <c r="D130" t="s">
        <v>42</v>
      </c>
      <c r="H130" t="s">
        <v>99</v>
      </c>
      <c r="L130" t="s">
        <v>212</v>
      </c>
      <c r="M130" t="e" vm="5">
        <v>#VALUE!</v>
      </c>
      <c r="N130" t="s">
        <v>12</v>
      </c>
      <c r="P130" t="s">
        <v>20</v>
      </c>
      <c r="Q130" s="1">
        <v>45991</v>
      </c>
      <c r="S130">
        <v>1</v>
      </c>
      <c r="T130">
        <v>0</v>
      </c>
      <c r="U130">
        <v>0</v>
      </c>
    </row>
    <row r="131" spans="1:21" x14ac:dyDescent="0.2">
      <c r="A131" t="s">
        <v>46</v>
      </c>
      <c r="C131" s="1">
        <v>45971</v>
      </c>
      <c r="D131" t="s">
        <v>16</v>
      </c>
      <c r="E131" t="s">
        <v>48</v>
      </c>
      <c r="F131">
        <v>1</v>
      </c>
      <c r="G131" s="1"/>
      <c r="H131" t="s">
        <v>99</v>
      </c>
      <c r="L131" s="2" t="s">
        <v>47</v>
      </c>
      <c r="M131" t="e" vm="71">
        <v>#VALUE!</v>
      </c>
      <c r="N131" t="s">
        <v>12</v>
      </c>
      <c r="P131" t="s">
        <v>20</v>
      </c>
      <c r="Q131" s="1">
        <v>46010</v>
      </c>
      <c r="S131">
        <v>1</v>
      </c>
      <c r="T131">
        <v>0</v>
      </c>
      <c r="U131">
        <v>0</v>
      </c>
    </row>
    <row r="132" spans="1:21" ht="17" x14ac:dyDescent="0.2">
      <c r="A132" t="s">
        <v>498</v>
      </c>
      <c r="C132" s="1">
        <v>45971</v>
      </c>
      <c r="D132" t="s">
        <v>42</v>
      </c>
      <c r="E132" t="s">
        <v>500</v>
      </c>
      <c r="H132" t="s">
        <v>25</v>
      </c>
      <c r="L132" s="17" t="s">
        <v>499</v>
      </c>
      <c r="M132" t="e" vm="43">
        <v>#VALUE!</v>
      </c>
      <c r="N132" t="s">
        <v>12</v>
      </c>
      <c r="P132" t="s">
        <v>20</v>
      </c>
      <c r="Q132" s="1">
        <v>45976</v>
      </c>
      <c r="S132">
        <v>1</v>
      </c>
      <c r="T132">
        <v>0</v>
      </c>
      <c r="U132">
        <v>0</v>
      </c>
    </row>
    <row r="133" spans="1:21" x14ac:dyDescent="0.2">
      <c r="A133" t="s">
        <v>512</v>
      </c>
      <c r="C133" s="1">
        <v>45971</v>
      </c>
      <c r="D133" t="s">
        <v>510</v>
      </c>
      <c r="H133" t="s">
        <v>25</v>
      </c>
      <c r="L133" t="s">
        <v>511</v>
      </c>
      <c r="M133" t="e" vm="19">
        <v>#VALUE!</v>
      </c>
      <c r="N133" t="s">
        <v>12</v>
      </c>
      <c r="P133" t="s">
        <v>20</v>
      </c>
      <c r="Q133" s="1">
        <v>45975</v>
      </c>
      <c r="S133">
        <v>1</v>
      </c>
      <c r="T133">
        <v>1</v>
      </c>
      <c r="U133">
        <v>1</v>
      </c>
    </row>
    <row r="134" spans="1:21" x14ac:dyDescent="0.2">
      <c r="A134" t="s">
        <v>516</v>
      </c>
      <c r="B134" t="s">
        <v>518</v>
      </c>
      <c r="C134" s="1">
        <v>45971</v>
      </c>
      <c r="D134" t="s">
        <v>517</v>
      </c>
      <c r="G134">
        <v>1</v>
      </c>
      <c r="H134" t="s">
        <v>25</v>
      </c>
      <c r="L134" t="s">
        <v>519</v>
      </c>
      <c r="M134" t="e" vm="72">
        <v>#VALUE!</v>
      </c>
      <c r="N134" t="s">
        <v>12</v>
      </c>
      <c r="P134" t="s">
        <v>20</v>
      </c>
      <c r="Q134" s="1">
        <v>45976</v>
      </c>
      <c r="S134">
        <v>1</v>
      </c>
      <c r="T134">
        <v>0</v>
      </c>
      <c r="U134">
        <v>0</v>
      </c>
    </row>
    <row r="135" spans="1:21" x14ac:dyDescent="0.2">
      <c r="A135" t="s">
        <v>111</v>
      </c>
      <c r="C135" s="1">
        <v>45976</v>
      </c>
      <c r="D135" t="s">
        <v>16</v>
      </c>
      <c r="G135" s="1"/>
      <c r="H135" t="s">
        <v>25</v>
      </c>
      <c r="L135" t="s">
        <v>112</v>
      </c>
      <c r="M135" t="e" vm="13">
        <v>#VALUE!</v>
      </c>
      <c r="N135" t="s">
        <v>12</v>
      </c>
      <c r="P135" t="s">
        <v>20</v>
      </c>
      <c r="Q135" s="1">
        <v>45981</v>
      </c>
      <c r="S135">
        <v>1</v>
      </c>
      <c r="T135">
        <v>0</v>
      </c>
      <c r="U135">
        <v>0</v>
      </c>
    </row>
    <row r="136" spans="1:21" x14ac:dyDescent="0.2">
      <c r="A136" s="4" t="s">
        <v>168</v>
      </c>
      <c r="C136" s="1">
        <v>45976</v>
      </c>
      <c r="D136" t="s">
        <v>16</v>
      </c>
      <c r="F136">
        <v>2</v>
      </c>
      <c r="G136" s="7" t="s">
        <v>170</v>
      </c>
      <c r="H136" t="s">
        <v>25</v>
      </c>
      <c r="J136" t="s">
        <v>248</v>
      </c>
      <c r="K136" s="1">
        <v>45986</v>
      </c>
      <c r="L136" s="2" t="s">
        <v>169</v>
      </c>
      <c r="M136" t="e" vm="73">
        <v>#VALUE!</v>
      </c>
      <c r="N136" t="s">
        <v>12</v>
      </c>
      <c r="P136" t="s">
        <v>20</v>
      </c>
      <c r="Q136" s="1">
        <v>45982</v>
      </c>
      <c r="S136">
        <v>1</v>
      </c>
      <c r="T136">
        <v>0</v>
      </c>
      <c r="U136">
        <v>0</v>
      </c>
    </row>
    <row r="137" spans="1:21" x14ac:dyDescent="0.2">
      <c r="A137" t="s">
        <v>384</v>
      </c>
      <c r="C137" s="1">
        <v>45976</v>
      </c>
      <c r="D137" t="s">
        <v>16</v>
      </c>
      <c r="H137" t="s">
        <v>99</v>
      </c>
      <c r="L137" t="s">
        <v>383</v>
      </c>
      <c r="M137" t="e" vm="30">
        <v>#VALUE!</v>
      </c>
      <c r="N137" t="s">
        <v>12</v>
      </c>
      <c r="P137" t="s">
        <v>20</v>
      </c>
      <c r="Q137" s="1">
        <v>45985</v>
      </c>
      <c r="S137">
        <v>1</v>
      </c>
      <c r="T137">
        <v>0</v>
      </c>
      <c r="U137">
        <v>0</v>
      </c>
    </row>
    <row r="138" spans="1:21" x14ac:dyDescent="0.2">
      <c r="A138" t="s">
        <v>464</v>
      </c>
      <c r="C138" s="1">
        <v>45976</v>
      </c>
      <c r="D138" t="s">
        <v>42</v>
      </c>
      <c r="E138" t="s">
        <v>465</v>
      </c>
      <c r="H138" t="s">
        <v>25</v>
      </c>
      <c r="L138" t="s">
        <v>466</v>
      </c>
      <c r="M138" t="e" vm="74">
        <v>#VALUE!</v>
      </c>
      <c r="N138" t="s">
        <v>12</v>
      </c>
      <c r="P138" t="s">
        <v>20</v>
      </c>
      <c r="Q138" s="1">
        <v>45985</v>
      </c>
      <c r="S138">
        <v>1</v>
      </c>
      <c r="T138">
        <v>1</v>
      </c>
      <c r="U138">
        <v>1</v>
      </c>
    </row>
    <row r="139" spans="1:21" x14ac:dyDescent="0.2">
      <c r="A139" s="4" t="s">
        <v>142</v>
      </c>
      <c r="C139" s="1">
        <v>45976</v>
      </c>
      <c r="D139" t="s">
        <v>16</v>
      </c>
      <c r="F139">
        <v>1</v>
      </c>
      <c r="H139" t="s">
        <v>25</v>
      </c>
      <c r="J139" t="s">
        <v>248</v>
      </c>
      <c r="K139" s="1">
        <v>45986</v>
      </c>
      <c r="L139" s="2" t="s">
        <v>143</v>
      </c>
      <c r="M139" t="e" vm="75">
        <v>#VALUE!</v>
      </c>
      <c r="N139" t="s">
        <v>12</v>
      </c>
      <c r="P139" t="s">
        <v>20</v>
      </c>
      <c r="Q139" s="1">
        <v>45986</v>
      </c>
      <c r="S139">
        <v>1</v>
      </c>
      <c r="T139">
        <v>1</v>
      </c>
      <c r="U139">
        <v>1</v>
      </c>
    </row>
    <row r="140" spans="1:21" x14ac:dyDescent="0.2">
      <c r="A140" s="4" t="s">
        <v>123</v>
      </c>
      <c r="C140" s="1">
        <v>45976</v>
      </c>
      <c r="D140" t="s">
        <v>16</v>
      </c>
      <c r="E140" t="s">
        <v>124</v>
      </c>
      <c r="F140">
        <v>2</v>
      </c>
      <c r="H140" t="s">
        <v>25</v>
      </c>
      <c r="J140" t="s">
        <v>248</v>
      </c>
      <c r="K140" s="1">
        <v>45986</v>
      </c>
      <c r="L140" s="2" t="s">
        <v>122</v>
      </c>
      <c r="M140" t="e" vm="26">
        <v>#VALUE!</v>
      </c>
      <c r="N140" t="s">
        <v>12</v>
      </c>
      <c r="P140" t="s">
        <v>20</v>
      </c>
      <c r="Q140" s="1">
        <v>45988</v>
      </c>
      <c r="S140">
        <v>1</v>
      </c>
      <c r="T140">
        <v>0</v>
      </c>
      <c r="U140">
        <v>0</v>
      </c>
    </row>
    <row r="141" spans="1:21" x14ac:dyDescent="0.2">
      <c r="A141" s="4" t="s">
        <v>144</v>
      </c>
      <c r="C141" s="1">
        <v>45976</v>
      </c>
      <c r="D141" t="s">
        <v>16</v>
      </c>
      <c r="F141">
        <v>2</v>
      </c>
      <c r="H141" t="s">
        <v>25</v>
      </c>
      <c r="J141" t="s">
        <v>248</v>
      </c>
      <c r="K141" s="1">
        <v>45986</v>
      </c>
      <c r="L141" s="2" t="s">
        <v>145</v>
      </c>
      <c r="M141" t="e" vm="75">
        <v>#VALUE!</v>
      </c>
      <c r="N141" t="s">
        <v>12</v>
      </c>
      <c r="P141" t="s">
        <v>20</v>
      </c>
      <c r="Q141" s="1">
        <v>45989</v>
      </c>
      <c r="S141">
        <v>1</v>
      </c>
      <c r="T141">
        <v>0</v>
      </c>
      <c r="U141">
        <v>0</v>
      </c>
    </row>
    <row r="142" spans="1:21" x14ac:dyDescent="0.2">
      <c r="A142" t="s">
        <v>531</v>
      </c>
      <c r="C142" s="1">
        <v>45976</v>
      </c>
      <c r="D142" t="s">
        <v>532</v>
      </c>
      <c r="H142" t="s">
        <v>25</v>
      </c>
      <c r="L142" t="s">
        <v>533</v>
      </c>
      <c r="M142" t="e" vm="42">
        <v>#VALUE!</v>
      </c>
      <c r="N142" t="s">
        <v>12</v>
      </c>
      <c r="P142" t="s">
        <v>20</v>
      </c>
      <c r="Q142" s="1">
        <v>46081</v>
      </c>
      <c r="S142">
        <v>1</v>
      </c>
      <c r="T142">
        <v>0</v>
      </c>
      <c r="U142">
        <v>0</v>
      </c>
    </row>
    <row r="143" spans="1:21" x14ac:dyDescent="0.2">
      <c r="A143" t="s">
        <v>537</v>
      </c>
      <c r="B143" t="s">
        <v>538</v>
      </c>
      <c r="C143" s="1">
        <v>45976</v>
      </c>
      <c r="D143" t="s">
        <v>539</v>
      </c>
      <c r="H143" t="s">
        <v>25</v>
      </c>
      <c r="L143" t="s">
        <v>540</v>
      </c>
      <c r="M143" t="e" vm="36">
        <v>#VALUE!</v>
      </c>
      <c r="N143" t="s">
        <v>12</v>
      </c>
      <c r="P143" t="s">
        <v>20</v>
      </c>
      <c r="Q143" s="1">
        <v>46082</v>
      </c>
      <c r="S143">
        <v>1</v>
      </c>
      <c r="T143">
        <v>0</v>
      </c>
      <c r="U143">
        <v>1</v>
      </c>
    </row>
    <row r="144" spans="1:21" x14ac:dyDescent="0.2">
      <c r="A144" t="s">
        <v>556</v>
      </c>
      <c r="B144" t="s">
        <v>557</v>
      </c>
      <c r="C144" s="1">
        <v>45976</v>
      </c>
      <c r="D144" t="s">
        <v>42</v>
      </c>
      <c r="E144" t="s">
        <v>558</v>
      </c>
      <c r="H144" t="s">
        <v>25</v>
      </c>
      <c r="L144" t="s">
        <v>555</v>
      </c>
      <c r="M144" t="e" vm="36">
        <v>#VALUE!</v>
      </c>
      <c r="N144" t="s">
        <v>12</v>
      </c>
      <c r="P144" t="s">
        <v>20</v>
      </c>
      <c r="Q144" s="1">
        <v>45688</v>
      </c>
      <c r="S144">
        <v>1</v>
      </c>
      <c r="T144">
        <v>0</v>
      </c>
      <c r="U144">
        <v>1</v>
      </c>
    </row>
    <row r="145" spans="1:21" x14ac:dyDescent="0.2">
      <c r="A145" t="s">
        <v>562</v>
      </c>
      <c r="C145" s="1">
        <v>45976</v>
      </c>
      <c r="D145" t="s">
        <v>42</v>
      </c>
      <c r="H145" t="s">
        <v>25</v>
      </c>
      <c r="L145" t="s">
        <v>563</v>
      </c>
      <c r="M145" t="e" vm="76">
        <v>#VALUE!</v>
      </c>
      <c r="N145" t="s">
        <v>12</v>
      </c>
      <c r="P145" t="s">
        <v>20</v>
      </c>
      <c r="Q145" s="1">
        <v>46022</v>
      </c>
      <c r="S145">
        <v>1</v>
      </c>
      <c r="T145">
        <v>0</v>
      </c>
      <c r="U145">
        <v>0</v>
      </c>
    </row>
    <row r="146" spans="1:21" x14ac:dyDescent="0.2">
      <c r="A146" t="s">
        <v>565</v>
      </c>
      <c r="C146" s="1">
        <v>45976</v>
      </c>
      <c r="D146" t="s">
        <v>42</v>
      </c>
      <c r="H146" t="s">
        <v>25</v>
      </c>
      <c r="L146" t="s">
        <v>564</v>
      </c>
      <c r="M146" t="e" vm="36">
        <v>#VALUE!</v>
      </c>
      <c r="N146" t="s">
        <v>12</v>
      </c>
      <c r="P146" t="s">
        <v>20</v>
      </c>
      <c r="Q146" s="1">
        <v>46053</v>
      </c>
      <c r="S146">
        <v>1</v>
      </c>
      <c r="T146">
        <v>1</v>
      </c>
      <c r="U146">
        <v>1</v>
      </c>
    </row>
    <row r="147" spans="1:21" x14ac:dyDescent="0.2">
      <c r="A147" t="s">
        <v>342</v>
      </c>
      <c r="C147" s="1">
        <v>45981</v>
      </c>
      <c r="D147" t="s">
        <v>42</v>
      </c>
      <c r="H147" t="s">
        <v>25</v>
      </c>
      <c r="L147" t="s">
        <v>343</v>
      </c>
      <c r="M147" t="e" vm="75">
        <v>#VALUE!</v>
      </c>
      <c r="N147" t="s">
        <v>12</v>
      </c>
      <c r="P147" t="s">
        <v>20</v>
      </c>
      <c r="Q147" s="1">
        <v>45661</v>
      </c>
      <c r="S147">
        <v>1</v>
      </c>
      <c r="T147">
        <v>0</v>
      </c>
      <c r="U147">
        <v>0</v>
      </c>
    </row>
    <row r="148" spans="1:21" x14ac:dyDescent="0.2">
      <c r="A148" t="s">
        <v>417</v>
      </c>
      <c r="C148" s="1">
        <v>45981</v>
      </c>
      <c r="D148" t="s">
        <v>418</v>
      </c>
      <c r="H148" t="s">
        <v>25</v>
      </c>
      <c r="L148" t="s">
        <v>105</v>
      </c>
      <c r="M148" t="e" vm="56">
        <v>#VALUE!</v>
      </c>
      <c r="N148" t="s">
        <v>12</v>
      </c>
      <c r="P148" t="s">
        <v>20</v>
      </c>
      <c r="Q148" s="1">
        <v>45984</v>
      </c>
      <c r="S148">
        <v>1</v>
      </c>
      <c r="T148">
        <v>0</v>
      </c>
      <c r="U148">
        <v>0</v>
      </c>
    </row>
    <row r="149" spans="1:21" x14ac:dyDescent="0.2">
      <c r="A149" t="s">
        <v>386</v>
      </c>
      <c r="C149" s="1">
        <v>45981</v>
      </c>
      <c r="D149" t="s">
        <v>16</v>
      </c>
      <c r="H149" t="s">
        <v>25</v>
      </c>
      <c r="L149" t="s">
        <v>387</v>
      </c>
      <c r="M149" t="e" vm="68">
        <v>#VALUE!</v>
      </c>
      <c r="P149" t="s">
        <v>20</v>
      </c>
      <c r="Q149" s="1">
        <v>45985</v>
      </c>
      <c r="S149">
        <v>1</v>
      </c>
      <c r="T149">
        <v>0</v>
      </c>
      <c r="U149">
        <v>0</v>
      </c>
    </row>
    <row r="150" spans="1:21" x14ac:dyDescent="0.2">
      <c r="A150" t="s">
        <v>357</v>
      </c>
      <c r="C150" s="1">
        <v>45981</v>
      </c>
      <c r="D150" t="s">
        <v>42</v>
      </c>
      <c r="H150" t="s">
        <v>25</v>
      </c>
      <c r="L150" t="s">
        <v>356</v>
      </c>
      <c r="M150" t="e" vm="77">
        <v>#VALUE!</v>
      </c>
      <c r="N150" t="s">
        <v>12</v>
      </c>
      <c r="P150" t="s">
        <v>20</v>
      </c>
      <c r="Q150" s="1">
        <v>45987</v>
      </c>
      <c r="S150">
        <v>1</v>
      </c>
      <c r="T150">
        <v>0</v>
      </c>
      <c r="U150">
        <v>1</v>
      </c>
    </row>
    <row r="151" spans="1:21" x14ac:dyDescent="0.2">
      <c r="A151" t="s">
        <v>296</v>
      </c>
      <c r="C151" s="1">
        <v>45981</v>
      </c>
      <c r="D151" t="s">
        <v>16</v>
      </c>
      <c r="G151" t="s">
        <v>297</v>
      </c>
      <c r="H151" t="s">
        <v>25</v>
      </c>
      <c r="L151" t="s">
        <v>295</v>
      </c>
      <c r="M151" t="e" vm="26">
        <v>#VALUE!</v>
      </c>
      <c r="N151" t="s">
        <v>12</v>
      </c>
      <c r="P151" t="s">
        <v>20</v>
      </c>
      <c r="Q151" s="1">
        <v>45989</v>
      </c>
      <c r="S151">
        <v>1</v>
      </c>
      <c r="T151">
        <v>0</v>
      </c>
      <c r="U151">
        <v>0</v>
      </c>
    </row>
    <row r="152" spans="1:21" x14ac:dyDescent="0.2">
      <c r="A152" t="s">
        <v>299</v>
      </c>
      <c r="C152" s="1">
        <v>45981</v>
      </c>
      <c r="D152" t="s">
        <v>16</v>
      </c>
      <c r="G152" s="2" t="s">
        <v>300</v>
      </c>
      <c r="H152" t="s">
        <v>25</v>
      </c>
      <c r="L152" t="s">
        <v>298</v>
      </c>
      <c r="M152" t="e" vm="57">
        <v>#VALUE!</v>
      </c>
      <c r="N152" t="s">
        <v>12</v>
      </c>
      <c r="O152" t="s">
        <v>67</v>
      </c>
      <c r="P152" t="s">
        <v>20</v>
      </c>
      <c r="Q152" s="1">
        <v>45989</v>
      </c>
      <c r="S152">
        <v>1</v>
      </c>
      <c r="T152">
        <v>0</v>
      </c>
      <c r="U152">
        <v>0</v>
      </c>
    </row>
    <row r="153" spans="1:21" x14ac:dyDescent="0.2">
      <c r="A153" s="4" t="s">
        <v>157</v>
      </c>
      <c r="C153" s="1">
        <v>45981</v>
      </c>
      <c r="D153" t="s">
        <v>16</v>
      </c>
      <c r="F153">
        <v>1</v>
      </c>
      <c r="G153" s="7" t="s">
        <v>159</v>
      </c>
      <c r="H153" t="s">
        <v>25</v>
      </c>
      <c r="J153" t="s">
        <v>248</v>
      </c>
      <c r="K153" s="1">
        <v>45992</v>
      </c>
      <c r="L153" s="2" t="s">
        <v>158</v>
      </c>
      <c r="M153" t="e" vm="56">
        <v>#VALUE!</v>
      </c>
      <c r="N153" t="s">
        <v>28</v>
      </c>
      <c r="P153" t="s">
        <v>20</v>
      </c>
      <c r="Q153" s="1">
        <v>45991</v>
      </c>
      <c r="S153">
        <v>1</v>
      </c>
      <c r="T153">
        <v>1</v>
      </c>
      <c r="U153">
        <v>0</v>
      </c>
    </row>
    <row r="154" spans="1:21" x14ac:dyDescent="0.2">
      <c r="A154" t="s">
        <v>271</v>
      </c>
      <c r="C154" s="1">
        <v>45981</v>
      </c>
      <c r="D154" t="s">
        <v>16</v>
      </c>
      <c r="F154">
        <v>1</v>
      </c>
      <c r="H154" t="s">
        <v>25</v>
      </c>
      <c r="L154" t="s">
        <v>272</v>
      </c>
      <c r="M154" t="e" vm="78">
        <v>#VALUE!</v>
      </c>
      <c r="N154" t="s">
        <v>12</v>
      </c>
      <c r="P154" t="s">
        <v>20</v>
      </c>
      <c r="Q154" s="1">
        <v>45991</v>
      </c>
      <c r="S154">
        <v>1</v>
      </c>
      <c r="T154">
        <v>0</v>
      </c>
      <c r="U154">
        <v>0</v>
      </c>
    </row>
    <row r="155" spans="1:21" x14ac:dyDescent="0.2">
      <c r="A155" t="s">
        <v>285</v>
      </c>
      <c r="C155" s="1">
        <v>45981</v>
      </c>
      <c r="D155" t="s">
        <v>16</v>
      </c>
      <c r="H155" t="s">
        <v>25</v>
      </c>
      <c r="L155" t="s">
        <v>286</v>
      </c>
      <c r="M155" t="e" vm="69">
        <v>#VALUE!</v>
      </c>
      <c r="P155" t="s">
        <v>20</v>
      </c>
      <c r="Q155" s="1">
        <v>45991</v>
      </c>
      <c r="S155">
        <v>1</v>
      </c>
      <c r="T155">
        <v>0</v>
      </c>
      <c r="U155">
        <v>0</v>
      </c>
    </row>
    <row r="156" spans="1:21" x14ac:dyDescent="0.2">
      <c r="A156" t="s">
        <v>287</v>
      </c>
      <c r="C156" s="1">
        <v>45981</v>
      </c>
      <c r="D156" t="s">
        <v>16</v>
      </c>
      <c r="H156" t="s">
        <v>25</v>
      </c>
      <c r="L156" t="s">
        <v>288</v>
      </c>
      <c r="M156" t="e" vm="79">
        <v>#VALUE!</v>
      </c>
      <c r="P156" t="s">
        <v>20</v>
      </c>
      <c r="Q156" s="1">
        <v>45991</v>
      </c>
      <c r="S156">
        <v>1</v>
      </c>
      <c r="T156">
        <v>0</v>
      </c>
      <c r="U156">
        <v>0</v>
      </c>
    </row>
    <row r="157" spans="1:21" x14ac:dyDescent="0.2">
      <c r="A157" t="s">
        <v>292</v>
      </c>
      <c r="C157" s="1">
        <v>45981</v>
      </c>
      <c r="D157" t="s">
        <v>16</v>
      </c>
      <c r="H157" t="s">
        <v>25</v>
      </c>
      <c r="L157" t="s">
        <v>291</v>
      </c>
      <c r="M157" t="e" vm="68">
        <v>#VALUE!</v>
      </c>
      <c r="N157" t="s">
        <v>12</v>
      </c>
      <c r="P157" t="s">
        <v>20</v>
      </c>
      <c r="Q157" s="1">
        <v>45991</v>
      </c>
      <c r="S157">
        <v>1</v>
      </c>
      <c r="T157">
        <v>1</v>
      </c>
      <c r="U157">
        <v>1</v>
      </c>
    </row>
    <row r="158" spans="1:21" x14ac:dyDescent="0.2">
      <c r="A158" t="s">
        <v>381</v>
      </c>
      <c r="C158" s="1">
        <v>45981</v>
      </c>
      <c r="D158" s="2" t="s">
        <v>382</v>
      </c>
      <c r="H158" t="s">
        <v>25</v>
      </c>
      <c r="L158" t="s">
        <v>380</v>
      </c>
      <c r="M158" t="e" vm="30">
        <v>#VALUE!</v>
      </c>
      <c r="N158" t="s">
        <v>28</v>
      </c>
      <c r="P158" t="s">
        <v>20</v>
      </c>
      <c r="Q158" s="1">
        <v>45991</v>
      </c>
      <c r="S158">
        <v>1</v>
      </c>
      <c r="T158">
        <v>0</v>
      </c>
      <c r="U158">
        <v>0</v>
      </c>
    </row>
    <row r="159" spans="1:21" x14ac:dyDescent="0.2">
      <c r="A159" t="s">
        <v>413</v>
      </c>
      <c r="C159" s="1">
        <v>45981</v>
      </c>
      <c r="D159" s="2" t="s">
        <v>414</v>
      </c>
      <c r="E159" s="2" t="s">
        <v>415</v>
      </c>
      <c r="G159" t="s">
        <v>416</v>
      </c>
      <c r="H159" t="s">
        <v>25</v>
      </c>
      <c r="L159" t="s">
        <v>112</v>
      </c>
      <c r="M159" t="e" vm="80">
        <v>#VALUE!</v>
      </c>
      <c r="N159" t="s">
        <v>12</v>
      </c>
      <c r="P159" t="s">
        <v>20</v>
      </c>
      <c r="Q159" s="1">
        <v>45991</v>
      </c>
      <c r="S159">
        <v>1</v>
      </c>
      <c r="T159">
        <v>1</v>
      </c>
      <c r="U159">
        <v>0</v>
      </c>
    </row>
    <row r="160" spans="1:21" x14ac:dyDescent="0.2">
      <c r="A160" s="4" t="s">
        <v>161</v>
      </c>
      <c r="C160" s="1">
        <v>45981</v>
      </c>
      <c r="D160" t="s">
        <v>16</v>
      </c>
      <c r="F160">
        <v>1</v>
      </c>
      <c r="H160" t="s">
        <v>25</v>
      </c>
      <c r="J160" t="s">
        <v>248</v>
      </c>
      <c r="K160" s="1">
        <v>45992</v>
      </c>
      <c r="L160" s="2" t="s">
        <v>162</v>
      </c>
      <c r="M160" t="e" vm="56">
        <v>#VALUE!</v>
      </c>
      <c r="N160" t="s">
        <v>28</v>
      </c>
      <c r="P160" t="s">
        <v>20</v>
      </c>
      <c r="Q160" s="1">
        <v>45992</v>
      </c>
      <c r="S160">
        <v>1</v>
      </c>
      <c r="T160">
        <v>1</v>
      </c>
      <c r="U160">
        <v>0</v>
      </c>
    </row>
    <row r="161" spans="1:21" x14ac:dyDescent="0.2">
      <c r="A161" t="s">
        <v>242</v>
      </c>
      <c r="C161" s="1">
        <v>45981</v>
      </c>
      <c r="D161" t="s">
        <v>42</v>
      </c>
      <c r="E161" s="2" t="s">
        <v>244</v>
      </c>
      <c r="H161" t="s">
        <v>25</v>
      </c>
      <c r="L161" t="s">
        <v>243</v>
      </c>
      <c r="M161" t="e" vm="80">
        <v>#VALUE!</v>
      </c>
      <c r="N161" t="s">
        <v>12</v>
      </c>
      <c r="O161" t="s">
        <v>67</v>
      </c>
      <c r="P161" t="s">
        <v>20</v>
      </c>
      <c r="Q161" s="1">
        <v>45992</v>
      </c>
      <c r="S161">
        <v>1</v>
      </c>
      <c r="T161">
        <v>0</v>
      </c>
      <c r="U161">
        <v>0</v>
      </c>
    </row>
    <row r="162" spans="1:21" x14ac:dyDescent="0.2">
      <c r="A162" t="s">
        <v>270</v>
      </c>
      <c r="C162" s="1">
        <v>45981</v>
      </c>
      <c r="D162" t="s">
        <v>16</v>
      </c>
      <c r="H162" t="s">
        <v>25</v>
      </c>
      <c r="L162" t="s">
        <v>269</v>
      </c>
      <c r="M162" t="e" vm="68">
        <v>#VALUE!</v>
      </c>
      <c r="N162" t="s">
        <v>28</v>
      </c>
      <c r="P162" t="s">
        <v>20</v>
      </c>
      <c r="Q162" s="1">
        <v>45992</v>
      </c>
      <c r="S162">
        <v>1</v>
      </c>
      <c r="T162">
        <v>1</v>
      </c>
      <c r="U162">
        <v>0</v>
      </c>
    </row>
    <row r="163" spans="1:21" x14ac:dyDescent="0.2">
      <c r="A163" t="s">
        <v>428</v>
      </c>
      <c r="C163" s="1">
        <v>45981</v>
      </c>
      <c r="D163" t="s">
        <v>430</v>
      </c>
      <c r="E163" t="s">
        <v>429</v>
      </c>
      <c r="H163" t="s">
        <v>25</v>
      </c>
      <c r="L163" t="s">
        <v>431</v>
      </c>
      <c r="M163" t="e" vm="40">
        <v>#VALUE!</v>
      </c>
      <c r="N163" t="s">
        <v>12</v>
      </c>
      <c r="P163" t="s">
        <v>20</v>
      </c>
      <c r="Q163" s="1">
        <v>45992</v>
      </c>
      <c r="S163">
        <v>1</v>
      </c>
      <c r="T163">
        <v>1</v>
      </c>
      <c r="U163">
        <v>1</v>
      </c>
    </row>
    <row r="164" spans="1:21" x14ac:dyDescent="0.2">
      <c r="A164" t="s">
        <v>264</v>
      </c>
      <c r="C164" s="1">
        <v>45981</v>
      </c>
      <c r="D164" t="s">
        <v>16</v>
      </c>
      <c r="G164" t="s">
        <v>266</v>
      </c>
      <c r="H164" t="s">
        <v>25</v>
      </c>
      <c r="L164" t="s">
        <v>265</v>
      </c>
      <c r="M164" t="e" vm="81">
        <v>#VALUE!</v>
      </c>
      <c r="P164" t="s">
        <v>20</v>
      </c>
      <c r="Q164" s="1">
        <v>45994</v>
      </c>
      <c r="S164">
        <v>1</v>
      </c>
      <c r="T164">
        <v>0</v>
      </c>
      <c r="U164">
        <v>0</v>
      </c>
    </row>
    <row r="165" spans="1:21" x14ac:dyDescent="0.2">
      <c r="A165" t="s">
        <v>263</v>
      </c>
      <c r="C165" s="1">
        <v>45981</v>
      </c>
      <c r="D165" t="s">
        <v>16</v>
      </c>
      <c r="H165" t="s">
        <v>25</v>
      </c>
      <c r="L165" t="s">
        <v>262</v>
      </c>
      <c r="M165" t="e" vm="56">
        <v>#VALUE!</v>
      </c>
      <c r="P165" t="s">
        <v>20</v>
      </c>
      <c r="Q165" s="1">
        <v>45998</v>
      </c>
      <c r="S165">
        <v>1</v>
      </c>
      <c r="T165">
        <v>0</v>
      </c>
      <c r="U165">
        <v>0</v>
      </c>
    </row>
    <row r="166" spans="1:21" x14ac:dyDescent="0.2">
      <c r="A166" t="s">
        <v>454</v>
      </c>
      <c r="B166" t="s">
        <v>456</v>
      </c>
      <c r="C166" s="1">
        <v>45981</v>
      </c>
      <c r="D166" t="s">
        <v>42</v>
      </c>
      <c r="E166" t="s">
        <v>455</v>
      </c>
      <c r="H166" t="s">
        <v>25</v>
      </c>
      <c r="L166" t="s">
        <v>457</v>
      </c>
      <c r="M166" t="e" vm="82">
        <v>#VALUE!</v>
      </c>
      <c r="N166" t="s">
        <v>12</v>
      </c>
      <c r="P166" t="s">
        <v>20</v>
      </c>
      <c r="Q166" s="1">
        <v>46003</v>
      </c>
      <c r="S166">
        <v>1</v>
      </c>
      <c r="T166">
        <v>0</v>
      </c>
      <c r="U166">
        <v>1</v>
      </c>
    </row>
    <row r="167" spans="1:21" x14ac:dyDescent="0.2">
      <c r="A167" t="s">
        <v>254</v>
      </c>
      <c r="C167" s="1">
        <v>45981</v>
      </c>
      <c r="D167" t="s">
        <v>16</v>
      </c>
      <c r="G167" s="8" t="s">
        <v>255</v>
      </c>
      <c r="H167" t="s">
        <v>25</v>
      </c>
      <c r="L167" t="s">
        <v>253</v>
      </c>
      <c r="M167" t="e" vm="83">
        <v>#VALUE!</v>
      </c>
      <c r="N167" t="s">
        <v>28</v>
      </c>
      <c r="P167" t="s">
        <v>20</v>
      </c>
      <c r="Q167" s="1">
        <v>46006</v>
      </c>
      <c r="S167">
        <v>1</v>
      </c>
      <c r="T167">
        <v>0</v>
      </c>
      <c r="U167">
        <v>0</v>
      </c>
    </row>
    <row r="168" spans="1:21" x14ac:dyDescent="0.2">
      <c r="A168" t="s">
        <v>258</v>
      </c>
      <c r="C168" s="1">
        <v>45981</v>
      </c>
      <c r="D168" t="s">
        <v>16</v>
      </c>
      <c r="H168" t="s">
        <v>25</v>
      </c>
      <c r="L168" t="s">
        <v>257</v>
      </c>
      <c r="M168" t="e" vm="84">
        <v>#VALUE!</v>
      </c>
      <c r="N168" t="s">
        <v>12</v>
      </c>
      <c r="P168" t="s">
        <v>20</v>
      </c>
      <c r="Q168" s="1">
        <v>46022</v>
      </c>
      <c r="S168">
        <v>1</v>
      </c>
      <c r="T168">
        <v>0</v>
      </c>
      <c r="U168">
        <v>0</v>
      </c>
    </row>
    <row r="169" spans="1:21" x14ac:dyDescent="0.2">
      <c r="A169" t="s">
        <v>379</v>
      </c>
      <c r="C169" s="1">
        <v>45981</v>
      </c>
      <c r="D169" t="s">
        <v>16</v>
      </c>
      <c r="F169">
        <v>1</v>
      </c>
      <c r="G169" t="s">
        <v>252</v>
      </c>
      <c r="H169" t="s">
        <v>25</v>
      </c>
      <c r="L169" t="s">
        <v>251</v>
      </c>
      <c r="M169" t="e" vm="65">
        <v>#VALUE!</v>
      </c>
      <c r="N169" t="s">
        <v>12</v>
      </c>
      <c r="P169" t="s">
        <v>20</v>
      </c>
      <c r="Q169" s="1">
        <v>46045</v>
      </c>
      <c r="S169">
        <v>1</v>
      </c>
      <c r="T169">
        <v>0</v>
      </c>
      <c r="U169">
        <v>0</v>
      </c>
    </row>
    <row r="170" spans="1:21" x14ac:dyDescent="0.2">
      <c r="A170" t="s">
        <v>208</v>
      </c>
      <c r="C170" s="1">
        <v>45981</v>
      </c>
      <c r="D170" t="s">
        <v>42</v>
      </c>
      <c r="H170" t="s">
        <v>25</v>
      </c>
      <c r="L170" s="2" t="s">
        <v>209</v>
      </c>
      <c r="M170" t="e" vm="5">
        <v>#VALUE!</v>
      </c>
      <c r="P170" t="s">
        <v>20</v>
      </c>
      <c r="Q170" s="1">
        <v>46053</v>
      </c>
      <c r="S170">
        <v>1</v>
      </c>
      <c r="T170">
        <v>0</v>
      </c>
      <c r="U170">
        <v>0</v>
      </c>
    </row>
    <row r="171" spans="1:21" x14ac:dyDescent="0.2">
      <c r="A171" t="s">
        <v>481</v>
      </c>
      <c r="C171" s="1">
        <v>45981</v>
      </c>
      <c r="D171" t="s">
        <v>42</v>
      </c>
      <c r="E171" t="s">
        <v>482</v>
      </c>
      <c r="H171" t="s">
        <v>25</v>
      </c>
      <c r="L171" t="s">
        <v>483</v>
      </c>
      <c r="M171" t="e" vm="85">
        <v>#VALUE!</v>
      </c>
      <c r="N171" t="s">
        <v>12</v>
      </c>
      <c r="P171" t="s">
        <v>20</v>
      </c>
      <c r="Q171" s="1">
        <v>45996</v>
      </c>
      <c r="S171">
        <v>1</v>
      </c>
      <c r="T171">
        <v>1</v>
      </c>
      <c r="U171">
        <v>1</v>
      </c>
    </row>
    <row r="172" spans="1:21" x14ac:dyDescent="0.2">
      <c r="A172" t="s">
        <v>487</v>
      </c>
      <c r="C172" s="1">
        <v>45981</v>
      </c>
      <c r="D172" t="s">
        <v>42</v>
      </c>
      <c r="E172" t="s">
        <v>488</v>
      </c>
      <c r="H172" t="s">
        <v>25</v>
      </c>
      <c r="L172" t="s">
        <v>489</v>
      </c>
      <c r="M172" t="e" vm="86">
        <v>#VALUE!</v>
      </c>
      <c r="N172" t="s">
        <v>492</v>
      </c>
      <c r="P172" t="s">
        <v>20</v>
      </c>
      <c r="Q172" s="1">
        <v>45688</v>
      </c>
      <c r="S172">
        <v>1</v>
      </c>
      <c r="T172">
        <v>1</v>
      </c>
      <c r="U172">
        <v>1</v>
      </c>
    </row>
    <row r="173" spans="1:21" x14ac:dyDescent="0.2">
      <c r="A173" t="s">
        <v>503</v>
      </c>
      <c r="C173" s="1">
        <v>45981</v>
      </c>
      <c r="D173" t="s">
        <v>42</v>
      </c>
      <c r="E173" t="s">
        <v>504</v>
      </c>
      <c r="H173" t="s">
        <v>25</v>
      </c>
      <c r="L173" t="s">
        <v>505</v>
      </c>
      <c r="M173" t="e" vm="87">
        <v>#VALUE!</v>
      </c>
      <c r="N173" t="s">
        <v>12</v>
      </c>
      <c r="P173" t="s">
        <v>20</v>
      </c>
      <c r="Q173" s="1">
        <v>46022</v>
      </c>
      <c r="S173">
        <v>1</v>
      </c>
      <c r="T173">
        <v>1</v>
      </c>
      <c r="U173">
        <v>1</v>
      </c>
    </row>
    <row r="174" spans="1:21" x14ac:dyDescent="0.2">
      <c r="A174" s="4" t="s">
        <v>506</v>
      </c>
      <c r="C174" s="1">
        <v>45981</v>
      </c>
      <c r="D174" t="s">
        <v>42</v>
      </c>
      <c r="F174">
        <v>1</v>
      </c>
      <c r="H174" t="s">
        <v>25</v>
      </c>
      <c r="L174" t="s">
        <v>507</v>
      </c>
      <c r="M174" t="e" vm="80">
        <v>#VALUE!</v>
      </c>
      <c r="N174" t="s">
        <v>12</v>
      </c>
      <c r="P174" t="s">
        <v>20</v>
      </c>
      <c r="Q174" s="1">
        <v>45997</v>
      </c>
      <c r="S174">
        <v>1</v>
      </c>
      <c r="T174">
        <v>0</v>
      </c>
      <c r="U174">
        <v>0</v>
      </c>
    </row>
    <row r="175" spans="1:21" x14ac:dyDescent="0.2">
      <c r="A175" t="s">
        <v>359</v>
      </c>
      <c r="C175" s="1">
        <v>45986</v>
      </c>
      <c r="D175" t="s">
        <v>361</v>
      </c>
      <c r="H175" t="s">
        <v>25</v>
      </c>
      <c r="L175" t="s">
        <v>358</v>
      </c>
      <c r="M175" t="e" vm="14">
        <v>#VALUE!</v>
      </c>
      <c r="N175" t="s">
        <v>12</v>
      </c>
      <c r="P175" t="s">
        <v>20</v>
      </c>
      <c r="Q175" s="1">
        <v>46006</v>
      </c>
      <c r="S175">
        <v>1</v>
      </c>
      <c r="T175">
        <v>1</v>
      </c>
      <c r="U175">
        <v>1</v>
      </c>
    </row>
    <row r="176" spans="1:21" x14ac:dyDescent="0.2">
      <c r="A176" t="s">
        <v>527</v>
      </c>
      <c r="C176" s="1">
        <v>45986</v>
      </c>
      <c r="D176" t="s">
        <v>42</v>
      </c>
      <c r="H176" t="s">
        <v>25</v>
      </c>
      <c r="L176" t="s">
        <v>526</v>
      </c>
      <c r="M176" t="e" vm="35">
        <v>#VALUE!</v>
      </c>
      <c r="N176" t="s">
        <v>28</v>
      </c>
      <c r="P176" t="s">
        <v>20</v>
      </c>
      <c r="Q176" s="1">
        <v>45991</v>
      </c>
      <c r="S176">
        <v>1</v>
      </c>
      <c r="T176">
        <v>1</v>
      </c>
      <c r="U176">
        <v>0</v>
      </c>
    </row>
    <row r="177" spans="1:21" x14ac:dyDescent="0.2">
      <c r="A177" t="s">
        <v>542</v>
      </c>
      <c r="C177" s="1">
        <v>45986</v>
      </c>
      <c r="D177" t="s">
        <v>42</v>
      </c>
      <c r="H177" t="s">
        <v>25</v>
      </c>
      <c r="L177" t="s">
        <v>543</v>
      </c>
      <c r="M177" t="e" vm="22">
        <v>#VALUE!</v>
      </c>
      <c r="N177" t="s">
        <v>12</v>
      </c>
      <c r="P177" t="s">
        <v>20</v>
      </c>
      <c r="Q177" s="1">
        <v>46022</v>
      </c>
      <c r="S177">
        <v>1</v>
      </c>
      <c r="T177">
        <v>1</v>
      </c>
      <c r="U177">
        <v>1</v>
      </c>
    </row>
    <row r="178" spans="1:21" x14ac:dyDescent="0.2">
      <c r="A178" t="s">
        <v>549</v>
      </c>
      <c r="C178" s="1">
        <v>45986</v>
      </c>
      <c r="D178" t="s">
        <v>548</v>
      </c>
      <c r="H178" t="s">
        <v>25</v>
      </c>
      <c r="L178" t="s">
        <v>547</v>
      </c>
      <c r="M178" t="e" vm="12">
        <v>#VALUE!</v>
      </c>
      <c r="N178" t="s">
        <v>12</v>
      </c>
      <c r="P178" t="s">
        <v>20</v>
      </c>
      <c r="Q178" s="1">
        <v>45992</v>
      </c>
      <c r="S178">
        <v>1</v>
      </c>
      <c r="T178">
        <v>0</v>
      </c>
      <c r="U178">
        <v>0</v>
      </c>
    </row>
    <row r="179" spans="1:21" x14ac:dyDescent="0.2">
      <c r="A179" t="s">
        <v>419</v>
      </c>
      <c r="C179" s="1">
        <v>45992</v>
      </c>
      <c r="D179" t="s">
        <v>42</v>
      </c>
      <c r="H179" t="s">
        <v>25</v>
      </c>
      <c r="L179" t="s">
        <v>420</v>
      </c>
      <c r="M179" t="e" vm="88">
        <v>#VALUE!</v>
      </c>
      <c r="N179" t="s">
        <v>28</v>
      </c>
      <c r="P179" t="s">
        <v>20</v>
      </c>
      <c r="Q179" s="1">
        <v>45688</v>
      </c>
      <c r="S179">
        <v>1</v>
      </c>
      <c r="T179">
        <v>1</v>
      </c>
      <c r="U179">
        <v>0</v>
      </c>
    </row>
    <row r="180" spans="1:21" x14ac:dyDescent="0.2">
      <c r="A180" t="s">
        <v>534</v>
      </c>
      <c r="B180" t="s">
        <v>182</v>
      </c>
      <c r="C180" s="1">
        <v>46023</v>
      </c>
      <c r="D180" t="s">
        <v>535</v>
      </c>
      <c r="H180" t="s">
        <v>25</v>
      </c>
      <c r="L180" t="s">
        <v>536</v>
      </c>
      <c r="M180" t="e" vm="89">
        <v>#VALUE!</v>
      </c>
      <c r="N180" t="s">
        <v>21</v>
      </c>
      <c r="Q180" s="1">
        <v>46041</v>
      </c>
      <c r="S180">
        <v>1</v>
      </c>
      <c r="T180">
        <v>0</v>
      </c>
      <c r="U180">
        <v>1</v>
      </c>
    </row>
    <row r="181" spans="1:21" x14ac:dyDescent="0.2">
      <c r="A181" t="s">
        <v>259</v>
      </c>
      <c r="D181" t="s">
        <v>16</v>
      </c>
      <c r="E181" s="2" t="s">
        <v>261</v>
      </c>
      <c r="H181" t="s">
        <v>99</v>
      </c>
      <c r="L181" t="s">
        <v>260</v>
      </c>
      <c r="M181" t="e" vm="27">
        <v>#VALUE!</v>
      </c>
      <c r="N181" t="s">
        <v>12</v>
      </c>
      <c r="P181" t="s">
        <v>20</v>
      </c>
      <c r="S181">
        <v>0</v>
      </c>
      <c r="T181">
        <v>0</v>
      </c>
      <c r="U181">
        <v>0</v>
      </c>
    </row>
  </sheetData>
  <autoFilter ref="A1:U19" xr:uid="{F7772053-9363-CA4A-A53F-040B7C700753}">
    <sortState xmlns:xlrd2="http://schemas.microsoft.com/office/spreadsheetml/2017/richdata2" ref="A2:U181">
      <sortCondition ref="C1:C181"/>
    </sortState>
  </autoFilter>
  <conditionalFormatting sqref="A1:A1048576">
    <cfRule type="duplicateValues" dxfId="83" priority="8"/>
  </conditionalFormatting>
  <conditionalFormatting sqref="A2:A22">
    <cfRule type="duplicateValues" dxfId="82" priority="9"/>
  </conditionalFormatting>
  <conditionalFormatting sqref="A61">
    <cfRule type="duplicateValues" dxfId="81" priority="7"/>
  </conditionalFormatting>
  <conditionalFormatting sqref="H1:H1048576">
    <cfRule type="containsText" dxfId="80" priority="1" operator="containsText" text="abandoned">
      <formula>NOT(ISERROR(SEARCH("abandoned",H1)))</formula>
    </cfRule>
    <cfRule type="containsText" dxfId="79" priority="3" operator="containsText" text="late app">
      <formula>NOT(ISERROR(SEARCH("late app",H1)))</formula>
    </cfRule>
  </conditionalFormatting>
  <conditionalFormatting sqref="N78:N80 N83:N89 N92:N112 N115:N124 N126:N128 Q137 H1:I1 Q154 Q160 H2:K1048576 P87:P167 Q167 P169 Q174 Q179 N130:N181 P171:P181">
    <cfRule type="containsText" dxfId="78" priority="6" operator="containsText" text="completed">
      <formula>NOT(ISERROR(SEARCH("completed",H1)))</formula>
    </cfRule>
  </conditionalFormatting>
  <conditionalFormatting sqref="N78:N80 N83:N89 N92:N112 N115:N124 N126:N128 Q137 Q154 Q160 J1:K1048576 P87:P167 Q167 P169 Q174 Q179 N130:N181 P171:P181">
    <cfRule type="containsText" dxfId="77" priority="4" operator="containsText" text="NO">
      <formula>NOT(ISERROR(SEARCH("NO",J1)))</formula>
    </cfRule>
    <cfRule type="containsText" dxfId="76" priority="5" operator="containsText" text="YES">
      <formula>NOT(ISERROR(SEARCH("YES",J1)))</formula>
    </cfRule>
  </conditionalFormatting>
  <hyperlinks>
    <hyperlink ref="L3" r:id="rId1" xr:uid="{2FD67E99-97D4-6F4F-9C23-F094A4E233EB}"/>
    <hyperlink ref="L4" r:id="rId2" xr:uid="{C466BD2C-2D71-FD47-B267-C9470B42EAAE}"/>
    <hyperlink ref="L116" r:id="rId3" xr:uid="{7E4575FB-8BA7-8343-9270-E933C2CF052A}"/>
    <hyperlink ref="L117" r:id="rId4" xr:uid="{7DE2DCC0-6910-AF4A-ADA1-2F0A7CE7A46A}"/>
    <hyperlink ref="L69" r:id="rId5" xr:uid="{9F5721B0-AA94-954A-B077-53D294EE0006}"/>
    <hyperlink ref="E69" r:id="rId6" xr:uid="{E9AC54D1-D414-9A4A-8F10-99810DECDF26}"/>
    <hyperlink ref="L94" r:id="rId7" xr:uid="{3DA7C680-99C0-9744-A5E3-8B70509CE1C7}"/>
    <hyperlink ref="L7" r:id="rId8" xr:uid="{F2E0FCCF-BB13-0240-931E-487798981CC9}"/>
    <hyperlink ref="L131" r:id="rId9" xr:uid="{DF00AD54-0273-B54C-B9CE-46119BBDF932}"/>
    <hyperlink ref="L5" r:id="rId10" display="American Uiversity" xr:uid="{4368F24E-5E4F-B944-AB45-4045D2296D5A}"/>
    <hyperlink ref="L6" r:id="rId11" display="American Uiversity" xr:uid="{0B28A4E3-9367-5B4E-821E-8878EF62879B}"/>
    <hyperlink ref="R7" r:id="rId12" xr:uid="{F8BB08B3-A5E4-0244-9B87-74DC5560EA9C}"/>
    <hyperlink ref="L38" r:id="rId13" xr:uid="{1A802253-386D-0248-869E-8A0EA127D432}"/>
    <hyperlink ref="L39" r:id="rId14" xr:uid="{D10E5030-47DD-F84B-A85A-CB7F9EEF20B4}"/>
    <hyperlink ref="L9" r:id="rId15" xr:uid="{AF10C3AC-DC3E-8F4B-A325-8137F8872365}"/>
    <hyperlink ref="L10" r:id="rId16" xr:uid="{DAADFE53-28FB-BF47-B382-1AE9637B0AC9}"/>
    <hyperlink ref="L35" r:id="rId17" xr:uid="{055B8A95-C64C-8344-8D9A-88ADC3E4C5A7}"/>
    <hyperlink ref="L100" r:id="rId18" xr:uid="{557D8143-61B7-124A-9EC7-930988E1B3DE}"/>
    <hyperlink ref="L36" r:id="rId19" xr:uid="{0B9459D2-C194-B546-B890-EDF488B5E508}"/>
    <hyperlink ref="L8" r:id="rId20" xr:uid="{3E8CCC0C-C03D-0642-8D93-6D5E4E29B155}"/>
    <hyperlink ref="L109" r:id="rId21" xr:uid="{360892F0-CC7D-924A-95AF-9E897ECEE570}"/>
    <hyperlink ref="L11" r:id="rId22" xr:uid="{0D66B73F-990C-044A-BA9A-C5887E710F92}"/>
    <hyperlink ref="L101" r:id="rId23" xr:uid="{79C92412-1EFA-834C-AE35-D77CA8C36A12}"/>
    <hyperlink ref="L102" r:id="rId24" xr:uid="{DAE0AF5F-F94A-294E-86E2-555898BF42FB}"/>
    <hyperlink ref="L70" r:id="rId25" xr:uid="{8E758C4D-96FF-B44B-AE0D-70D6A17B4A4D}"/>
    <hyperlink ref="L71" r:id="rId26" xr:uid="{B2DCF82F-FDBE-B54E-A0A8-BB5059FDE3DE}"/>
    <hyperlink ref="L12" r:id="rId27" xr:uid="{5CDD97D8-5C25-5D42-AA6C-3EFD455D0937}"/>
    <hyperlink ref="L13" r:id="rId28" xr:uid="{4C952912-61F2-7F48-A61F-8171FB512E69}"/>
    <hyperlink ref="R14" r:id="rId29" xr:uid="{97F45FF5-AD7B-2143-9F53-5C46956B35CE}"/>
    <hyperlink ref="E14" r:id="rId30" xr:uid="{3CBBC435-61F9-034D-A9A0-B71AD9A7CCE6}"/>
    <hyperlink ref="L54" r:id="rId31" xr:uid="{115DEFD3-6759-7C49-87C4-663720AFC0F3}"/>
    <hyperlink ref="L67" r:id="rId32" xr:uid="{B568129A-4C88-5D42-B367-90B46CA6E8A2}"/>
    <hyperlink ref="L140" r:id="rId33" xr:uid="{F3D886C1-081B-8F41-85EF-4C299E91BBDA}"/>
    <hyperlink ref="L37" r:id="rId34" xr:uid="{14B04134-DF47-DA43-BB43-BA8C1185A50E}"/>
    <hyperlink ref="L41" r:id="rId35" display="https://www.upf.edu/" xr:uid="{F90D7817-7AA8-1C4B-8992-6FF849FBECCA}"/>
    <hyperlink ref="G8" r:id="rId36" display="mailto:ferran.mane@urv.cat" xr:uid="{DFACBA33-6641-9A4D-B406-DC2FCC993612}"/>
    <hyperlink ref="L103" r:id="rId37" xr:uid="{EFED1D5F-B3C8-6445-899D-122DB5B26298}"/>
    <hyperlink ref="L104" r:id="rId38" xr:uid="{6E0CC17F-E103-7C43-850C-F0FC0B9A5278}"/>
    <hyperlink ref="L96" r:id="rId39" xr:uid="{58693CCE-AFC3-AF44-BB76-62CF466ED6EA}"/>
    <hyperlink ref="L45" r:id="rId40" xr:uid="{FC0BA615-15C1-F64A-BC32-60929732DD9E}"/>
    <hyperlink ref="L139" r:id="rId41" xr:uid="{14CF4841-2A37-9044-AE5B-371378C8D3B9}"/>
    <hyperlink ref="L141" r:id="rId42" xr:uid="{2E048D46-3518-2C4A-B061-479244E61709}"/>
    <hyperlink ref="L18" r:id="rId43" xr:uid="{BA26908B-8596-4249-946E-03161834E8E5}"/>
    <hyperlink ref="L58" r:id="rId44" xr:uid="{00B6A218-D9E8-3D4A-B0D7-CBDFA98EE6F3}"/>
    <hyperlink ref="D10" r:id="rId45" xr:uid="{8C412634-0F9A-E946-9A3F-CA7F4E73C3AB}"/>
    <hyperlink ref="L110" r:id="rId46" xr:uid="{1E1C35FB-7434-7842-A803-7D382F52F333}"/>
    <hyperlink ref="L21" r:id="rId47" xr:uid="{62B1AEBF-C899-0A4B-9923-A135752FBB1C}"/>
    <hyperlink ref="D5" r:id="rId48" xr:uid="{13514A0D-2C0E-5340-8AA2-077046FFB755}"/>
    <hyperlink ref="D39" r:id="rId49" xr:uid="{DE8E5F09-1A02-F148-8539-188D3ED5C9F4}"/>
    <hyperlink ref="D35" r:id="rId50" xr:uid="{84827B93-5057-1D4A-AD4E-C9D52677D58A}"/>
    <hyperlink ref="L153" r:id="rId51" location="/admin" xr:uid="{23CE2AD2-6E21-4241-978C-EFA7C5825B0A}"/>
    <hyperlink ref="G15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60" r:id="rId53" xr:uid="{7C2D96E2-AEFB-4140-A2EF-40B86E5741B1}"/>
    <hyperlink ref="L25" r:id="rId54" xr:uid="{35FAF041-CBFF-8A48-A4B3-B97381C00102}"/>
    <hyperlink ref="L68" r:id="rId55" xr:uid="{2D03A0F6-26F5-B24A-B91A-14D38A06B992}"/>
    <hyperlink ref="E68" r:id="rId56" display="https://academicjobsonline.org/ajo/jobs/30626" xr:uid="{46416258-D6E3-7B41-9A73-A9A4F4E6BB34}"/>
    <hyperlink ref="L136" r:id="rId57" xr:uid="{FEED16DA-CB82-0044-943C-358B6551EC5E}"/>
    <hyperlink ref="G136" r:id="rId58" display="mailto:a.gorbenko@ucl.co.uk" xr:uid="{5772A23E-5235-304E-A5C1-05CB3DAB9BFC}"/>
    <hyperlink ref="L27" r:id="rId59" xr:uid="{0F06344E-50D3-B54E-8250-7516D4B03802}"/>
    <hyperlink ref="E27" r:id="rId60" xr:uid="{B72DD765-9030-AC4B-9C6A-C3E6C6D825B0}"/>
    <hyperlink ref="L26" r:id="rId61" xr:uid="{521B9389-25EE-AC42-8631-0602B790BC9F}"/>
    <hyperlink ref="L22" r:id="rId62" xr:uid="{101CF9F0-3B9F-7741-9A08-0F724B9DFBAD}"/>
    <hyperlink ref="E22" r:id="rId63" xr:uid="{A1E87546-ABB3-B843-AEF8-C1E11BCA894E}"/>
    <hyperlink ref="L42" r:id="rId64" xr:uid="{CB47483F-A82F-854C-A1D3-484A5DDC11BF}"/>
    <hyperlink ref="L46" r:id="rId65" xr:uid="{7A6E251E-DB12-EA4C-BA94-B3B44FE73253}"/>
    <hyperlink ref="L43" r:id="rId66" xr:uid="{7C154F49-4A52-6A48-A99D-F3C3751ADC20}"/>
    <hyperlink ref="L55" r:id="rId67" xr:uid="{11631E55-FA21-864F-B682-18A03075BFEE}"/>
    <hyperlink ref="L56" r:id="rId68" xr:uid="{28BB29AB-D632-9C44-9739-DFD6875CA62C}"/>
    <hyperlink ref="E56" r:id="rId69" xr:uid="{70571E5D-37F6-864A-9EAB-DAEF5B46CD8B}"/>
    <hyperlink ref="L57" r:id="rId70" xr:uid="{DFCE3DEC-01C3-7D49-925B-BEFD13BC818A}"/>
    <hyperlink ref="E57" r:id="rId71" xr:uid="{DD5D337B-2CFC-8F41-A89C-2D8D571940BA}"/>
    <hyperlink ref="L59" r:id="rId72" xr:uid="{EA24C43B-23D8-4E4B-9DD8-AAD27BA385E7}"/>
    <hyperlink ref="L73" r:id="rId73" xr:uid="{8E7D4522-E2CE-7043-9079-1CE2F950B085}"/>
    <hyperlink ref="D11" r:id="rId74" xr:uid="{4517EA95-990E-DE45-A804-67126FDDD4C3}"/>
    <hyperlink ref="L20" r:id="rId75" xr:uid="{91C6A3A0-FE50-5B4F-8B20-8B6496F16211}"/>
    <hyperlink ref="L170" r:id="rId76" xr:uid="{5721E0FE-84BD-D943-BC9A-5350183D9688}"/>
    <hyperlink ref="L44" r:id="rId77" xr:uid="{FE7182CC-AEDE-E142-B842-B2FE5C063CCE}"/>
    <hyperlink ref="L29" r:id="rId78" xr:uid="{694E8A95-02AE-9249-91C7-1102518BA774}"/>
    <hyperlink ref="L16" r:id="rId79" xr:uid="{9A9A6BC9-B330-7842-A78C-4DCC88F5E19F}"/>
    <hyperlink ref="L31" r:id="rId80" xr:uid="{928CABEF-4FA6-E646-8140-7B6E43F8FB96}"/>
    <hyperlink ref="E161" r:id="rId81" xr:uid="{82BF1574-A6C6-1641-9FFE-615861E401FD}"/>
    <hyperlink ref="E181" r:id="rId82" xr:uid="{3562807E-7FDA-F046-BA03-5DDD43072DB7}"/>
    <hyperlink ref="G152" r:id="rId83" display="mailto:ivanpaya@ua.es" xr:uid="{DEFB77A5-E57F-714C-BAB9-56DE82BA0B2E}"/>
    <hyperlink ref="G115" r:id="rId84" display="mailto:ari.hyytinen@hanken.fi" xr:uid="{7777B12A-FD99-4A43-A14B-A15661B760DC}"/>
    <hyperlink ref="G123" r:id="rId85" display="mailto:peter.haan@fu-berlin.de" xr:uid="{3D1A69ED-8F06-1246-B586-201CB349DB62}"/>
    <hyperlink ref="D158" r:id="rId86" xr:uid="{C3771F9C-84FC-7A41-9911-ED3B01799C9C}"/>
    <hyperlink ref="D159" r:id="rId87" xr:uid="{A2B41E48-AA17-FE45-B67C-A5398A81BF2D}"/>
    <hyperlink ref="E159" r:id="rId88" xr:uid="{D2EC3FFA-793B-E54C-B216-5D503F8901AE}"/>
    <hyperlink ref="D60" r:id="rId89" xr:uid="{A30F6415-AE46-5540-B683-ED472CE378B6}"/>
    <hyperlink ref="E62" r:id="rId90" xr:uid="{F44B5BBE-5828-6740-B73D-EFF8E8646AE0}"/>
    <hyperlink ref="D23" r:id="rId91" xr:uid="{8166B827-50E4-644E-A453-5F1CFFE18AAB}"/>
    <hyperlink ref="E33" r:id="rId92" xr:uid="{CE88CF57-77B5-1E49-888D-C53C88BC7BE5}"/>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102"/>
  <sheetViews>
    <sheetView topLeftCell="A85" zoomScale="208" workbookViewId="0">
      <selection activeCell="B91" sqref="B91"/>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5</v>
      </c>
      <c r="B1" s="3" t="s">
        <v>6</v>
      </c>
      <c r="C1" s="3" t="s">
        <v>7</v>
      </c>
    </row>
    <row r="2" spans="1:3" x14ac:dyDescent="0.2">
      <c r="A2" s="1">
        <v>45930</v>
      </c>
      <c r="C2" t="s">
        <v>72</v>
      </c>
    </row>
    <row r="3" spans="1:3" x14ac:dyDescent="0.2">
      <c r="A3" s="1">
        <v>45931</v>
      </c>
      <c r="C3" t="s">
        <v>79</v>
      </c>
    </row>
    <row r="4" spans="1:3" x14ac:dyDescent="0.2">
      <c r="A4" s="1">
        <v>45944</v>
      </c>
      <c r="B4" t="s">
        <v>8</v>
      </c>
      <c r="C4" t="s">
        <v>100</v>
      </c>
    </row>
    <row r="5" spans="1:3" x14ac:dyDescent="0.2">
      <c r="A5" s="1">
        <v>45944</v>
      </c>
      <c r="B5" t="s">
        <v>18</v>
      </c>
      <c r="C5" t="s">
        <v>100</v>
      </c>
    </row>
    <row r="6" spans="1:3" x14ac:dyDescent="0.2">
      <c r="A6" s="1">
        <v>45944</v>
      </c>
      <c r="C6" t="s">
        <v>125</v>
      </c>
    </row>
    <row r="7" spans="1:3" x14ac:dyDescent="0.2">
      <c r="A7" s="1">
        <v>45945</v>
      </c>
      <c r="C7" t="s">
        <v>179</v>
      </c>
    </row>
    <row r="8" spans="1:3" x14ac:dyDescent="0.2">
      <c r="A8" s="1">
        <v>45945</v>
      </c>
      <c r="B8" t="s">
        <v>80</v>
      </c>
      <c r="C8" t="s">
        <v>100</v>
      </c>
    </row>
    <row r="9" spans="1:3" x14ac:dyDescent="0.2">
      <c r="A9" s="1">
        <v>45946</v>
      </c>
      <c r="C9" t="s">
        <v>178</v>
      </c>
    </row>
    <row r="10" spans="1:3" x14ac:dyDescent="0.2">
      <c r="A10" s="1">
        <v>45946</v>
      </c>
      <c r="B10" t="s">
        <v>50</v>
      </c>
      <c r="C10" t="s">
        <v>100</v>
      </c>
    </row>
    <row r="11" spans="1:3" x14ac:dyDescent="0.2">
      <c r="A11" s="1">
        <v>45946</v>
      </c>
      <c r="B11" t="s">
        <v>56</v>
      </c>
      <c r="C11" t="s">
        <v>100</v>
      </c>
    </row>
    <row r="12" spans="1:3" x14ac:dyDescent="0.2">
      <c r="A12" s="1">
        <v>45946</v>
      </c>
      <c r="B12" t="s">
        <v>58</v>
      </c>
      <c r="C12" t="s">
        <v>100</v>
      </c>
    </row>
    <row r="13" spans="1:3" x14ac:dyDescent="0.2">
      <c r="A13" s="1">
        <v>45946</v>
      </c>
      <c r="B13" t="s">
        <v>146</v>
      </c>
      <c r="C13" t="s">
        <v>100</v>
      </c>
    </row>
    <row r="14" spans="1:3" x14ac:dyDescent="0.2">
      <c r="A14" s="1">
        <v>45946</v>
      </c>
      <c r="B14" t="s">
        <v>104</v>
      </c>
      <c r="C14" t="s">
        <v>100</v>
      </c>
    </row>
    <row r="15" spans="1:3" x14ac:dyDescent="0.2">
      <c r="A15" s="1">
        <v>45947</v>
      </c>
      <c r="B15" t="s">
        <v>85</v>
      </c>
      <c r="C15" t="s">
        <v>100</v>
      </c>
    </row>
    <row r="16" spans="1:3" x14ac:dyDescent="0.2">
      <c r="A16" s="1">
        <v>45947</v>
      </c>
      <c r="B16" t="s">
        <v>35</v>
      </c>
      <c r="C16" t="s">
        <v>100</v>
      </c>
    </row>
    <row r="17" spans="1:3" x14ac:dyDescent="0.2">
      <c r="A17" s="1">
        <v>45947</v>
      </c>
      <c r="B17" t="s">
        <v>69</v>
      </c>
      <c r="C17" t="s">
        <v>100</v>
      </c>
    </row>
    <row r="18" spans="1:3" x14ac:dyDescent="0.2">
      <c r="A18" s="1">
        <v>45947</v>
      </c>
      <c r="B18" t="s">
        <v>116</v>
      </c>
      <c r="C18" t="s">
        <v>100</v>
      </c>
    </row>
    <row r="19" spans="1:3" x14ac:dyDescent="0.2">
      <c r="A19" s="1">
        <v>45947</v>
      </c>
      <c r="B19" t="s">
        <v>199</v>
      </c>
      <c r="C19" t="s">
        <v>100</v>
      </c>
    </row>
    <row r="20" spans="1:3" x14ac:dyDescent="0.2">
      <c r="A20" s="1">
        <v>45947</v>
      </c>
      <c r="C20" t="s">
        <v>178</v>
      </c>
    </row>
    <row r="21" spans="1:3" x14ac:dyDescent="0.2">
      <c r="A21" s="1">
        <v>45947</v>
      </c>
      <c r="B21" t="s">
        <v>180</v>
      </c>
      <c r="C21" t="s">
        <v>100</v>
      </c>
    </row>
    <row r="22" spans="1:3" x14ac:dyDescent="0.2">
      <c r="A22" s="1">
        <v>45947</v>
      </c>
      <c r="B22" t="s">
        <v>109</v>
      </c>
      <c r="C22" t="s">
        <v>100</v>
      </c>
    </row>
    <row r="23" spans="1:3" x14ac:dyDescent="0.2">
      <c r="A23" s="1">
        <v>45947</v>
      </c>
      <c r="B23" t="s">
        <v>185</v>
      </c>
      <c r="C23" t="s">
        <v>100</v>
      </c>
    </row>
    <row r="24" spans="1:3" x14ac:dyDescent="0.2">
      <c r="A24" s="1">
        <v>45947</v>
      </c>
      <c r="B24" t="s">
        <v>171</v>
      </c>
      <c r="C24" t="s">
        <v>100</v>
      </c>
    </row>
    <row r="25" spans="1:3" x14ac:dyDescent="0.2">
      <c r="A25" s="1">
        <v>45947</v>
      </c>
      <c r="B25" s="5" t="s">
        <v>188</v>
      </c>
      <c r="C25" t="s">
        <v>100</v>
      </c>
    </row>
    <row r="26" spans="1:3" x14ac:dyDescent="0.2">
      <c r="A26" s="1">
        <v>45948</v>
      </c>
      <c r="C26" t="s">
        <v>240</v>
      </c>
    </row>
    <row r="27" spans="1:3" x14ac:dyDescent="0.2">
      <c r="A27" s="1">
        <v>45948</v>
      </c>
      <c r="B27" t="s">
        <v>229</v>
      </c>
      <c r="C27" t="s">
        <v>100</v>
      </c>
    </row>
    <row r="28" spans="1:3" x14ac:dyDescent="0.2">
      <c r="A28" s="1">
        <v>45948</v>
      </c>
      <c r="B28" t="s">
        <v>228</v>
      </c>
      <c r="C28" t="s">
        <v>100</v>
      </c>
    </row>
    <row r="29" spans="1:3" x14ac:dyDescent="0.2">
      <c r="A29" s="1">
        <v>45948</v>
      </c>
      <c r="B29" t="s">
        <v>206</v>
      </c>
      <c r="C29" t="s">
        <v>100</v>
      </c>
    </row>
    <row r="30" spans="1:3" x14ac:dyDescent="0.2">
      <c r="A30" s="1">
        <v>45948</v>
      </c>
      <c r="B30" t="s">
        <v>216</v>
      </c>
      <c r="C30" t="s">
        <v>100</v>
      </c>
    </row>
    <row r="31" spans="1:3" x14ac:dyDescent="0.2">
      <c r="A31" s="1">
        <v>45948</v>
      </c>
      <c r="B31" t="s">
        <v>223</v>
      </c>
      <c r="C31" t="s">
        <v>100</v>
      </c>
    </row>
    <row r="32" spans="1:3" x14ac:dyDescent="0.2">
      <c r="A32" s="1">
        <v>45948</v>
      </c>
      <c r="B32" t="s">
        <v>226</v>
      </c>
      <c r="C32" t="s">
        <v>100</v>
      </c>
    </row>
    <row r="33" spans="1:3" x14ac:dyDescent="0.2">
      <c r="A33" s="1">
        <v>45948</v>
      </c>
      <c r="B33" t="s">
        <v>191</v>
      </c>
      <c r="C33" t="s">
        <v>100</v>
      </c>
    </row>
    <row r="34" spans="1:3" x14ac:dyDescent="0.2">
      <c r="A34" s="1">
        <v>45948</v>
      </c>
      <c r="B34" t="s">
        <v>193</v>
      </c>
      <c r="C34" t="s">
        <v>100</v>
      </c>
    </row>
    <row r="35" spans="1:3" x14ac:dyDescent="0.2">
      <c r="A35" s="1">
        <v>45948</v>
      </c>
      <c r="B35" t="s">
        <v>195</v>
      </c>
      <c r="C35" t="s">
        <v>245</v>
      </c>
    </row>
    <row r="36" spans="1:3" x14ac:dyDescent="0.2">
      <c r="A36" s="1">
        <v>45948</v>
      </c>
      <c r="B36" t="s">
        <v>77</v>
      </c>
      <c r="C36" t="s">
        <v>246</v>
      </c>
    </row>
    <row r="37" spans="1:3" x14ac:dyDescent="0.2">
      <c r="A37" s="1">
        <v>45949</v>
      </c>
      <c r="B37" t="s">
        <v>259</v>
      </c>
      <c r="C37" t="s">
        <v>100</v>
      </c>
    </row>
    <row r="38" spans="1:3" x14ac:dyDescent="0.2">
      <c r="A38" s="1">
        <v>45949</v>
      </c>
      <c r="B38" t="s">
        <v>195</v>
      </c>
      <c r="C38" t="s">
        <v>100</v>
      </c>
    </row>
    <row r="39" spans="1:3" x14ac:dyDescent="0.2">
      <c r="A39" s="1">
        <v>45949</v>
      </c>
      <c r="C39" t="s">
        <v>273</v>
      </c>
    </row>
    <row r="40" spans="1:3" x14ac:dyDescent="0.2">
      <c r="A40" s="1">
        <v>45949</v>
      </c>
      <c r="B40" t="s">
        <v>90</v>
      </c>
      <c r="C40" t="s">
        <v>100</v>
      </c>
    </row>
    <row r="41" spans="1:3" x14ac:dyDescent="0.2">
      <c r="A41" s="1">
        <v>45949</v>
      </c>
      <c r="B41" t="s">
        <v>163</v>
      </c>
      <c r="C41" t="s">
        <v>100</v>
      </c>
    </row>
    <row r="42" spans="1:3" x14ac:dyDescent="0.2">
      <c r="A42" s="1">
        <v>45949</v>
      </c>
      <c r="B42" t="s">
        <v>187</v>
      </c>
      <c r="C42" t="s">
        <v>100</v>
      </c>
    </row>
    <row r="43" spans="1:3" x14ac:dyDescent="0.2">
      <c r="A43" s="1">
        <v>45949</v>
      </c>
      <c r="B43" t="s">
        <v>211</v>
      </c>
      <c r="C43" t="s">
        <v>100</v>
      </c>
    </row>
    <row r="44" spans="1:3" x14ac:dyDescent="0.2">
      <c r="A44" s="1">
        <v>45949</v>
      </c>
      <c r="B44" t="s">
        <v>218</v>
      </c>
      <c r="C44" t="s">
        <v>100</v>
      </c>
    </row>
    <row r="45" spans="1:3" x14ac:dyDescent="0.2">
      <c r="A45" s="1">
        <v>45949</v>
      </c>
      <c r="B45" t="s">
        <v>220</v>
      </c>
      <c r="C45" t="s">
        <v>245</v>
      </c>
    </row>
    <row r="46" spans="1:3" x14ac:dyDescent="0.2">
      <c r="A46" s="1">
        <v>45949</v>
      </c>
      <c r="B46" t="s">
        <v>238</v>
      </c>
      <c r="C46" t="s">
        <v>100</v>
      </c>
    </row>
    <row r="47" spans="1:3" x14ac:dyDescent="0.2">
      <c r="A47" s="1">
        <v>45950</v>
      </c>
      <c r="C47" t="s">
        <v>312</v>
      </c>
    </row>
    <row r="48" spans="1:3" x14ac:dyDescent="0.2">
      <c r="A48" s="1">
        <v>45950</v>
      </c>
      <c r="B48" t="s">
        <v>202</v>
      </c>
      <c r="C48" t="s">
        <v>100</v>
      </c>
    </row>
    <row r="49" spans="1:3" x14ac:dyDescent="0.2">
      <c r="A49" s="1">
        <v>45950</v>
      </c>
      <c r="B49" t="s">
        <v>220</v>
      </c>
      <c r="C49" t="s">
        <v>100</v>
      </c>
    </row>
    <row r="50" spans="1:3" x14ac:dyDescent="0.2">
      <c r="A50" s="1">
        <v>45950</v>
      </c>
      <c r="B50" t="s">
        <v>165</v>
      </c>
      <c r="C50" t="s">
        <v>245</v>
      </c>
    </row>
    <row r="51" spans="1:3" x14ac:dyDescent="0.2">
      <c r="A51" s="1">
        <v>45950</v>
      </c>
      <c r="B51" t="s">
        <v>37</v>
      </c>
      <c r="C51" t="s">
        <v>100</v>
      </c>
    </row>
    <row r="52" spans="1:3" x14ac:dyDescent="0.2">
      <c r="A52" s="1">
        <v>45950</v>
      </c>
      <c r="B52" t="s">
        <v>46</v>
      </c>
      <c r="C52" t="s">
        <v>100</v>
      </c>
    </row>
    <row r="53" spans="1:3" x14ac:dyDescent="0.2">
      <c r="A53" s="1">
        <v>45951</v>
      </c>
      <c r="B53" t="s">
        <v>165</v>
      </c>
      <c r="C53" t="s">
        <v>100</v>
      </c>
    </row>
    <row r="54" spans="1:3" x14ac:dyDescent="0.2">
      <c r="A54" s="1">
        <v>45951</v>
      </c>
      <c r="C54" t="s">
        <v>340</v>
      </c>
    </row>
    <row r="55" spans="1:3" x14ac:dyDescent="0.2">
      <c r="A55" s="1">
        <v>45951</v>
      </c>
      <c r="B55" t="s">
        <v>129</v>
      </c>
      <c r="C55" t="s">
        <v>100</v>
      </c>
    </row>
    <row r="56" spans="1:3" x14ac:dyDescent="0.2">
      <c r="A56" s="1">
        <v>45951</v>
      </c>
      <c r="B56" t="s">
        <v>77</v>
      </c>
      <c r="C56" t="s">
        <v>100</v>
      </c>
    </row>
    <row r="57" spans="1:3" x14ac:dyDescent="0.2">
      <c r="A57" s="1">
        <v>45951</v>
      </c>
      <c r="B57" t="s">
        <v>126</v>
      </c>
      <c r="C57" t="s">
        <v>100</v>
      </c>
    </row>
    <row r="58" spans="1:3" x14ac:dyDescent="0.2">
      <c r="A58" s="1">
        <v>45951</v>
      </c>
      <c r="B58" t="s">
        <v>315</v>
      </c>
      <c r="C58" t="s">
        <v>100</v>
      </c>
    </row>
    <row r="59" spans="1:3" x14ac:dyDescent="0.2">
      <c r="A59" s="1">
        <v>45951</v>
      </c>
      <c r="B59" t="s">
        <v>318</v>
      </c>
      <c r="C59" t="s">
        <v>100</v>
      </c>
    </row>
    <row r="60" spans="1:3" x14ac:dyDescent="0.2">
      <c r="A60" s="1">
        <v>45951</v>
      </c>
      <c r="B60" t="s">
        <v>321</v>
      </c>
      <c r="C60" t="s">
        <v>100</v>
      </c>
    </row>
    <row r="61" spans="1:3" x14ac:dyDescent="0.2">
      <c r="A61" s="1">
        <v>45951</v>
      </c>
      <c r="B61" t="s">
        <v>331</v>
      </c>
      <c r="C61" t="s">
        <v>100</v>
      </c>
    </row>
    <row r="62" spans="1:3" x14ac:dyDescent="0.2">
      <c r="A62" s="1">
        <v>45951</v>
      </c>
      <c r="B62" t="s">
        <v>333</v>
      </c>
      <c r="C62" t="s">
        <v>100</v>
      </c>
    </row>
    <row r="63" spans="1:3" x14ac:dyDescent="0.2">
      <c r="A63" s="1">
        <v>45951</v>
      </c>
      <c r="B63" t="s">
        <v>335</v>
      </c>
      <c r="C63" t="s">
        <v>100</v>
      </c>
    </row>
    <row r="64" spans="1:3" x14ac:dyDescent="0.2">
      <c r="A64" s="1">
        <v>45951</v>
      </c>
      <c r="B64" t="s">
        <v>338</v>
      </c>
      <c r="C64" t="s">
        <v>100</v>
      </c>
    </row>
    <row r="65" spans="1:3" x14ac:dyDescent="0.2">
      <c r="A65" s="1">
        <v>45952</v>
      </c>
      <c r="C65" t="s">
        <v>385</v>
      </c>
    </row>
    <row r="66" spans="1:3" x14ac:dyDescent="0.2">
      <c r="A66" s="1">
        <v>45953</v>
      </c>
      <c r="B66" t="s">
        <v>384</v>
      </c>
      <c r="C66" t="s">
        <v>100</v>
      </c>
    </row>
    <row r="67" spans="1:3" x14ac:dyDescent="0.2">
      <c r="A67" s="1">
        <v>45953</v>
      </c>
      <c r="B67" t="s">
        <v>367</v>
      </c>
      <c r="C67" t="s">
        <v>100</v>
      </c>
    </row>
    <row r="68" spans="1:3" x14ac:dyDescent="0.2">
      <c r="A68" s="1">
        <v>45953</v>
      </c>
      <c r="B68" t="s">
        <v>345</v>
      </c>
      <c r="C68" t="s">
        <v>100</v>
      </c>
    </row>
    <row r="69" spans="1:3" x14ac:dyDescent="0.2">
      <c r="A69" s="1">
        <v>45953</v>
      </c>
      <c r="B69" t="s">
        <v>372</v>
      </c>
      <c r="C69" t="s">
        <v>100</v>
      </c>
    </row>
    <row r="70" spans="1:3" x14ac:dyDescent="0.2">
      <c r="A70" s="1">
        <v>45953</v>
      </c>
      <c r="B70" t="s">
        <v>376</v>
      </c>
      <c r="C70" t="s">
        <v>100</v>
      </c>
    </row>
    <row r="71" spans="1:3" x14ac:dyDescent="0.2">
      <c r="A71" s="1">
        <v>45953</v>
      </c>
      <c r="B71" s="5" t="s">
        <v>92</v>
      </c>
      <c r="C71" t="s">
        <v>100</v>
      </c>
    </row>
    <row r="72" spans="1:3" x14ac:dyDescent="0.2">
      <c r="A72" s="1">
        <v>45953</v>
      </c>
      <c r="B72" t="s">
        <v>96</v>
      </c>
      <c r="C72" t="s">
        <v>100</v>
      </c>
    </row>
    <row r="73" spans="1:3" x14ac:dyDescent="0.2">
      <c r="A73" s="1">
        <v>45953</v>
      </c>
      <c r="B73" t="s">
        <v>369</v>
      </c>
      <c r="C73" t="s">
        <v>100</v>
      </c>
    </row>
    <row r="74" spans="1:3" x14ac:dyDescent="0.2">
      <c r="A74" s="1">
        <v>45953</v>
      </c>
      <c r="B74" t="s">
        <v>397</v>
      </c>
      <c r="C74" t="s">
        <v>100</v>
      </c>
    </row>
    <row r="75" spans="1:3" x14ac:dyDescent="0.2">
      <c r="A75" s="1">
        <v>45953</v>
      </c>
      <c r="B75" t="s">
        <v>322</v>
      </c>
      <c r="C75" t="s">
        <v>100</v>
      </c>
    </row>
    <row r="76" spans="1:3" x14ac:dyDescent="0.2">
      <c r="A76" s="1">
        <v>45953</v>
      </c>
      <c r="B76" t="s">
        <v>400</v>
      </c>
      <c r="C76" t="s">
        <v>100</v>
      </c>
    </row>
    <row r="77" spans="1:3" x14ac:dyDescent="0.2">
      <c r="A77" s="1">
        <v>45954</v>
      </c>
      <c r="B77" t="s">
        <v>213</v>
      </c>
      <c r="C77" t="s">
        <v>100</v>
      </c>
    </row>
    <row r="78" spans="1:3" x14ac:dyDescent="0.2">
      <c r="A78" s="1">
        <v>45954</v>
      </c>
      <c r="B78" t="s">
        <v>249</v>
      </c>
      <c r="C78" t="s">
        <v>100</v>
      </c>
    </row>
    <row r="79" spans="1:3" x14ac:dyDescent="0.2">
      <c r="A79" s="1">
        <v>45957</v>
      </c>
      <c r="C79" t="s">
        <v>445</v>
      </c>
    </row>
    <row r="80" spans="1:3" x14ac:dyDescent="0.2">
      <c r="A80" s="1">
        <v>45958</v>
      </c>
      <c r="C80" t="s">
        <v>477</v>
      </c>
    </row>
    <row r="81" spans="1:3" x14ac:dyDescent="0.2">
      <c r="A81" s="1">
        <v>45960</v>
      </c>
      <c r="C81" t="s">
        <v>508</v>
      </c>
    </row>
    <row r="82" spans="1:3" x14ac:dyDescent="0.2">
      <c r="A82" s="1">
        <v>45960</v>
      </c>
      <c r="B82" t="s">
        <v>447</v>
      </c>
      <c r="C82" t="s">
        <v>100</v>
      </c>
    </row>
    <row r="83" spans="1:3" x14ac:dyDescent="0.2">
      <c r="A83" s="1">
        <v>45960</v>
      </c>
      <c r="B83" t="s">
        <v>478</v>
      </c>
      <c r="C83" t="s">
        <v>100</v>
      </c>
    </row>
    <row r="84" spans="1:3" x14ac:dyDescent="0.2">
      <c r="A84" s="1">
        <v>45960</v>
      </c>
      <c r="B84" t="s">
        <v>485</v>
      </c>
      <c r="C84" t="s">
        <v>100</v>
      </c>
    </row>
    <row r="85" spans="1:3" x14ac:dyDescent="0.2">
      <c r="A85" s="1">
        <v>45960</v>
      </c>
      <c r="B85" t="s">
        <v>426</v>
      </c>
      <c r="C85" t="s">
        <v>100</v>
      </c>
    </row>
    <row r="86" spans="1:3" x14ac:dyDescent="0.2">
      <c r="A86" s="1">
        <v>45960</v>
      </c>
      <c r="B86" t="s">
        <v>467</v>
      </c>
      <c r="C86" t="s">
        <v>100</v>
      </c>
    </row>
    <row r="87" spans="1:3" x14ac:dyDescent="0.2">
      <c r="A87" s="1">
        <v>45960</v>
      </c>
      <c r="B87" t="s">
        <v>491</v>
      </c>
      <c r="C87" t="s">
        <v>100</v>
      </c>
    </row>
    <row r="88" spans="1:3" x14ac:dyDescent="0.2">
      <c r="A88" s="1">
        <v>45960</v>
      </c>
      <c r="B88" t="s">
        <v>494</v>
      </c>
      <c r="C88" t="s">
        <v>100</v>
      </c>
    </row>
    <row r="89" spans="1:3" x14ac:dyDescent="0.2">
      <c r="A89" s="1">
        <v>45960</v>
      </c>
      <c r="B89" t="s">
        <v>501</v>
      </c>
      <c r="C89" t="s">
        <v>100</v>
      </c>
    </row>
    <row r="90" spans="1:3" x14ac:dyDescent="0.2">
      <c r="A90" s="1">
        <v>45960</v>
      </c>
      <c r="B90" t="s">
        <v>450</v>
      </c>
      <c r="C90" t="s">
        <v>100</v>
      </c>
    </row>
    <row r="91" spans="1:3" x14ac:dyDescent="0.2">
      <c r="A91" s="1">
        <v>45960</v>
      </c>
      <c r="B91" t="s">
        <v>441</v>
      </c>
      <c r="C91" t="s">
        <v>100</v>
      </c>
    </row>
    <row r="92" spans="1:3" x14ac:dyDescent="0.2">
      <c r="A92" s="1">
        <v>45960</v>
      </c>
      <c r="B92" t="s">
        <v>473</v>
      </c>
      <c r="C92" t="s">
        <v>100</v>
      </c>
    </row>
    <row r="93" spans="1:3" x14ac:dyDescent="0.2">
      <c r="A93" s="1">
        <v>45960</v>
      </c>
      <c r="B93" t="s">
        <v>470</v>
      </c>
      <c r="C93" t="s">
        <v>100</v>
      </c>
    </row>
    <row r="94" spans="1:3" x14ac:dyDescent="0.2">
      <c r="A94" s="1">
        <v>45960</v>
      </c>
      <c r="B94" t="s">
        <v>462</v>
      </c>
      <c r="C94" t="s">
        <v>100</v>
      </c>
    </row>
    <row r="95" spans="1:3" x14ac:dyDescent="0.2">
      <c r="A95" s="1">
        <v>45960</v>
      </c>
      <c r="B95" t="s">
        <v>432</v>
      </c>
      <c r="C95" t="s">
        <v>100</v>
      </c>
    </row>
    <row r="96" spans="1:3" x14ac:dyDescent="0.2">
      <c r="A96" s="1">
        <v>45960</v>
      </c>
      <c r="B96" t="s">
        <v>458</v>
      </c>
      <c r="C96" t="s">
        <v>100</v>
      </c>
    </row>
    <row r="97" spans="1:3" x14ac:dyDescent="0.2">
      <c r="A97" s="1">
        <v>45960</v>
      </c>
      <c r="B97" t="s">
        <v>328</v>
      </c>
      <c r="C97" t="s">
        <v>100</v>
      </c>
    </row>
    <row r="98" spans="1:3" x14ac:dyDescent="0.2">
      <c r="A98" s="1">
        <v>45960</v>
      </c>
      <c r="B98" t="s">
        <v>435</v>
      </c>
      <c r="C98" t="s">
        <v>100</v>
      </c>
    </row>
    <row r="99" spans="1:3" x14ac:dyDescent="0.2">
      <c r="A99" s="1">
        <v>45960</v>
      </c>
      <c r="B99" t="s">
        <v>280</v>
      </c>
      <c r="C99" t="s">
        <v>100</v>
      </c>
    </row>
    <row r="100" spans="1:3" x14ac:dyDescent="0.2">
      <c r="A100" s="1">
        <v>45960</v>
      </c>
      <c r="B100" t="s">
        <v>352</v>
      </c>
      <c r="C100" t="s">
        <v>100</v>
      </c>
    </row>
    <row r="101" spans="1:3" x14ac:dyDescent="0.2">
      <c r="A101" s="1">
        <v>45960</v>
      </c>
      <c r="B101" t="s">
        <v>324</v>
      </c>
      <c r="C101" t="s">
        <v>100</v>
      </c>
    </row>
    <row r="102" spans="1:3" x14ac:dyDescent="0.2">
      <c r="A102" s="1">
        <v>45962</v>
      </c>
      <c r="C102" t="s">
        <v>541</v>
      </c>
    </row>
  </sheetData>
  <conditionalFormatting sqref="B5">
    <cfRule type="duplicateValues" dxfId="75" priority="81"/>
    <cfRule type="duplicateValues" dxfId="74" priority="82"/>
  </conditionalFormatting>
  <conditionalFormatting sqref="B10">
    <cfRule type="duplicateValues" dxfId="73" priority="79"/>
    <cfRule type="duplicateValues" dxfId="72" priority="80"/>
  </conditionalFormatting>
  <conditionalFormatting sqref="B11">
    <cfRule type="duplicateValues" dxfId="71" priority="77"/>
    <cfRule type="duplicateValues" dxfId="70" priority="78"/>
  </conditionalFormatting>
  <conditionalFormatting sqref="B12">
    <cfRule type="duplicateValues" dxfId="69" priority="75"/>
    <cfRule type="duplicateValues" dxfId="68" priority="76"/>
  </conditionalFormatting>
  <conditionalFormatting sqref="B15">
    <cfRule type="duplicateValues" dxfId="67" priority="73"/>
    <cfRule type="duplicateValues" dxfId="66" priority="74"/>
  </conditionalFormatting>
  <conditionalFormatting sqref="B16">
    <cfRule type="duplicateValues" dxfId="65" priority="72"/>
  </conditionalFormatting>
  <conditionalFormatting sqref="B17">
    <cfRule type="duplicateValues" dxfId="64" priority="70"/>
    <cfRule type="duplicateValues" dxfId="63" priority="71"/>
  </conditionalFormatting>
  <conditionalFormatting sqref="B18">
    <cfRule type="duplicateValues" dxfId="62" priority="68"/>
    <cfRule type="duplicateValues" dxfId="61" priority="69"/>
  </conditionalFormatting>
  <conditionalFormatting sqref="B19">
    <cfRule type="duplicateValues" dxfId="60" priority="67"/>
  </conditionalFormatting>
  <conditionalFormatting sqref="B22:B23">
    <cfRule type="duplicateValues" dxfId="59" priority="65"/>
    <cfRule type="duplicateValues" dxfId="58" priority="66"/>
  </conditionalFormatting>
  <conditionalFormatting sqref="B24">
    <cfRule type="duplicateValues" dxfId="57" priority="63"/>
    <cfRule type="duplicateValues" dxfId="56" priority="64"/>
  </conditionalFormatting>
  <conditionalFormatting sqref="B27">
    <cfRule type="duplicateValues" dxfId="55" priority="61"/>
    <cfRule type="duplicateValues" dxfId="54" priority="62"/>
  </conditionalFormatting>
  <conditionalFormatting sqref="B28">
    <cfRule type="duplicateValues" dxfId="53" priority="60"/>
  </conditionalFormatting>
  <conditionalFormatting sqref="B29">
    <cfRule type="duplicateValues" dxfId="52" priority="58"/>
    <cfRule type="duplicateValues" dxfId="51" priority="59"/>
  </conditionalFormatting>
  <conditionalFormatting sqref="B30">
    <cfRule type="duplicateValues" dxfId="50" priority="57"/>
  </conditionalFormatting>
  <conditionalFormatting sqref="B31">
    <cfRule type="duplicateValues" dxfId="49" priority="56"/>
  </conditionalFormatting>
  <conditionalFormatting sqref="B32">
    <cfRule type="duplicateValues" dxfId="48" priority="55"/>
  </conditionalFormatting>
  <conditionalFormatting sqref="B33">
    <cfRule type="duplicateValues" dxfId="47" priority="54"/>
  </conditionalFormatting>
  <conditionalFormatting sqref="B34">
    <cfRule type="duplicateValues" dxfId="46" priority="53"/>
  </conditionalFormatting>
  <conditionalFormatting sqref="B35">
    <cfRule type="duplicateValues" dxfId="45" priority="52"/>
  </conditionalFormatting>
  <conditionalFormatting sqref="B37">
    <cfRule type="duplicateValues" dxfId="44" priority="51"/>
  </conditionalFormatting>
  <conditionalFormatting sqref="B38">
    <cfRule type="duplicateValues" dxfId="43" priority="50"/>
  </conditionalFormatting>
  <conditionalFormatting sqref="B42">
    <cfRule type="duplicateValues" dxfId="42" priority="49"/>
  </conditionalFormatting>
  <conditionalFormatting sqref="B43">
    <cfRule type="duplicateValues" dxfId="41" priority="48"/>
  </conditionalFormatting>
  <conditionalFormatting sqref="B44:B45">
    <cfRule type="duplicateValues" dxfId="40" priority="47"/>
  </conditionalFormatting>
  <conditionalFormatting sqref="B46">
    <cfRule type="duplicateValues" dxfId="39" priority="46"/>
  </conditionalFormatting>
  <conditionalFormatting sqref="B48">
    <cfRule type="duplicateValues" dxfId="38" priority="45"/>
  </conditionalFormatting>
  <conditionalFormatting sqref="B49">
    <cfRule type="duplicateValues" dxfId="37" priority="44"/>
  </conditionalFormatting>
  <conditionalFormatting sqref="B51">
    <cfRule type="duplicateValues" dxfId="36" priority="43"/>
  </conditionalFormatting>
  <conditionalFormatting sqref="B52">
    <cfRule type="duplicateValues" dxfId="35" priority="42"/>
  </conditionalFormatting>
  <conditionalFormatting sqref="B58">
    <cfRule type="duplicateValues" dxfId="34" priority="40"/>
  </conditionalFormatting>
  <conditionalFormatting sqref="B59">
    <cfRule type="duplicateValues" dxfId="33" priority="38"/>
  </conditionalFormatting>
  <conditionalFormatting sqref="B63">
    <cfRule type="duplicateValues" dxfId="32" priority="37"/>
  </conditionalFormatting>
  <conditionalFormatting sqref="B64">
    <cfRule type="duplicateValues" dxfId="31" priority="35"/>
  </conditionalFormatting>
  <conditionalFormatting sqref="B66">
    <cfRule type="duplicateValues" dxfId="30" priority="34"/>
  </conditionalFormatting>
  <conditionalFormatting sqref="B67">
    <cfRule type="duplicateValues" dxfId="29" priority="32"/>
    <cfRule type="duplicateValues" dxfId="28" priority="33"/>
  </conditionalFormatting>
  <conditionalFormatting sqref="B68">
    <cfRule type="duplicateValues" dxfId="27" priority="31"/>
  </conditionalFormatting>
  <conditionalFormatting sqref="B69">
    <cfRule type="duplicateValues" dxfId="26" priority="30"/>
  </conditionalFormatting>
  <conditionalFormatting sqref="B70">
    <cfRule type="duplicateValues" dxfId="25" priority="28"/>
  </conditionalFormatting>
  <conditionalFormatting sqref="B72">
    <cfRule type="duplicateValues" dxfId="24" priority="27"/>
  </conditionalFormatting>
  <conditionalFormatting sqref="B73">
    <cfRule type="duplicateValues" dxfId="23" priority="25"/>
  </conditionalFormatting>
  <conditionalFormatting sqref="B74">
    <cfRule type="duplicateValues" dxfId="22" priority="24"/>
  </conditionalFormatting>
  <conditionalFormatting sqref="B75">
    <cfRule type="duplicateValues" dxfId="21" priority="23"/>
  </conditionalFormatting>
  <conditionalFormatting sqref="B76">
    <cfRule type="duplicateValues" dxfId="20" priority="22"/>
  </conditionalFormatting>
  <conditionalFormatting sqref="B77">
    <cfRule type="duplicateValues" dxfId="19" priority="20"/>
  </conditionalFormatting>
  <conditionalFormatting sqref="B78">
    <cfRule type="duplicateValues" dxfId="18" priority="19"/>
  </conditionalFormatting>
  <conditionalFormatting sqref="B83">
    <cfRule type="duplicateValues" dxfId="17" priority="18"/>
  </conditionalFormatting>
  <conditionalFormatting sqref="B84">
    <cfRule type="duplicateValues" dxfId="16" priority="17"/>
  </conditionalFormatting>
  <conditionalFormatting sqref="B85">
    <cfRule type="duplicateValues" dxfId="15" priority="16"/>
  </conditionalFormatting>
  <conditionalFormatting sqref="B87">
    <cfRule type="duplicateValues" dxfId="14" priority="15"/>
  </conditionalFormatting>
  <conditionalFormatting sqref="B88">
    <cfRule type="duplicateValues" dxfId="13" priority="14"/>
  </conditionalFormatting>
  <conditionalFormatting sqref="B89">
    <cfRule type="duplicateValues" dxfId="12" priority="13"/>
  </conditionalFormatting>
  <conditionalFormatting sqref="B90">
    <cfRule type="duplicateValues" dxfId="11" priority="12"/>
  </conditionalFormatting>
  <conditionalFormatting sqref="B91">
    <cfRule type="duplicateValues" dxfId="10" priority="11"/>
  </conditionalFormatting>
  <conditionalFormatting sqref="B92">
    <cfRule type="duplicateValues" dxfId="9" priority="10"/>
  </conditionalFormatting>
  <conditionalFormatting sqref="B93">
    <cfRule type="duplicateValues" dxfId="8" priority="9"/>
  </conditionalFormatting>
  <conditionalFormatting sqref="B94">
    <cfRule type="duplicateValues" dxfId="7" priority="8"/>
  </conditionalFormatting>
  <conditionalFormatting sqref="B95">
    <cfRule type="duplicateValues" dxfId="6" priority="7"/>
  </conditionalFormatting>
  <conditionalFormatting sqref="B96">
    <cfRule type="duplicateValues" dxfId="5" priority="6"/>
  </conditionalFormatting>
  <conditionalFormatting sqref="B97">
    <cfRule type="duplicateValues" dxfId="4" priority="5"/>
  </conditionalFormatting>
  <conditionalFormatting sqref="B98">
    <cfRule type="duplicateValues" dxfId="3" priority="4"/>
  </conditionalFormatting>
  <conditionalFormatting sqref="B99">
    <cfRule type="duplicateValues" dxfId="2" priority="3"/>
  </conditionalFormatting>
  <conditionalFormatting sqref="B100">
    <cfRule type="duplicateValues" dxfId="1" priority="2"/>
  </conditionalFormatting>
  <conditionalFormatting sqref="B101">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D7" sqref="D7"/>
    </sheetView>
  </sheetViews>
  <sheetFormatPr baseColWidth="10" defaultRowHeight="16" x14ac:dyDescent="0.2"/>
  <cols>
    <col min="1" max="1" width="15.83203125" style="12" customWidth="1"/>
    <col min="2" max="2" width="10.83203125" style="16"/>
    <col min="3" max="3" width="10.83203125" style="10"/>
  </cols>
  <sheetData>
    <row r="1" spans="1:3" ht="27" x14ac:dyDescent="0.35">
      <c r="A1" s="11" t="s">
        <v>403</v>
      </c>
      <c r="B1" s="15">
        <f>COUNTA(sum!A:A) -1</f>
        <v>180</v>
      </c>
      <c r="C1" s="14">
        <f>COUNTIF(sum!H:H, "completed")/B1</f>
        <v>0.48333333333333334</v>
      </c>
    </row>
    <row r="2" spans="1:3" ht="22" customHeight="1" x14ac:dyDescent="0.2">
      <c r="A2" s="13" t="s">
        <v>404</v>
      </c>
      <c r="B2" s="16">
        <f>COUNTA(sum!F:F) -1</f>
        <v>44</v>
      </c>
      <c r="C2" s="10">
        <f>COUNTIFS(sum!H:H,"completed", sum!F:F, "&lt;&gt;") / B2</f>
        <v>0.40909090909090912</v>
      </c>
    </row>
    <row r="3" spans="1:3" ht="21" customHeight="1" x14ac:dyDescent="0.2">
      <c r="A3" s="13" t="s">
        <v>405</v>
      </c>
      <c r="B3" s="16">
        <f>COUNTA(sum!J:J) -1</f>
        <v>30</v>
      </c>
      <c r="C3" s="10">
        <f>COUNTIFS(sum!H:H,"completed", sum!J:J, "&lt;&gt;") / B3</f>
        <v>0.36666666666666664</v>
      </c>
    </row>
    <row r="5" spans="1:3" ht="27" x14ac:dyDescent="0.35">
      <c r="A5" s="11" t="s">
        <v>406</v>
      </c>
      <c r="B5" s="15">
        <f>COUNTA(sum!I:I) -1</f>
        <v>0</v>
      </c>
      <c r="C5" s="14">
        <f>B5/B1</f>
        <v>0</v>
      </c>
    </row>
    <row r="6" spans="1:3" x14ac:dyDescent="0.2">
      <c r="A6" s="13" t="s">
        <v>407</v>
      </c>
      <c r="B6" s="16">
        <f>COUNTIFS(sum!I:I,"no news")</f>
        <v>0</v>
      </c>
      <c r="C6" s="10" t="e">
        <f>B6/$B$5</f>
        <v>#DIV/0!</v>
      </c>
    </row>
    <row r="7" spans="1:3" x14ac:dyDescent="0.2">
      <c r="A7" s="13" t="s">
        <v>408</v>
      </c>
      <c r="B7" s="16">
        <f>COUNTIFS(sum!I:I,"rejected")</f>
        <v>0</v>
      </c>
      <c r="C7" s="10" t="e">
        <f t="shared" ref="C7:C10" si="0">B7/$B$5</f>
        <v>#DIV/0!</v>
      </c>
    </row>
    <row r="8" spans="1:3" x14ac:dyDescent="0.2">
      <c r="A8" s="13" t="s">
        <v>409</v>
      </c>
      <c r="B8" s="16">
        <f>COUNTIFS(sum!I:I,"interview")</f>
        <v>0</v>
      </c>
      <c r="C8" s="10" t="e">
        <f t="shared" si="0"/>
        <v>#DIV/0!</v>
      </c>
    </row>
    <row r="9" spans="1:3" x14ac:dyDescent="0.2">
      <c r="A9" s="13" t="s">
        <v>410</v>
      </c>
      <c r="B9" s="16">
        <f>COUNTIFS(sum!I:I,"fly out")</f>
        <v>0</v>
      </c>
      <c r="C9" s="10" t="e">
        <f t="shared" si="0"/>
        <v>#DIV/0!</v>
      </c>
    </row>
    <row r="10" spans="1:3" x14ac:dyDescent="0.2">
      <c r="A10" s="13" t="s">
        <v>411</v>
      </c>
      <c r="B10" s="16">
        <f>COUNTIFS(sum!I:I,"offer")</f>
        <v>0</v>
      </c>
      <c r="C10" s="10" t="e">
        <f t="shared" si="0"/>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2025-11-01T15:59:16Z</dcterms:modified>
</cp:coreProperties>
</file>