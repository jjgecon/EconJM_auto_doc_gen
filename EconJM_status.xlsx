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19C8A08A-4746-408C-AC0F-23C4766CDB97}"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22" i="1" l="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c r="O39" i="1" a="1"/>
  <c r="O39" i="1" s="1"/>
  <c r="O40" i="1" a="1"/>
  <c r="O40" i="1" s="1"/>
  <c r="O41" i="1" a="1"/>
  <c r="O41" i="1" s="1"/>
  <c r="O42" i="1" a="1"/>
  <c r="O42" i="1" s="1"/>
  <c r="O43" i="1" a="1"/>
  <c r="O43" i="1" s="1"/>
  <c r="O44" i="1" a="1"/>
  <c r="O44" i="1" s="1"/>
  <c r="O45" i="1" a="1"/>
  <c r="O45" i="1"/>
  <c r="O46" i="1" a="1"/>
  <c r="O46" i="1" s="1"/>
  <c r="O47" i="1" a="1"/>
  <c r="O47" i="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c r="O73" i="1" a="1"/>
  <c r="O73" i="1" s="1"/>
  <c r="O74" i="1" a="1"/>
  <c r="O74" i="1"/>
  <c r="O75" i="1" a="1"/>
  <c r="O75" i="1" s="1"/>
  <c r="O76" i="1" a="1"/>
  <c r="O76" i="1" s="1"/>
  <c r="O77" i="1" a="1"/>
  <c r="O77" i="1" s="1"/>
  <c r="O78" i="1" a="1"/>
  <c r="O78" i="1" s="1"/>
  <c r="O79" i="1" a="1"/>
  <c r="O79" i="1" s="1"/>
  <c r="O80" i="1" a="1"/>
  <c r="O80" i="1" s="1"/>
  <c r="O81" i="1" a="1"/>
  <c r="O81" i="1" s="1"/>
  <c r="O82" i="1" a="1"/>
  <c r="O82" i="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c r="O94" i="1" a="1"/>
  <c r="O94" i="1" s="1"/>
  <c r="O95" i="1" a="1"/>
  <c r="O95" i="1" s="1"/>
  <c r="O96" i="1" a="1"/>
  <c r="O96" i="1" s="1"/>
  <c r="O97" i="1" a="1"/>
  <c r="O97" i="1"/>
  <c r="O98" i="1" a="1"/>
  <c r="O98" i="1"/>
  <c r="O99" i="1" a="1"/>
  <c r="O99" i="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c r="O129" i="1" a="1"/>
  <c r="O129" i="1" s="1"/>
  <c r="O130" i="1" a="1"/>
  <c r="O130" i="1" s="1"/>
  <c r="O131" i="1" a="1"/>
  <c r="O131" i="1"/>
  <c r="O132" i="1" a="1"/>
  <c r="O132" i="1"/>
  <c r="O133" i="1" a="1"/>
  <c r="O133" i="1"/>
  <c r="O134" i="1" a="1"/>
  <c r="O134" i="1" s="1"/>
  <c r="O135" i="1" a="1"/>
  <c r="O135" i="1" s="1"/>
  <c r="O136" i="1" a="1"/>
  <c r="O136" i="1"/>
  <c r="O137" i="1" a="1"/>
  <c r="O137" i="1"/>
  <c r="O138" i="1" a="1"/>
  <c r="O138" i="1" s="1"/>
  <c r="O139" i="1" a="1"/>
  <c r="O139" i="1" s="1"/>
  <c r="O140" i="1" a="1"/>
  <c r="O140" i="1" s="1"/>
  <c r="O141" i="1" a="1"/>
  <c r="O141" i="1" s="1"/>
  <c r="O142" i="1" a="1"/>
  <c r="O142" i="1" s="1"/>
  <c r="O143" i="1" a="1"/>
  <c r="O143" i="1" s="1"/>
  <c r="O144" i="1" a="1"/>
  <c r="O144" i="1" s="1"/>
  <c r="O145" i="1" a="1"/>
  <c r="O145" i="1"/>
  <c r="O146" i="1" a="1"/>
  <c r="O146" i="1"/>
  <c r="O147" i="1" a="1"/>
  <c r="O147" i="1" s="1"/>
  <c r="O148" i="1" a="1"/>
  <c r="O148" i="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c r="O165" i="1" a="1"/>
  <c r="O165" i="1"/>
  <c r="O166" i="1" a="1"/>
  <c r="O166" i="1"/>
  <c r="O167" i="1" a="1"/>
  <c r="O167" i="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c r="O183" i="1" a="1"/>
  <c r="O183" i="1" s="1"/>
  <c r="O184" i="1" a="1"/>
  <c r="O184" i="1" s="1"/>
  <c r="O185" i="1" a="1"/>
  <c r="O185" i="1" s="1"/>
  <c r="O186" i="1" a="1"/>
  <c r="O186" i="1"/>
  <c r="O187" i="1" a="1"/>
  <c r="O187" i="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c r="O217" i="1" a="1"/>
  <c r="O217" i="1" s="1"/>
  <c r="O218" i="1" a="1"/>
  <c r="O218" i="1"/>
  <c r="O219" i="1" a="1"/>
  <c r="O219" i="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c r="O235" i="1" a="1"/>
  <c r="O235" i="1"/>
  <c r="O236" i="1" a="1"/>
  <c r="O236" i="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c r="O250" i="1" a="1"/>
  <c r="O250" i="1"/>
  <c r="O251" i="1" a="1"/>
  <c r="O251" i="1"/>
  <c r="O252" i="1" a="1"/>
  <c r="O252" i="1"/>
  <c r="O253" i="1" a="1"/>
  <c r="O253" i="1"/>
  <c r="O254" i="1" a="1"/>
  <c r="O254" i="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5" i="3"/>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<sst xmlns="http://schemas.openxmlformats.org/spreadsheetml/2006/main" count="2814" uniqueCount="880">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</sst>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76"/>
  <sheetViews>
    <sheetView tabSelected="1" topLeftCell="K1" zoomScale="145" zoomScaleNormal="145" workbookViewId="0">
      <pane ySplit="1" topLeftCell="A113" activePane="bottomLeft" state="frozen"/>
      <selection pane="bottomLeft" activeCell="A122" sqref="A122"/>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877</v>
      </c>
      <c r="P1" s="3" t="s">
        <v>10</v>
      </c>
      <c r="Q1" s="3" t="s">
        <v>12</v>
      </c>
      <c r="R1" s="3" t="s">
        <v>775</v>
      </c>
      <c r="S1" s="3" t="s">
        <v>113</v>
      </c>
      <c r="T1" s="3" t="s">
        <v>42</v>
      </c>
      <c r="U1" s="3" t="s">
        <v>20</v>
      </c>
      <c r="V1" s="3" t="s">
        <v>21</v>
      </c>
      <c r="W1" s="3" t="s">
        <v>22</v>
      </c>
    </row>
    <row r="2" spans="1:23" x14ac:dyDescent="0.4">
      <c r="A2" t="s">
        <v>148</v>
      </c>
      <c r="D2" s="1">
        <v>45902</v>
      </c>
      <c r="E2" t="s">
        <v>40</v>
      </c>
      <c r="F2" t="s">
        <v>149</v>
      </c>
      <c r="G2">
        <v>1</v>
      </c>
      <c r="I2" t="s">
        <v>128</v>
      </c>
      <c r="J2" t="s">
        <v>402</v>
      </c>
      <c r="M2" t="s">
        <v>147</v>
      </c>
      <c r="N2" t="e" vm="1">
        <v>#VALUE!</v>
      </c>
      <c r="O2" t="str" cm="1">
        <f t="array" aca="1" ref="O2" ca="1">_FV(N2,"Name")</f>
        <v>United States</v>
      </c>
      <c r="P2" t="s">
        <v>11</v>
      </c>
      <c r="R2" t="s">
        <v>776</v>
      </c>
      <c r="S2" s="1">
        <v>45902</v>
      </c>
      <c r="U2">
        <v>1</v>
      </c>
      <c r="V2">
        <v>0</v>
      </c>
      <c r="W2">
        <v>1</v>
      </c>
    </row>
    <row r="3" spans="1:23" x14ac:dyDescent="0.4">
      <c r="A3" t="s">
        <v>7</v>
      </c>
      <c r="D3" s="1">
        <v>45931</v>
      </c>
      <c r="E3" t="s">
        <v>15</v>
      </c>
      <c r="F3" t="s">
        <v>15</v>
      </c>
      <c r="H3" s="1"/>
      <c r="I3" t="s">
        <v>96</v>
      </c>
      <c r="J3" t="s">
        <v>402</v>
      </c>
      <c r="M3" s="2" t="s">
        <v>13</v>
      </c>
      <c r="N3" t="e" vm="1">
        <v>#VALUE!</v>
      </c>
      <c r="O3" t="str" cm="1">
        <f t="array" aca="1" ref="O3" ca="1">_FV(N3,"Name")</f>
        <v>United States</v>
      </c>
      <c r="P3" t="s">
        <v>11</v>
      </c>
      <c r="Q3" t="s">
        <v>18</v>
      </c>
      <c r="R3" t="s">
        <v>776</v>
      </c>
      <c r="S3" s="1">
        <v>45931</v>
      </c>
      <c r="T3" t="str" cm="1">
        <f t="array" aca="1" ref="T3" ca="1">_FV(N3,"Name")</f>
        <v>United States</v>
      </c>
      <c r="U3">
        <v>1</v>
      </c>
      <c r="V3">
        <v>1</v>
      </c>
      <c r="W3">
        <v>1</v>
      </c>
    </row>
    <row r="4" spans="1:23" x14ac:dyDescent="0.4">
      <c r="A4" t="s">
        <v>17</v>
      </c>
      <c r="D4" s="1">
        <v>45931</v>
      </c>
      <c r="E4" t="s">
        <v>15</v>
      </c>
      <c r="F4" t="s">
        <v>15</v>
      </c>
      <c r="H4" s="1"/>
      <c r="I4" t="s">
        <v>96</v>
      </c>
      <c r="J4" t="s">
        <v>402</v>
      </c>
      <c r="M4" s="2" t="s">
        <v>16</v>
      </c>
      <c r="N4" t="e" vm="1">
        <v>#VALUE!</v>
      </c>
      <c r="O4" t="str" cm="1">
        <f t="array" aca="1" ref="O4" ca="1">_FV(N4,"Name")</f>
        <v>United States</v>
      </c>
      <c r="P4" t="s">
        <v>11</v>
      </c>
      <c r="Q4" t="s">
        <v>18</v>
      </c>
      <c r="R4" t="s">
        <v>776</v>
      </c>
      <c r="S4" s="1">
        <v>45931</v>
      </c>
      <c r="U4">
        <v>1</v>
      </c>
      <c r="V4">
        <v>1</v>
      </c>
      <c r="W4">
        <v>1</v>
      </c>
    </row>
    <row r="5" spans="1:23" x14ac:dyDescent="0.4">
      <c r="A5" t="s">
        <v>52</v>
      </c>
      <c r="D5" s="1">
        <v>45931</v>
      </c>
      <c r="E5" t="s">
        <v>53</v>
      </c>
      <c r="H5" s="1"/>
      <c r="I5" t="s">
        <v>152</v>
      </c>
      <c r="J5" t="s">
        <v>402</v>
      </c>
      <c r="M5" s="2" t="s">
        <v>49</v>
      </c>
      <c r="N5" t="e" vm="1">
        <v>#VALUE!</v>
      </c>
      <c r="O5" t="str" cm="1">
        <f t="array" aca="1" ref="O5" ca="1">_FV(N5,"Name")</f>
        <v>United States</v>
      </c>
      <c r="P5" t="s">
        <v>11</v>
      </c>
      <c r="R5" t="s">
        <v>776</v>
      </c>
      <c r="S5" s="1">
        <v>45931</v>
      </c>
      <c r="U5">
        <v>1</v>
      </c>
      <c r="V5">
        <v>0</v>
      </c>
      <c r="W5">
        <v>1</v>
      </c>
    </row>
    <row r="6" spans="1:23" x14ac:dyDescent="0.4">
      <c r="A6" t="s">
        <v>48</v>
      </c>
      <c r="D6" s="1">
        <v>45931</v>
      </c>
      <c r="E6" s="2" t="s">
        <v>51</v>
      </c>
      <c r="H6" s="1"/>
      <c r="I6" t="s">
        <v>96</v>
      </c>
      <c r="J6" t="s">
        <v>402</v>
      </c>
      <c r="M6" s="2" t="s">
        <v>49</v>
      </c>
      <c r="N6" t="e" vm="1">
        <v>#VALUE!</v>
      </c>
      <c r="O6" t="str" cm="1">
        <f t="array" aca="1" ref="O6" ca="1">_FV(N6,"Name")</f>
        <v>United States</v>
      </c>
      <c r="P6" t="s">
        <v>11</v>
      </c>
      <c r="Q6" t="s">
        <v>50</v>
      </c>
      <c r="R6" t="s">
        <v>776</v>
      </c>
      <c r="S6" s="1">
        <v>45931</v>
      </c>
      <c r="U6">
        <v>1</v>
      </c>
      <c r="V6">
        <v>0</v>
      </c>
      <c r="W6">
        <v>1</v>
      </c>
    </row>
    <row r="7" spans="1:23" x14ac:dyDescent="0.4">
      <c r="A7" s="4" t="s">
        <v>77</v>
      </c>
      <c r="D7" s="1">
        <v>45940</v>
      </c>
      <c r="E7" t="s">
        <v>15</v>
      </c>
      <c r="G7">
        <v>1</v>
      </c>
      <c r="H7" s="7" t="s">
        <v>127</v>
      </c>
      <c r="I7" t="s">
        <v>96</v>
      </c>
      <c r="J7" t="s">
        <v>402</v>
      </c>
      <c r="K7" t="s">
        <v>309</v>
      </c>
      <c r="L7" s="1">
        <v>45976</v>
      </c>
      <c r="M7" s="2" t="s">
        <v>78</v>
      </c>
      <c r="N7" t="e" vm="2">
        <v>#VALUE!</v>
      </c>
      <c r="O7" t="str" cm="1">
        <f t="array" aca="1" ref="O7" ca="1">_FV(N7,"Name")</f>
        <v>Spain</v>
      </c>
      <c r="P7" t="s">
        <v>11</v>
      </c>
      <c r="R7" t="s">
        <v>776</v>
      </c>
      <c r="S7" s="1">
        <v>45940</v>
      </c>
      <c r="U7">
        <v>1</v>
      </c>
      <c r="V7">
        <v>0</v>
      </c>
      <c r="W7">
        <v>0</v>
      </c>
    </row>
    <row r="8" spans="1:23" x14ac:dyDescent="0.4">
      <c r="A8" t="s">
        <v>38</v>
      </c>
      <c r="D8" s="1">
        <v>45940</v>
      </c>
      <c r="E8" t="s">
        <v>40</v>
      </c>
      <c r="F8" t="s">
        <v>41</v>
      </c>
      <c r="G8">
        <v>1</v>
      </c>
      <c r="H8" s="1"/>
      <c r="I8" t="s">
        <v>152</v>
      </c>
      <c r="J8" t="s">
        <v>402</v>
      </c>
      <c r="M8" s="2" t="s">
        <v>39</v>
      </c>
      <c r="N8" t="e" vm="3">
        <v>#VALUE!</v>
      </c>
      <c r="O8" t="str" cm="1">
        <f t="array" aca="1" ref="O8" ca="1">_FV(N8,"Name")</f>
        <v>Japan</v>
      </c>
      <c r="P8" t="s">
        <v>11</v>
      </c>
      <c r="Q8" t="s">
        <v>18</v>
      </c>
      <c r="R8" t="s">
        <v>776</v>
      </c>
      <c r="S8" s="1">
        <v>45940</v>
      </c>
      <c r="T8" s="2" t="s">
        <v>43</v>
      </c>
      <c r="U8">
        <v>1</v>
      </c>
      <c r="V8">
        <v>1</v>
      </c>
      <c r="W8">
        <v>1</v>
      </c>
    </row>
    <row r="9" spans="1:23" x14ac:dyDescent="0.4">
      <c r="A9" t="s">
        <v>63</v>
      </c>
      <c r="D9" s="1">
        <v>45940</v>
      </c>
      <c r="E9" s="2" t="s">
        <v>65</v>
      </c>
      <c r="H9" s="1"/>
      <c r="I9" t="s">
        <v>96</v>
      </c>
      <c r="J9" t="s">
        <v>402</v>
      </c>
      <c r="M9" s="2" t="s">
        <v>60</v>
      </c>
      <c r="N9" t="e" vm="1">
        <v>#VALUE!</v>
      </c>
      <c r="O9" t="str" cm="1">
        <f t="array" aca="1" ref="O9" ca="1">_FV(N9,"Name")</f>
        <v>United States</v>
      </c>
      <c r="P9" t="s">
        <v>11</v>
      </c>
      <c r="Q9" t="s">
        <v>64</v>
      </c>
      <c r="R9" t="s">
        <v>776</v>
      </c>
      <c r="S9" s="1">
        <v>45940</v>
      </c>
      <c r="U9">
        <v>1</v>
      </c>
      <c r="V9">
        <v>1</v>
      </c>
      <c r="W9">
        <v>1</v>
      </c>
    </row>
    <row r="10" spans="1:23" x14ac:dyDescent="0.4">
      <c r="A10" t="s">
        <v>59</v>
      </c>
      <c r="D10" s="1">
        <v>45940</v>
      </c>
      <c r="E10" t="s">
        <v>62</v>
      </c>
      <c r="H10" s="1"/>
      <c r="I10" t="s">
        <v>152</v>
      </c>
      <c r="J10" t="s">
        <v>402</v>
      </c>
      <c r="M10" s="2" t="s">
        <v>60</v>
      </c>
      <c r="N10" t="e" vm="1">
        <v>#VALUE!</v>
      </c>
      <c r="O10" t="str" cm="1">
        <f t="array" aca="1" ref="O10" ca="1">_FV(N10,"Name")</f>
        <v>United States</v>
      </c>
      <c r="P10" t="s">
        <v>61</v>
      </c>
      <c r="R10" t="s">
        <v>776</v>
      </c>
      <c r="S10" s="1">
        <v>45940</v>
      </c>
      <c r="U10">
        <v>1</v>
      </c>
      <c r="V10">
        <v>0</v>
      </c>
      <c r="W10">
        <v>1</v>
      </c>
    </row>
    <row r="11" spans="1:23" x14ac:dyDescent="0.4">
      <c r="A11" t="s">
        <v>541</v>
      </c>
      <c r="D11" s="1">
        <v>45945</v>
      </c>
      <c r="E11" t="s">
        <v>540</v>
      </c>
      <c r="I11" t="s">
        <v>96</v>
      </c>
      <c r="J11" t="s">
        <v>402</v>
      </c>
      <c r="M11" s="17" t="s">
        <v>539</v>
      </c>
      <c r="N11" t="e" vm="1">
        <v>#VALUE!</v>
      </c>
      <c r="O11" t="str" cm="1">
        <f t="array" aca="1" ref="O11" ca="1">_FV(N11,"Name")</f>
        <v>United States</v>
      </c>
      <c r="P11" t="s">
        <v>11</v>
      </c>
      <c r="R11" t="s">
        <v>776</v>
      </c>
      <c r="S11" s="1">
        <v>45945</v>
      </c>
      <c r="U11">
        <v>1</v>
      </c>
      <c r="V11">
        <v>1</v>
      </c>
      <c r="W11">
        <v>1</v>
      </c>
    </row>
    <row r="12" spans="1:23" x14ac:dyDescent="0.4">
      <c r="A12" t="s">
        <v>101</v>
      </c>
      <c r="D12" s="1">
        <v>45945</v>
      </c>
      <c r="E12" t="s">
        <v>15</v>
      </c>
      <c r="F12" s="2" t="s">
        <v>104</v>
      </c>
      <c r="H12" s="1"/>
      <c r="I12" t="s">
        <v>96</v>
      </c>
      <c r="J12" t="s">
        <v>403</v>
      </c>
      <c r="M12" t="s">
        <v>102</v>
      </c>
      <c r="N12" t="e" vm="4">
        <v>#VALUE!</v>
      </c>
      <c r="O12" t="str" cm="1">
        <f t="array" aca="1" ref="O12" ca="1">_FV(N12,"Name")</f>
        <v>France</v>
      </c>
      <c r="R12" t="s">
        <v>776</v>
      </c>
      <c r="S12" s="1">
        <v>45945</v>
      </c>
      <c r="T12" s="2" t="s">
        <v>103</v>
      </c>
      <c r="U12">
        <v>1</v>
      </c>
      <c r="V12">
        <v>0</v>
      </c>
      <c r="W12">
        <v>0</v>
      </c>
    </row>
    <row r="13" spans="1:23" x14ac:dyDescent="0.4">
      <c r="A13" t="s">
        <v>82</v>
      </c>
      <c r="D13" s="1">
        <v>45945</v>
      </c>
      <c r="E13" s="2" t="s">
        <v>84</v>
      </c>
      <c r="H13" s="1"/>
      <c r="I13" t="s">
        <v>96</v>
      </c>
      <c r="J13" t="s">
        <v>403</v>
      </c>
      <c r="M13" s="2" t="s">
        <v>83</v>
      </c>
      <c r="N13" t="e" vm="1">
        <v>#VALUE!</v>
      </c>
      <c r="O13" t="str" cm="1">
        <f t="array" aca="1" ref="O13" ca="1">_FV(N13,"Name")</f>
        <v>United States</v>
      </c>
      <c r="R13" t="s">
        <v>776</v>
      </c>
      <c r="S13" s="1">
        <v>45945</v>
      </c>
      <c r="U13">
        <v>1</v>
      </c>
      <c r="V13">
        <v>0</v>
      </c>
      <c r="W13">
        <v>0</v>
      </c>
    </row>
    <row r="14" spans="1:23" x14ac:dyDescent="0.4">
      <c r="A14" t="s">
        <v>100</v>
      </c>
      <c r="D14" s="1">
        <v>45945</v>
      </c>
      <c r="E14" t="s">
        <v>15</v>
      </c>
      <c r="H14" s="1"/>
      <c r="I14" t="s">
        <v>128</v>
      </c>
      <c r="J14" t="s">
        <v>402</v>
      </c>
      <c r="M14" s="2" t="s">
        <v>98</v>
      </c>
      <c r="N14" t="e" vm="2">
        <v>#VALUE!</v>
      </c>
      <c r="O14" t="str" cm="1">
        <f t="array" aca="1" ref="O14" ca="1">_FV(N14,"Name")</f>
        <v>Spain</v>
      </c>
      <c r="P14" t="s">
        <v>11</v>
      </c>
      <c r="R14" t="s">
        <v>776</v>
      </c>
      <c r="S14" s="1">
        <v>45945</v>
      </c>
      <c r="U14">
        <v>1</v>
      </c>
      <c r="V14">
        <v>0</v>
      </c>
      <c r="W14">
        <v>0</v>
      </c>
    </row>
    <row r="15" spans="1:23" x14ac:dyDescent="0.4">
      <c r="A15" t="s">
        <v>99</v>
      </c>
      <c r="D15" s="1">
        <v>45945</v>
      </c>
      <c r="E15" t="s">
        <v>15</v>
      </c>
      <c r="H15" s="1"/>
      <c r="I15" t="s">
        <v>128</v>
      </c>
      <c r="J15" t="s">
        <v>402</v>
      </c>
      <c r="M15" s="2" t="s">
        <v>98</v>
      </c>
      <c r="N15" t="e" vm="2">
        <v>#VALUE!</v>
      </c>
      <c r="O15" t="str" cm="1">
        <f t="array" aca="1" ref="O15" ca="1">_FV(N15,"Name")</f>
        <v>Spain</v>
      </c>
      <c r="P15" t="s">
        <v>11</v>
      </c>
      <c r="R15" t="s">
        <v>776</v>
      </c>
      <c r="S15" s="1">
        <v>45945</v>
      </c>
      <c r="U15">
        <v>1</v>
      </c>
      <c r="V15">
        <v>0</v>
      </c>
      <c r="W15">
        <v>0</v>
      </c>
    </row>
    <row r="16" spans="1:23" x14ac:dyDescent="0.4">
      <c r="A16" t="s">
        <v>363</v>
      </c>
      <c r="D16" s="1">
        <v>45945</v>
      </c>
      <c r="E16" t="s">
        <v>364</v>
      </c>
      <c r="I16" t="s">
        <v>96</v>
      </c>
      <c r="J16" t="s">
        <v>402</v>
      </c>
      <c r="M16" t="s">
        <v>362</v>
      </c>
      <c r="N16" t="e" vm="1">
        <v>#VALUE!</v>
      </c>
      <c r="O16" t="str" cm="1">
        <f t="array" aca="1" ref="O16" ca="1">_FV(N16,"Name")</f>
        <v>United States</v>
      </c>
      <c r="P16" t="s">
        <v>11</v>
      </c>
      <c r="R16" t="s">
        <v>776</v>
      </c>
      <c r="S16" s="1">
        <v>45945</v>
      </c>
      <c r="U16">
        <v>1</v>
      </c>
      <c r="V16">
        <v>0</v>
      </c>
      <c r="W16">
        <v>1</v>
      </c>
    </row>
    <row r="17" spans="1:23" x14ac:dyDescent="0.4">
      <c r="A17" t="s">
        <v>225</v>
      </c>
      <c r="D17" s="1">
        <v>45945</v>
      </c>
      <c r="E17" t="s">
        <v>40</v>
      </c>
      <c r="F17" t="s">
        <v>228</v>
      </c>
      <c r="H17" t="s">
        <v>230</v>
      </c>
      <c r="I17" t="s">
        <v>96</v>
      </c>
      <c r="J17" t="s">
        <v>402</v>
      </c>
      <c r="M17" s="2" t="s">
        <v>232</v>
      </c>
      <c r="N17" t="e" vm="1">
        <v>#VALUE!</v>
      </c>
      <c r="O17" t="str" cm="1">
        <f t="array" aca="1" ref="O17" ca="1">_FV(N17,"Name")</f>
        <v>United States</v>
      </c>
      <c r="P17" t="s">
        <v>11</v>
      </c>
      <c r="Q17" t="s">
        <v>227</v>
      </c>
      <c r="R17" t="s">
        <v>776</v>
      </c>
      <c r="S17" s="1">
        <v>46142</v>
      </c>
      <c r="U17">
        <v>1</v>
      </c>
      <c r="V17">
        <v>0</v>
      </c>
      <c r="W17">
        <v>1</v>
      </c>
    </row>
    <row r="18" spans="1:23" x14ac:dyDescent="0.4">
      <c r="A18" s="4" t="s">
        <v>142</v>
      </c>
      <c r="B18" s="20"/>
      <c r="D18" s="1">
        <v>45947</v>
      </c>
      <c r="E18" t="s">
        <v>40</v>
      </c>
      <c r="G18">
        <v>1</v>
      </c>
      <c r="I18" t="s">
        <v>96</v>
      </c>
      <c r="J18" t="s">
        <v>402</v>
      </c>
      <c r="K18" t="s">
        <v>309</v>
      </c>
      <c r="L18" s="1">
        <v>45976</v>
      </c>
      <c r="M18" s="2" t="s">
        <v>143</v>
      </c>
      <c r="N18" t="e" vm="5">
        <v>#VALUE!</v>
      </c>
      <c r="O18" t="str" cm="1">
        <f t="array" aca="1" ref="O18" ca="1">_FV(N18,"Name")</f>
        <v>Chile</v>
      </c>
      <c r="P18" t="s">
        <v>11</v>
      </c>
      <c r="R18" t="s">
        <v>776</v>
      </c>
      <c r="S18" s="1">
        <v>45992</v>
      </c>
      <c r="U18">
        <v>1</v>
      </c>
      <c r="V18">
        <v>0</v>
      </c>
      <c r="W18">
        <v>0</v>
      </c>
    </row>
    <row r="19" spans="1:23" x14ac:dyDescent="0.4">
      <c r="A19" s="4" t="s">
        <v>176</v>
      </c>
      <c r="D19" s="1">
        <v>45950</v>
      </c>
      <c r="E19" t="s">
        <v>15</v>
      </c>
      <c r="F19" s="2" t="s">
        <v>180</v>
      </c>
      <c r="G19">
        <v>1</v>
      </c>
      <c r="H19" t="s">
        <v>179</v>
      </c>
      <c r="I19" t="s">
        <v>96</v>
      </c>
      <c r="J19" t="s">
        <v>403</v>
      </c>
      <c r="K19" t="s">
        <v>309</v>
      </c>
      <c r="L19" s="1">
        <v>45976</v>
      </c>
      <c r="M19" s="2" t="s">
        <v>177</v>
      </c>
      <c r="N19" t="e" vm="6">
        <v>#VALUE!</v>
      </c>
      <c r="O19" t="str" cm="1">
        <f t="array" aca="1" ref="O19" ca="1">_FV(N19,"Name")</f>
        <v>Netherlands</v>
      </c>
      <c r="P19" t="s">
        <v>178</v>
      </c>
      <c r="R19" t="s">
        <v>776</v>
      </c>
      <c r="S19" s="1">
        <v>45959</v>
      </c>
      <c r="U19">
        <v>1</v>
      </c>
      <c r="V19">
        <v>0</v>
      </c>
      <c r="W19">
        <v>0</v>
      </c>
    </row>
    <row r="20" spans="1:23" x14ac:dyDescent="0.4">
      <c r="A20" t="s">
        <v>171</v>
      </c>
      <c r="D20" s="1">
        <v>45950</v>
      </c>
      <c r="E20" t="s">
        <v>15</v>
      </c>
      <c r="G20">
        <v>1</v>
      </c>
      <c r="H20" t="s">
        <v>173</v>
      </c>
      <c r="I20" t="s">
        <v>96</v>
      </c>
      <c r="J20" t="s">
        <v>402</v>
      </c>
      <c r="M20" s="2" t="s">
        <v>172</v>
      </c>
      <c r="N20" t="e" vm="1">
        <v>#VALUE!</v>
      </c>
      <c r="O20" t="str" cm="1">
        <f t="array" aca="1" ref="O20" ca="1">_FV(N20,"Name")</f>
        <v>United States</v>
      </c>
      <c r="P20" t="s">
        <v>11</v>
      </c>
      <c r="R20" t="s">
        <v>776</v>
      </c>
      <c r="S20" s="1">
        <v>45964</v>
      </c>
      <c r="U20">
        <v>1</v>
      </c>
      <c r="V20">
        <v>1</v>
      </c>
      <c r="W20">
        <v>1</v>
      </c>
    </row>
    <row r="21" spans="1:23" x14ac:dyDescent="0.4">
      <c r="A21" t="s">
        <v>219</v>
      </c>
      <c r="D21" s="1">
        <v>45950</v>
      </c>
      <c r="E21" t="s">
        <v>40</v>
      </c>
      <c r="I21" t="s">
        <v>96</v>
      </c>
      <c r="J21" t="s">
        <v>402</v>
      </c>
      <c r="M21" s="2" t="s">
        <v>220</v>
      </c>
      <c r="N21" t="e" vm="3">
        <v>#VALUE!</v>
      </c>
      <c r="O21" t="str" cm="1">
        <f t="array" aca="1" ref="O21" ca="1">_FV(N21,"Name")</f>
        <v>Japan</v>
      </c>
      <c r="P21" t="s">
        <v>11</v>
      </c>
      <c r="R21" t="s">
        <v>776</v>
      </c>
      <c r="S21" s="1">
        <v>46022</v>
      </c>
      <c r="U21">
        <v>1</v>
      </c>
      <c r="V21">
        <v>0</v>
      </c>
      <c r="W21">
        <v>0</v>
      </c>
    </row>
    <row r="22" spans="1:23" x14ac:dyDescent="0.4">
      <c r="A22" t="s">
        <v>441</v>
      </c>
      <c r="D22" s="1">
        <v>45950</v>
      </c>
      <c r="E22" s="2" t="s">
        <v>442</v>
      </c>
      <c r="I22" t="s">
        <v>96</v>
      </c>
      <c r="J22" t="s">
        <v>402</v>
      </c>
      <c r="M22" t="s">
        <v>443</v>
      </c>
      <c r="N22" t="e" vm="1">
        <v>#VALUE!</v>
      </c>
      <c r="O22" t="str" cm="1">
        <f t="array" aca="1" ref="O22" ca="1">_FV(N22,"Name")</f>
        <v>United States</v>
      </c>
      <c r="P22" t="s">
        <v>11</v>
      </c>
      <c r="R22" t="s">
        <v>776</v>
      </c>
      <c r="S22" s="1">
        <v>45960</v>
      </c>
      <c r="U22">
        <v>1</v>
      </c>
      <c r="V22">
        <v>1</v>
      </c>
      <c r="W22">
        <v>1</v>
      </c>
    </row>
    <row r="23" spans="1:23" x14ac:dyDescent="0.4">
      <c r="A23" t="s">
        <v>167</v>
      </c>
      <c r="D23" s="1">
        <v>45950</v>
      </c>
      <c r="E23" t="s">
        <v>15</v>
      </c>
      <c r="F23" s="2" t="s">
        <v>170</v>
      </c>
      <c r="I23" t="s">
        <v>96</v>
      </c>
      <c r="J23" t="s">
        <v>402</v>
      </c>
      <c r="M23" s="2" t="s">
        <v>168</v>
      </c>
      <c r="N23" t="e" vm="1">
        <v>#VALUE!</v>
      </c>
      <c r="O23" t="str" cm="1">
        <f t="array" aca="1" ref="O23" ca="1">_FV(N23,"Name")</f>
        <v>United States</v>
      </c>
      <c r="P23" t="s">
        <v>11</v>
      </c>
      <c r="Q23" t="s">
        <v>169</v>
      </c>
      <c r="R23" t="s">
        <v>776</v>
      </c>
      <c r="S23" s="1">
        <v>45964</v>
      </c>
      <c r="U23">
        <v>1</v>
      </c>
      <c r="V23">
        <v>1</v>
      </c>
      <c r="W23">
        <v>1</v>
      </c>
    </row>
    <row r="24" spans="1:23" x14ac:dyDescent="0.4">
      <c r="A24" s="6" t="s">
        <v>159</v>
      </c>
      <c r="B24" s="6"/>
      <c r="C24" s="6"/>
      <c r="D24" s="1">
        <v>45950</v>
      </c>
      <c r="E24" t="s">
        <v>15</v>
      </c>
      <c r="I24" t="s">
        <v>96</v>
      </c>
      <c r="J24" t="s">
        <v>402</v>
      </c>
      <c r="M24" s="2" t="s">
        <v>160</v>
      </c>
      <c r="N24" t="e" vm="2">
        <v>#VALUE!</v>
      </c>
      <c r="O24" t="str" cm="1">
        <f t="array" aca="1" ref="O24" ca="1">_FV(N24,"Name")</f>
        <v>Spain</v>
      </c>
      <c r="P24" t="s">
        <v>11</v>
      </c>
      <c r="R24" t="s">
        <v>776</v>
      </c>
      <c r="S24" s="1">
        <v>45963</v>
      </c>
      <c r="U24">
        <v>1</v>
      </c>
      <c r="V24">
        <v>1</v>
      </c>
      <c r="W24">
        <v>0</v>
      </c>
    </row>
    <row r="25" spans="1:23" x14ac:dyDescent="0.4">
      <c r="A25" t="s">
        <v>472</v>
      </c>
      <c r="D25" s="1">
        <v>45950</v>
      </c>
      <c r="E25" t="s">
        <v>40</v>
      </c>
      <c r="F25" s="2" t="s">
        <v>473</v>
      </c>
      <c r="I25" t="s">
        <v>96</v>
      </c>
      <c r="J25" t="s">
        <v>402</v>
      </c>
      <c r="M25" t="s">
        <v>474</v>
      </c>
      <c r="N25" t="e" vm="1">
        <v>#VALUE!</v>
      </c>
      <c r="O25" t="str" cm="1">
        <f t="array" aca="1" ref="O25" ca="1">_FV(N25,"Name")</f>
        <v>United States</v>
      </c>
      <c r="P25" t="s">
        <v>11</v>
      </c>
      <c r="R25" t="s">
        <v>776</v>
      </c>
      <c r="S25" s="1">
        <v>45961</v>
      </c>
      <c r="U25">
        <v>1</v>
      </c>
      <c r="V25">
        <v>1</v>
      </c>
      <c r="W25">
        <v>1</v>
      </c>
    </row>
    <row r="26" spans="1:23" x14ac:dyDescent="0.4">
      <c r="A26" t="s">
        <v>212</v>
      </c>
      <c r="D26" s="1">
        <v>45950</v>
      </c>
      <c r="E26" t="s">
        <v>40</v>
      </c>
      <c r="F26" t="s">
        <v>211</v>
      </c>
      <c r="G26">
        <v>1</v>
      </c>
      <c r="I26" t="s">
        <v>96</v>
      </c>
      <c r="J26" t="s">
        <v>402</v>
      </c>
      <c r="M26" t="s">
        <v>210</v>
      </c>
      <c r="N26" t="e" vm="3">
        <v>#VALUE!</v>
      </c>
      <c r="O26" t="str" cm="1">
        <f t="array" aca="1" ref="O26" ca="1">_FV(N26,"Name")</f>
        <v>Japan</v>
      </c>
      <c r="P26" t="s">
        <v>11</v>
      </c>
      <c r="R26" t="s">
        <v>776</v>
      </c>
      <c r="S26" s="1">
        <v>45961</v>
      </c>
      <c r="U26">
        <v>1</v>
      </c>
      <c r="V26">
        <v>0</v>
      </c>
      <c r="W26">
        <v>0</v>
      </c>
    </row>
    <row r="27" spans="1:23" x14ac:dyDescent="0.4">
      <c r="A27" t="s">
        <v>202</v>
      </c>
      <c r="D27" s="1">
        <v>45950</v>
      </c>
      <c r="E27" t="s">
        <v>203</v>
      </c>
      <c r="I27" t="s">
        <v>96</v>
      </c>
      <c r="J27" t="s">
        <v>402</v>
      </c>
      <c r="M27" s="2" t="s">
        <v>83</v>
      </c>
      <c r="N27" t="e" vm="1">
        <v>#VALUE!</v>
      </c>
      <c r="O27" t="str" cm="1">
        <f t="array" aca="1" ref="O27" ca="1">_FV(N27,"Name")</f>
        <v>United States</v>
      </c>
      <c r="R27" t="s">
        <v>776</v>
      </c>
      <c r="S27" s="1">
        <v>45954</v>
      </c>
      <c r="U27">
        <v>1</v>
      </c>
      <c r="V27">
        <v>0</v>
      </c>
      <c r="W27">
        <v>0</v>
      </c>
    </row>
    <row r="28" spans="1:23" x14ac:dyDescent="0.4">
      <c r="A28" t="s">
        <v>112</v>
      </c>
      <c r="D28" s="1">
        <v>45950</v>
      </c>
      <c r="E28" t="s">
        <v>40</v>
      </c>
      <c r="F28" t="s">
        <v>151</v>
      </c>
      <c r="H28" s="1"/>
      <c r="I28" t="s">
        <v>96</v>
      </c>
      <c r="J28" t="s">
        <v>402</v>
      </c>
      <c r="M28" s="2" t="s">
        <v>111</v>
      </c>
      <c r="N28" t="e" vm="1">
        <v>#VALUE!</v>
      </c>
      <c r="O28" t="str" cm="1">
        <f t="array" aca="1" ref="O28" ca="1">_FV(N28,"Name")</f>
        <v>United States</v>
      </c>
      <c r="P28" t="s">
        <v>11</v>
      </c>
      <c r="R28" t="s">
        <v>776</v>
      </c>
      <c r="S28" s="1">
        <v>45957</v>
      </c>
      <c r="U28">
        <v>1</v>
      </c>
      <c r="V28">
        <v>1</v>
      </c>
      <c r="W28">
        <v>1</v>
      </c>
    </row>
    <row r="29" spans="1:23" x14ac:dyDescent="0.4">
      <c r="A29" t="s">
        <v>479</v>
      </c>
      <c r="D29" s="1">
        <v>45950</v>
      </c>
      <c r="E29" t="s">
        <v>40</v>
      </c>
      <c r="F29" t="s">
        <v>480</v>
      </c>
      <c r="I29" t="s">
        <v>96</v>
      </c>
      <c r="J29" t="s">
        <v>402</v>
      </c>
      <c r="M29" t="s">
        <v>478</v>
      </c>
      <c r="N29" t="e" vm="1">
        <v>#VALUE!</v>
      </c>
      <c r="O29" t="str" cm="1">
        <f t="array" aca="1" ref="O29" ca="1">_FV(N29,"Name")</f>
        <v>United States</v>
      </c>
      <c r="P29" t="s">
        <v>11</v>
      </c>
      <c r="R29" t="s">
        <v>776</v>
      </c>
      <c r="S29" s="1">
        <v>45962</v>
      </c>
      <c r="U29">
        <v>1</v>
      </c>
      <c r="V29">
        <v>1</v>
      </c>
      <c r="W29">
        <v>1</v>
      </c>
    </row>
    <row r="30" spans="1:23" x14ac:dyDescent="0.4">
      <c r="A30" t="s">
        <v>263</v>
      </c>
      <c r="D30" s="1">
        <v>45950</v>
      </c>
      <c r="E30" t="s">
        <v>15</v>
      </c>
      <c r="I30" t="s">
        <v>96</v>
      </c>
      <c r="J30" t="s">
        <v>403</v>
      </c>
      <c r="M30" t="s">
        <v>264</v>
      </c>
      <c r="N30" t="e" vm="1">
        <v>#VALUE!</v>
      </c>
      <c r="O30" t="str" cm="1">
        <f t="array" aca="1" ref="O30" ca="1">_FV(N30,"Name")</f>
        <v>United States</v>
      </c>
      <c r="P30" t="s">
        <v>178</v>
      </c>
      <c r="R30" t="s">
        <v>776</v>
      </c>
      <c r="S30" s="1">
        <v>45992</v>
      </c>
      <c r="U30">
        <v>1</v>
      </c>
      <c r="V30">
        <v>0</v>
      </c>
      <c r="W30">
        <v>0</v>
      </c>
    </row>
    <row r="31" spans="1:23" x14ac:dyDescent="0.4">
      <c r="A31" t="s">
        <v>183</v>
      </c>
      <c r="D31" s="1">
        <v>45950</v>
      </c>
      <c r="E31" t="s">
        <v>15</v>
      </c>
      <c r="I31" t="s">
        <v>96</v>
      </c>
      <c r="J31" t="s">
        <v>402</v>
      </c>
      <c r="M31" t="s">
        <v>252</v>
      </c>
      <c r="N31" t="e" vm="1">
        <v>#VALUE!</v>
      </c>
      <c r="O31" t="str" cm="1">
        <f t="array" aca="1" ref="O31" ca="1">_FV(N31,"Name")</f>
        <v>United States</v>
      </c>
      <c r="P31" t="s">
        <v>11</v>
      </c>
      <c r="R31" t="s">
        <v>776</v>
      </c>
      <c r="S31" s="1">
        <v>46022</v>
      </c>
      <c r="U31">
        <v>1</v>
      </c>
      <c r="V31">
        <v>0</v>
      </c>
      <c r="W31">
        <v>0</v>
      </c>
    </row>
    <row r="32" spans="1:23" x14ac:dyDescent="0.4">
      <c r="A32" t="s">
        <v>224</v>
      </c>
      <c r="D32" s="1">
        <v>45950</v>
      </c>
      <c r="E32" t="s">
        <v>40</v>
      </c>
      <c r="F32" t="s">
        <v>229</v>
      </c>
      <c r="H32" t="s">
        <v>231</v>
      </c>
      <c r="I32" t="s">
        <v>96</v>
      </c>
      <c r="J32" t="s">
        <v>402</v>
      </c>
      <c r="M32" s="2" t="s">
        <v>232</v>
      </c>
      <c r="N32" t="e" vm="1">
        <v>#VALUE!</v>
      </c>
      <c r="O32" t="str" cm="1">
        <f t="array" aca="1" ref="O32" ca="1">_FV(N32,"Name")</f>
        <v>United States</v>
      </c>
      <c r="P32" t="s">
        <v>11</v>
      </c>
      <c r="Q32" t="s">
        <v>226</v>
      </c>
      <c r="R32" t="s">
        <v>776</v>
      </c>
      <c r="S32" s="1">
        <v>46142</v>
      </c>
      <c r="U32">
        <v>1</v>
      </c>
      <c r="V32">
        <v>0</v>
      </c>
      <c r="W32">
        <v>1</v>
      </c>
    </row>
    <row r="33" spans="1:23" x14ac:dyDescent="0.4">
      <c r="A33" t="s">
        <v>222</v>
      </c>
      <c r="D33" s="1">
        <v>45950</v>
      </c>
      <c r="E33" t="s">
        <v>40</v>
      </c>
      <c r="F33" t="s">
        <v>223</v>
      </c>
      <c r="I33" t="s">
        <v>96</v>
      </c>
      <c r="J33" t="s">
        <v>402</v>
      </c>
      <c r="M33" t="s">
        <v>221</v>
      </c>
      <c r="N33" t="e" vm="1">
        <v>#VALUE!</v>
      </c>
      <c r="O33" t="str" cm="1">
        <f t="array" aca="1" ref="O33" ca="1">_FV(N33,"Name")</f>
        <v>United States</v>
      </c>
      <c r="P33" t="s">
        <v>11</v>
      </c>
      <c r="R33" t="s">
        <v>776</v>
      </c>
      <c r="S33" s="1">
        <v>46157</v>
      </c>
      <c r="U33">
        <v>1</v>
      </c>
      <c r="V33">
        <v>1</v>
      </c>
      <c r="W33">
        <v>1</v>
      </c>
    </row>
    <row r="34" spans="1:23" x14ac:dyDescent="0.4">
      <c r="A34" t="s">
        <v>341</v>
      </c>
      <c r="D34" s="1">
        <v>45950</v>
      </c>
      <c r="E34" t="s">
        <v>40</v>
      </c>
      <c r="I34" t="s">
        <v>96</v>
      </c>
      <c r="J34" t="s">
        <v>402</v>
      </c>
      <c r="M34" t="s">
        <v>340</v>
      </c>
      <c r="N34" t="e" vm="1">
        <v>#VALUE!</v>
      </c>
      <c r="O34" t="str" cm="1">
        <f t="array" aca="1" ref="O34" ca="1">_FV(N34,"Name")</f>
        <v>United States</v>
      </c>
      <c r="R34" t="s">
        <v>776</v>
      </c>
      <c r="S34" s="1">
        <v>45950</v>
      </c>
      <c r="U34">
        <v>1</v>
      </c>
      <c r="V34">
        <v>0</v>
      </c>
      <c r="W34">
        <v>0</v>
      </c>
    </row>
    <row r="35" spans="1:23" x14ac:dyDescent="0.4">
      <c r="A35" s="4" t="s">
        <v>74</v>
      </c>
      <c r="B35" s="20"/>
      <c r="D35" s="1">
        <v>45955</v>
      </c>
      <c r="E35" t="s">
        <v>75</v>
      </c>
      <c r="G35">
        <v>1</v>
      </c>
      <c r="H35" s="1"/>
      <c r="I35" t="s">
        <v>96</v>
      </c>
      <c r="J35" t="s">
        <v>402</v>
      </c>
      <c r="K35" t="s">
        <v>309</v>
      </c>
      <c r="L35" s="1">
        <v>45965</v>
      </c>
      <c r="M35" s="2" t="s">
        <v>73</v>
      </c>
      <c r="N35" t="e" vm="1">
        <v>#VALUE!</v>
      </c>
      <c r="O35" t="str" cm="1">
        <f t="array" aca="1" ref="O35" ca="1">_FV(N35,"Name")</f>
        <v>United States</v>
      </c>
      <c r="P35" t="s">
        <v>11</v>
      </c>
      <c r="Q35" t="s">
        <v>18</v>
      </c>
      <c r="R35" t="s">
        <v>776</v>
      </c>
      <c r="S35" s="1">
        <v>45962</v>
      </c>
      <c r="U35">
        <v>1</v>
      </c>
      <c r="V35">
        <v>1</v>
      </c>
      <c r="W35">
        <v>1</v>
      </c>
    </row>
    <row r="36" spans="1:23" x14ac:dyDescent="0.4">
      <c r="A36" s="4" t="s">
        <v>135</v>
      </c>
      <c r="D36" s="1">
        <v>45955</v>
      </c>
      <c r="E36" t="s">
        <v>40</v>
      </c>
      <c r="G36">
        <v>1</v>
      </c>
      <c r="H36" t="s">
        <v>137</v>
      </c>
      <c r="I36" t="s">
        <v>96</v>
      </c>
      <c r="J36" t="s">
        <v>402</v>
      </c>
      <c r="K36" t="s">
        <v>309</v>
      </c>
      <c r="L36" s="1">
        <v>45965</v>
      </c>
      <c r="M36" s="2" t="s">
        <v>136</v>
      </c>
      <c r="N36" t="e" vm="7">
        <v>#VALUE!</v>
      </c>
      <c r="O36" t="str" cm="1">
        <f t="array" aca="1" ref="O36" ca="1">_FV(N36,"Name")</f>
        <v>Australia</v>
      </c>
      <c r="P36" t="s">
        <v>11</v>
      </c>
      <c r="R36" t="s">
        <v>776</v>
      </c>
      <c r="S36" s="1">
        <v>45969</v>
      </c>
      <c r="U36">
        <v>1</v>
      </c>
      <c r="V36">
        <v>0</v>
      </c>
      <c r="W36">
        <v>0</v>
      </c>
    </row>
    <row r="37" spans="1:23" x14ac:dyDescent="0.4">
      <c r="A37" s="4" t="s">
        <v>125</v>
      </c>
      <c r="D37" s="1">
        <v>45955</v>
      </c>
      <c r="E37" t="s">
        <v>15</v>
      </c>
      <c r="G37">
        <v>1</v>
      </c>
      <c r="I37" t="s">
        <v>96</v>
      </c>
      <c r="J37" t="s">
        <v>402</v>
      </c>
      <c r="K37" t="s">
        <v>309</v>
      </c>
      <c r="L37" s="1">
        <v>45965</v>
      </c>
      <c r="M37" s="2" t="s">
        <v>126</v>
      </c>
      <c r="N37" t="e" vm="8">
        <v>#VALUE!</v>
      </c>
      <c r="O37" t="str" cm="1">
        <f t="array" aca="1" ref="O37" ca="1">_FV(N37,"Name")</f>
        <v>Barcelona</v>
      </c>
      <c r="P37" t="s">
        <v>11</v>
      </c>
      <c r="R37" t="s">
        <v>776</v>
      </c>
      <c r="S37" s="1">
        <v>45963</v>
      </c>
      <c r="U37">
        <v>1</v>
      </c>
      <c r="V37">
        <v>1</v>
      </c>
      <c r="W37">
        <v>1</v>
      </c>
    </row>
    <row r="38" spans="1:23" x14ac:dyDescent="0.4">
      <c r="A38" s="4" t="s">
        <v>122</v>
      </c>
      <c r="D38" s="1">
        <v>45955</v>
      </c>
      <c r="E38" t="s">
        <v>15</v>
      </c>
      <c r="G38">
        <v>1</v>
      </c>
      <c r="H38" t="s">
        <v>124</v>
      </c>
      <c r="I38" t="s">
        <v>96</v>
      </c>
      <c r="J38" t="s">
        <v>402</v>
      </c>
      <c r="K38" t="s">
        <v>309</v>
      </c>
      <c r="L38" s="1">
        <v>45965</v>
      </c>
      <c r="M38" s="2" t="s">
        <v>123</v>
      </c>
      <c r="N38" t="e" vm="7">
        <v>#VALUE!</v>
      </c>
      <c r="O38" t="str" cm="1">
        <f t="array" aca="1" ref="O38" ca="1">_FV(N38,"Name")</f>
        <v>Australia</v>
      </c>
      <c r="P38" t="s">
        <v>11</v>
      </c>
      <c r="R38" t="s">
        <v>776</v>
      </c>
      <c r="S38" s="1">
        <v>45962</v>
      </c>
      <c r="U38">
        <v>1</v>
      </c>
      <c r="V38">
        <v>0</v>
      </c>
      <c r="W38">
        <v>0</v>
      </c>
    </row>
    <row r="39" spans="1:23" x14ac:dyDescent="0.4">
      <c r="A39" t="s">
        <v>547</v>
      </c>
      <c r="D39" s="1">
        <v>45955</v>
      </c>
      <c r="E39" t="s">
        <v>548</v>
      </c>
      <c r="I39" t="s">
        <v>96</v>
      </c>
      <c r="J39" t="s">
        <v>402</v>
      </c>
      <c r="M39" t="s">
        <v>549</v>
      </c>
      <c r="N39" t="e" vm="1">
        <v>#VALUE!</v>
      </c>
      <c r="O39" t="str" cm="1">
        <f t="array" aca="1" ref="O39" ca="1">_FV(N39,"Name")</f>
        <v>United States</v>
      </c>
      <c r="P39" t="s">
        <v>11</v>
      </c>
      <c r="R39" t="s">
        <v>776</v>
      </c>
      <c r="S39" s="1">
        <v>46203</v>
      </c>
      <c r="U39">
        <v>1</v>
      </c>
      <c r="V39">
        <v>1</v>
      </c>
      <c r="W39">
        <v>1</v>
      </c>
    </row>
    <row r="40" spans="1:23" x14ac:dyDescent="0.4">
      <c r="A40" t="s">
        <v>522</v>
      </c>
      <c r="D40" s="1">
        <v>45955</v>
      </c>
      <c r="E40" t="s">
        <v>523</v>
      </c>
      <c r="I40" t="s">
        <v>96</v>
      </c>
      <c r="J40" t="s">
        <v>402</v>
      </c>
      <c r="M40" t="s">
        <v>524</v>
      </c>
      <c r="N40" t="e" vm="1">
        <v>#VALUE!</v>
      </c>
      <c r="O40" t="str" cm="1">
        <f t="array" aca="1" ref="O40" ca="1">_FV(N40,"Name")</f>
        <v>United States</v>
      </c>
      <c r="P40" t="s">
        <v>19</v>
      </c>
      <c r="R40" t="s">
        <v>776</v>
      </c>
      <c r="S40" s="1">
        <v>46010</v>
      </c>
      <c r="U40">
        <v>1</v>
      </c>
      <c r="V40">
        <v>0</v>
      </c>
      <c r="W40">
        <v>1</v>
      </c>
    </row>
    <row r="41" spans="1:23" x14ac:dyDescent="0.4">
      <c r="A41" t="s">
        <v>187</v>
      </c>
      <c r="D41" s="1">
        <v>45955</v>
      </c>
      <c r="E41" t="s">
        <v>15</v>
      </c>
      <c r="I41" t="s">
        <v>96</v>
      </c>
      <c r="J41" t="s">
        <v>402</v>
      </c>
      <c r="M41" s="2" t="s">
        <v>188</v>
      </c>
      <c r="N41" t="e" vm="1">
        <v>#VALUE!</v>
      </c>
      <c r="O41" t="str" cm="1">
        <f t="array" aca="1" ref="O41" ca="1">_FV(N41,"Name")</f>
        <v>United States</v>
      </c>
      <c r="P41" t="s">
        <v>11</v>
      </c>
      <c r="R41" t="s">
        <v>776</v>
      </c>
      <c r="S41" s="1">
        <v>45968</v>
      </c>
      <c r="U41">
        <v>1</v>
      </c>
      <c r="V41">
        <v>0</v>
      </c>
      <c r="W41">
        <v>0</v>
      </c>
    </row>
    <row r="42" spans="1:23" x14ac:dyDescent="0.4">
      <c r="A42" t="s">
        <v>555</v>
      </c>
      <c r="D42" s="1">
        <v>45955</v>
      </c>
      <c r="E42" t="s">
        <v>554</v>
      </c>
      <c r="I42" t="s">
        <v>96</v>
      </c>
      <c r="J42" t="s">
        <v>402</v>
      </c>
      <c r="M42" t="s">
        <v>556</v>
      </c>
      <c r="N42" t="e" vm="1">
        <v>#VALUE!</v>
      </c>
      <c r="O42" t="str" cm="1">
        <f t="array" aca="1" ref="O42" ca="1">_FV(N42,"Name")</f>
        <v>United States</v>
      </c>
      <c r="P42" t="s">
        <v>11</v>
      </c>
      <c r="R42" t="s">
        <v>776</v>
      </c>
      <c r="S42" s="1">
        <v>46053</v>
      </c>
      <c r="U42">
        <v>1</v>
      </c>
      <c r="V42">
        <v>1</v>
      </c>
      <c r="W42">
        <v>0</v>
      </c>
    </row>
    <row r="43" spans="1:23" x14ac:dyDescent="0.4">
      <c r="A43" t="s">
        <v>181</v>
      </c>
      <c r="D43" s="1">
        <v>45955</v>
      </c>
      <c r="E43" t="s">
        <v>15</v>
      </c>
      <c r="I43" t="s">
        <v>96</v>
      </c>
      <c r="J43" t="s">
        <v>402</v>
      </c>
      <c r="M43" s="2" t="s">
        <v>182</v>
      </c>
      <c r="N43" t="e" vm="1">
        <v>#VALUE!</v>
      </c>
      <c r="O43" t="str" cm="1">
        <f t="array" aca="1" ref="O43" ca="1">_FV(N43,"Name")</f>
        <v>United States</v>
      </c>
      <c r="P43" t="s">
        <v>11</v>
      </c>
      <c r="R43" t="s">
        <v>776</v>
      </c>
      <c r="S43" s="1">
        <v>45968</v>
      </c>
      <c r="U43">
        <v>1</v>
      </c>
      <c r="V43">
        <v>0</v>
      </c>
      <c r="W43">
        <v>0</v>
      </c>
    </row>
    <row r="44" spans="1:23" x14ac:dyDescent="0.4">
      <c r="A44" t="s">
        <v>620</v>
      </c>
      <c r="D44" s="1">
        <v>45955</v>
      </c>
      <c r="E44" t="s">
        <v>40</v>
      </c>
      <c r="F44" t="s">
        <v>621</v>
      </c>
      <c r="I44" t="s">
        <v>96</v>
      </c>
      <c r="J44" t="s">
        <v>402</v>
      </c>
      <c r="M44" t="s">
        <v>619</v>
      </c>
      <c r="N44" t="e" vm="1">
        <v>#VALUE!</v>
      </c>
      <c r="O44" t="str" cm="1">
        <f t="array" aca="1" ref="O44" ca="1">_FV(N44,"Name")</f>
        <v>United States</v>
      </c>
      <c r="P44" t="s">
        <v>11</v>
      </c>
      <c r="R44" t="s">
        <v>776</v>
      </c>
      <c r="S44" s="1">
        <v>45996</v>
      </c>
      <c r="U44">
        <v>1</v>
      </c>
      <c r="V44">
        <v>1</v>
      </c>
      <c r="W44">
        <v>1</v>
      </c>
    </row>
    <row r="45" spans="1:23" x14ac:dyDescent="0.4">
      <c r="A45" t="s">
        <v>184</v>
      </c>
      <c r="D45" s="1">
        <v>45955</v>
      </c>
      <c r="E45" t="s">
        <v>15</v>
      </c>
      <c r="I45" t="s">
        <v>96</v>
      </c>
      <c r="J45" t="s">
        <v>402</v>
      </c>
      <c r="M45" s="2" t="s">
        <v>185</v>
      </c>
      <c r="N45" t="e" vm="9">
        <v>#VALUE!</v>
      </c>
      <c r="O45" t="str" cm="1">
        <f t="array" aca="1" ref="O45" ca="1">_FV(N45,"Name")</f>
        <v>Germany</v>
      </c>
      <c r="P45" t="s">
        <v>11</v>
      </c>
      <c r="Q45" t="s">
        <v>186</v>
      </c>
      <c r="R45" t="s">
        <v>776</v>
      </c>
      <c r="S45" s="1">
        <v>45970</v>
      </c>
      <c r="U45">
        <v>1</v>
      </c>
      <c r="V45">
        <v>0</v>
      </c>
      <c r="W45">
        <v>0</v>
      </c>
    </row>
    <row r="46" spans="1:23" x14ac:dyDescent="0.4">
      <c r="A46" t="s">
        <v>470</v>
      </c>
      <c r="D46" s="1">
        <v>45955</v>
      </c>
      <c r="E46" t="s">
        <v>546</v>
      </c>
      <c r="I46" t="s">
        <v>96</v>
      </c>
      <c r="J46" t="s">
        <v>402</v>
      </c>
      <c r="M46" t="s">
        <v>545</v>
      </c>
      <c r="N46" t="e" vm="1">
        <v>#VALUE!</v>
      </c>
      <c r="O46" t="str" cm="1">
        <f t="array" aca="1" ref="O46" ca="1">_FV(N46,"Name")</f>
        <v>United States</v>
      </c>
      <c r="P46" t="s">
        <v>11</v>
      </c>
      <c r="R46" t="s">
        <v>776</v>
      </c>
      <c r="S46" s="1">
        <v>45995</v>
      </c>
      <c r="U46">
        <v>1</v>
      </c>
      <c r="V46">
        <v>0</v>
      </c>
      <c r="W46">
        <v>1</v>
      </c>
    </row>
    <row r="47" spans="1:23" x14ac:dyDescent="0.4">
      <c r="A47" t="s">
        <v>207</v>
      </c>
      <c r="D47" s="1">
        <v>45955</v>
      </c>
      <c r="E47" t="s">
        <v>40</v>
      </c>
      <c r="I47" t="s">
        <v>96</v>
      </c>
      <c r="J47" t="s">
        <v>402</v>
      </c>
      <c r="M47" s="2" t="s">
        <v>206</v>
      </c>
      <c r="N47" t="e" vm="3">
        <v>#VALUE!</v>
      </c>
      <c r="O47" t="str" cm="1">
        <f t="array" aca="1" ref="O47" ca="1">_FV(N47,"Name")</f>
        <v>Japan</v>
      </c>
      <c r="P47" t="s">
        <v>11</v>
      </c>
      <c r="R47" t="s">
        <v>776</v>
      </c>
      <c r="S47" s="1">
        <v>45968</v>
      </c>
      <c r="U47">
        <v>1</v>
      </c>
      <c r="V47">
        <v>0</v>
      </c>
      <c r="W47">
        <v>0</v>
      </c>
    </row>
    <row r="48" spans="1:23" x14ac:dyDescent="0.4">
      <c r="A48" t="s">
        <v>372</v>
      </c>
      <c r="D48" s="1">
        <v>45955</v>
      </c>
      <c r="E48" t="s">
        <v>373</v>
      </c>
      <c r="I48" t="s">
        <v>96</v>
      </c>
      <c r="J48" t="s">
        <v>402</v>
      </c>
      <c r="M48" t="s">
        <v>371</v>
      </c>
      <c r="N48" t="e" vm="1">
        <v>#VALUE!</v>
      </c>
      <c r="O48" t="str" cm="1">
        <f t="array" aca="1" ref="O48" ca="1">_FV(N48,"Name")</f>
        <v>United States</v>
      </c>
      <c r="P48" t="s">
        <v>11</v>
      </c>
      <c r="R48" t="s">
        <v>776</v>
      </c>
      <c r="S48" s="1">
        <v>46203</v>
      </c>
      <c r="U48">
        <v>1</v>
      </c>
      <c r="V48">
        <v>0</v>
      </c>
      <c r="W48">
        <v>0</v>
      </c>
    </row>
    <row r="49" spans="1:23" x14ac:dyDescent="0.4">
      <c r="A49" t="s">
        <v>368</v>
      </c>
      <c r="D49" s="1">
        <v>45955</v>
      </c>
      <c r="E49" t="s">
        <v>370</v>
      </c>
      <c r="I49" t="s">
        <v>96</v>
      </c>
      <c r="J49" t="s">
        <v>403</v>
      </c>
      <c r="M49" t="s">
        <v>369</v>
      </c>
      <c r="N49" t="e" vm="1">
        <v>#VALUE!</v>
      </c>
      <c r="O49" t="str" cm="1">
        <f t="array" aca="1" ref="O49" ca="1">_FV(N49,"Name")</f>
        <v>United States</v>
      </c>
      <c r="P49" t="s">
        <v>11</v>
      </c>
      <c r="R49" t="s">
        <v>776</v>
      </c>
      <c r="S49" s="1">
        <v>45962</v>
      </c>
      <c r="U49">
        <v>1</v>
      </c>
      <c r="V49">
        <v>1</v>
      </c>
      <c r="W49">
        <v>1</v>
      </c>
    </row>
    <row r="50" spans="1:23" x14ac:dyDescent="0.4">
      <c r="A50" t="s">
        <v>66</v>
      </c>
      <c r="D50" s="1">
        <v>45955</v>
      </c>
      <c r="E50" s="2" t="s">
        <v>68</v>
      </c>
      <c r="G50">
        <v>1</v>
      </c>
      <c r="H50" s="1"/>
      <c r="I50" t="s">
        <v>96</v>
      </c>
      <c r="J50" t="s">
        <v>402</v>
      </c>
      <c r="M50" s="2" t="s">
        <v>67</v>
      </c>
      <c r="N50" t="e" vm="1">
        <v>#VALUE!</v>
      </c>
      <c r="O50" t="str" cm="1">
        <f t="array" aca="1" ref="O50" ca="1">_FV(N50,"Name")</f>
        <v>United States</v>
      </c>
      <c r="P50" t="s">
        <v>11</v>
      </c>
      <c r="Q50" t="s">
        <v>18</v>
      </c>
      <c r="R50" t="s">
        <v>776</v>
      </c>
      <c r="S50" s="1">
        <v>45962</v>
      </c>
      <c r="U50">
        <v>1</v>
      </c>
      <c r="V50">
        <v>1</v>
      </c>
      <c r="W50">
        <v>1</v>
      </c>
    </row>
    <row r="51" spans="1:23" x14ac:dyDescent="0.4">
      <c r="A51" t="s">
        <v>56</v>
      </c>
      <c r="D51" s="1">
        <v>45955</v>
      </c>
      <c r="E51" s="2" t="s">
        <v>57</v>
      </c>
      <c r="H51" s="1"/>
      <c r="I51" t="s">
        <v>96</v>
      </c>
      <c r="J51" t="s">
        <v>402</v>
      </c>
      <c r="M51" s="2" t="s">
        <v>58</v>
      </c>
      <c r="N51" t="e" vm="10">
        <v>#VALUE!</v>
      </c>
      <c r="O51" t="str" cm="1">
        <f t="array" aca="1" ref="O51" ca="1">_FV(N51,"Name")</f>
        <v>Canada</v>
      </c>
      <c r="R51" t="s">
        <v>776</v>
      </c>
      <c r="S51" s="1">
        <v>45962</v>
      </c>
      <c r="U51">
        <v>1</v>
      </c>
      <c r="V51">
        <v>0</v>
      </c>
      <c r="W51">
        <v>0</v>
      </c>
    </row>
    <row r="52" spans="1:23" x14ac:dyDescent="0.4">
      <c r="A52" t="s">
        <v>54</v>
      </c>
      <c r="D52" s="1">
        <v>45955</v>
      </c>
      <c r="E52" t="s">
        <v>55</v>
      </c>
      <c r="H52" s="1"/>
      <c r="I52" t="s">
        <v>96</v>
      </c>
      <c r="J52" t="s">
        <v>404</v>
      </c>
      <c r="M52" s="2" t="s">
        <v>58</v>
      </c>
      <c r="N52" t="e" vm="1">
        <v>#VALUE!</v>
      </c>
      <c r="O52" t="str" cm="1">
        <f t="array" aca="1" ref="O52" ca="1">_FV(N52,"Name")</f>
        <v>United States</v>
      </c>
      <c r="R52" t="s">
        <v>776</v>
      </c>
      <c r="S52" s="1">
        <v>45962</v>
      </c>
      <c r="U52">
        <v>1</v>
      </c>
      <c r="V52">
        <v>0</v>
      </c>
      <c r="W52">
        <v>0</v>
      </c>
    </row>
    <row r="53" spans="1:23" x14ac:dyDescent="0.4">
      <c r="A53" t="s">
        <v>515</v>
      </c>
      <c r="D53" s="1">
        <v>45955</v>
      </c>
      <c r="E53" t="s">
        <v>516</v>
      </c>
      <c r="I53" t="s">
        <v>96</v>
      </c>
      <c r="J53" t="s">
        <v>402</v>
      </c>
      <c r="M53" t="s">
        <v>517</v>
      </c>
      <c r="N53" t="e" vm="1">
        <v>#VALUE!</v>
      </c>
      <c r="O53" t="str" cm="1">
        <f t="array" aca="1" ref="O53" ca="1">_FV(N53,"Name")</f>
        <v>United States</v>
      </c>
      <c r="P53" t="s">
        <v>11</v>
      </c>
      <c r="R53" t="s">
        <v>776</v>
      </c>
      <c r="S53" s="1">
        <v>45962</v>
      </c>
      <c r="U53">
        <v>1</v>
      </c>
      <c r="V53">
        <v>0</v>
      </c>
      <c r="W53">
        <v>0</v>
      </c>
    </row>
    <row r="54" spans="1:23" x14ac:dyDescent="0.4">
      <c r="A54" t="s">
        <v>507</v>
      </c>
      <c r="C54" t="s">
        <v>514</v>
      </c>
      <c r="D54" s="1">
        <v>45960</v>
      </c>
      <c r="E54" t="s">
        <v>508</v>
      </c>
      <c r="I54" t="s">
        <v>96</v>
      </c>
      <c r="J54" t="s">
        <v>402</v>
      </c>
      <c r="M54" t="s">
        <v>509</v>
      </c>
      <c r="N54" t="e" vm="1">
        <v>#VALUE!</v>
      </c>
      <c r="O54" t="str" cm="1">
        <f t="array" aca="1" ref="O54" ca="1">_FV(N54,"Name")</f>
        <v>United States</v>
      </c>
      <c r="P54" t="s">
        <v>11</v>
      </c>
      <c r="R54" t="s">
        <v>776</v>
      </c>
      <c r="S54" s="1">
        <v>46081</v>
      </c>
      <c r="U54">
        <v>1</v>
      </c>
      <c r="V54">
        <v>0</v>
      </c>
      <c r="W54">
        <v>0</v>
      </c>
    </row>
    <row r="55" spans="1:23" x14ac:dyDescent="0.4">
      <c r="A55" t="s">
        <v>105</v>
      </c>
      <c r="D55" s="1">
        <v>45961</v>
      </c>
      <c r="E55" t="s">
        <v>15</v>
      </c>
      <c r="H55" s="1"/>
      <c r="I55" t="s">
        <v>96</v>
      </c>
      <c r="J55" t="s">
        <v>402</v>
      </c>
      <c r="M55" s="2" t="s">
        <v>106</v>
      </c>
      <c r="N55" t="e" vm="4">
        <v>#VALUE!</v>
      </c>
      <c r="O55" t="str" cm="1">
        <f t="array" aca="1" ref="O55" ca="1">_FV(N55,"Name")</f>
        <v>France</v>
      </c>
      <c r="P55" t="s">
        <v>26</v>
      </c>
      <c r="R55" t="s">
        <v>776</v>
      </c>
      <c r="S55" s="1">
        <v>45961</v>
      </c>
      <c r="U55">
        <v>1</v>
      </c>
      <c r="V55">
        <v>0</v>
      </c>
      <c r="W55">
        <v>0</v>
      </c>
    </row>
    <row r="56" spans="1:23" x14ac:dyDescent="0.4">
      <c r="A56" s="4" t="s">
        <v>144</v>
      </c>
      <c r="D56" s="1">
        <v>45962</v>
      </c>
      <c r="E56" t="s">
        <v>40</v>
      </c>
      <c r="G56">
        <v>1</v>
      </c>
      <c r="H56" t="s">
        <v>146</v>
      </c>
      <c r="I56" t="s">
        <v>96</v>
      </c>
      <c r="J56" t="s">
        <v>405</v>
      </c>
      <c r="K56" t="s">
        <v>309</v>
      </c>
      <c r="L56" s="1">
        <v>45976</v>
      </c>
      <c r="M56" s="2" t="s">
        <v>145</v>
      </c>
      <c r="N56" t="e" vm="11">
        <v>#VALUE!</v>
      </c>
      <c r="O56" t="str" cm="1">
        <f t="array" aca="1" ref="O56" ca="1">_FV(N56,"Name")</f>
        <v>Colombia</v>
      </c>
      <c r="P56" t="s">
        <v>11</v>
      </c>
      <c r="R56" t="s">
        <v>776</v>
      </c>
      <c r="S56" s="1">
        <v>45975</v>
      </c>
      <c r="U56">
        <v>1</v>
      </c>
      <c r="V56">
        <v>0</v>
      </c>
      <c r="W56">
        <v>0</v>
      </c>
    </row>
    <row r="57" spans="1:23" x14ac:dyDescent="0.4">
      <c r="A57" t="s">
        <v>421</v>
      </c>
      <c r="D57" s="1">
        <v>45962</v>
      </c>
      <c r="E57" s="2" t="s">
        <v>420</v>
      </c>
      <c r="F57" t="s">
        <v>419</v>
      </c>
      <c r="I57" t="s">
        <v>96</v>
      </c>
      <c r="J57" t="s">
        <v>402</v>
      </c>
      <c r="M57" t="s">
        <v>422</v>
      </c>
      <c r="N57" t="e" vm="1">
        <v>#VALUE!</v>
      </c>
      <c r="O57" t="str" cm="1">
        <f t="array" aca="1" ref="O57" ca="1">_FV(N57,"Name")</f>
        <v>United States</v>
      </c>
      <c r="P57" t="s">
        <v>11</v>
      </c>
      <c r="R57" t="s">
        <v>776</v>
      </c>
      <c r="S57" s="1">
        <v>45981</v>
      </c>
      <c r="U57">
        <v>1</v>
      </c>
      <c r="V57">
        <v>1</v>
      </c>
      <c r="W57">
        <v>1</v>
      </c>
    </row>
    <row r="58" spans="1:23" x14ac:dyDescent="0.4">
      <c r="A58" t="s">
        <v>495</v>
      </c>
      <c r="C58" t="s">
        <v>450</v>
      </c>
      <c r="D58" s="1">
        <v>45962</v>
      </c>
      <c r="E58" t="s">
        <v>40</v>
      </c>
      <c r="F58" t="s">
        <v>496</v>
      </c>
      <c r="I58" t="s">
        <v>96</v>
      </c>
      <c r="J58" t="s">
        <v>402</v>
      </c>
      <c r="M58" s="17" t="s">
        <v>493</v>
      </c>
      <c r="N58" t="e" vm="1">
        <v>#VALUE!</v>
      </c>
      <c r="O58" t="str" cm="1">
        <f t="array" aca="1" ref="O58" ca="1">_FV(N58,"Name")</f>
        <v>United States</v>
      </c>
      <c r="P58" t="s">
        <v>11</v>
      </c>
      <c r="R58" t="s">
        <v>776</v>
      </c>
      <c r="S58" s="1">
        <v>45964</v>
      </c>
      <c r="U58">
        <v>1</v>
      </c>
      <c r="V58">
        <v>0</v>
      </c>
      <c r="W58">
        <v>0</v>
      </c>
    </row>
    <row r="59" spans="1:23" x14ac:dyDescent="0.4">
      <c r="A59" t="s">
        <v>488</v>
      </c>
      <c r="C59" t="s">
        <v>491</v>
      </c>
      <c r="D59" s="1">
        <v>45962</v>
      </c>
      <c r="E59" t="s">
        <v>40</v>
      </c>
      <c r="F59" t="s">
        <v>490</v>
      </c>
      <c r="I59" t="s">
        <v>96</v>
      </c>
      <c r="J59" t="s">
        <v>402</v>
      </c>
      <c r="M59" t="s">
        <v>489</v>
      </c>
      <c r="N59" t="e" vm="1">
        <v>#VALUE!</v>
      </c>
      <c r="O59" t="str" cm="1">
        <f t="array" aca="1" ref="O59" ca="1">_FV(N59,"Name")</f>
        <v>United States</v>
      </c>
      <c r="P59" t="s">
        <v>11</v>
      </c>
      <c r="R59" t="s">
        <v>776</v>
      </c>
      <c r="S59" s="1">
        <v>46055</v>
      </c>
      <c r="U59">
        <v>1</v>
      </c>
      <c r="V59">
        <v>1</v>
      </c>
      <c r="W59">
        <v>1</v>
      </c>
    </row>
    <row r="60" spans="1:23" x14ac:dyDescent="0.4">
      <c r="A60" t="s">
        <v>485</v>
      </c>
      <c r="D60" s="1">
        <v>45962</v>
      </c>
      <c r="E60" t="s">
        <v>40</v>
      </c>
      <c r="F60" s="2" t="s">
        <v>487</v>
      </c>
      <c r="I60" t="s">
        <v>96</v>
      </c>
      <c r="J60" t="s">
        <v>402</v>
      </c>
      <c r="M60" t="s">
        <v>484</v>
      </c>
      <c r="N60" t="e" vm="1">
        <v>#VALUE!</v>
      </c>
      <c r="O60" t="str" cm="1">
        <f t="array" aca="1" ref="O60" ca="1">_FV(N60,"Name")</f>
        <v>United States</v>
      </c>
      <c r="P60" t="s">
        <v>11</v>
      </c>
      <c r="R60" t="s">
        <v>776</v>
      </c>
      <c r="S60" s="1">
        <v>45976</v>
      </c>
      <c r="U60">
        <v>1</v>
      </c>
      <c r="V60">
        <v>1</v>
      </c>
      <c r="W60">
        <v>1</v>
      </c>
    </row>
    <row r="61" spans="1:23" x14ac:dyDescent="0.4">
      <c r="A61" t="s">
        <v>191</v>
      </c>
      <c r="D61" s="1">
        <v>45962</v>
      </c>
      <c r="E61" t="s">
        <v>15</v>
      </c>
      <c r="F61" s="2" t="s">
        <v>193</v>
      </c>
      <c r="H61" t="s">
        <v>194</v>
      </c>
      <c r="I61" t="s">
        <v>96</v>
      </c>
      <c r="J61" t="s">
        <v>402</v>
      </c>
      <c r="M61" s="2" t="s">
        <v>192</v>
      </c>
      <c r="N61" t="e" vm="1">
        <v>#VALUE!</v>
      </c>
      <c r="O61" t="str" cm="1">
        <f t="array" aca="1" ref="O61" ca="1">_FV(N61,"Name")</f>
        <v>United States</v>
      </c>
      <c r="P61" t="s">
        <v>11</v>
      </c>
      <c r="R61" t="s">
        <v>776</v>
      </c>
      <c r="S61" s="1">
        <v>45971</v>
      </c>
      <c r="U61">
        <v>1</v>
      </c>
      <c r="V61">
        <v>0</v>
      </c>
      <c r="W61">
        <v>0</v>
      </c>
    </row>
    <row r="62" spans="1:23" x14ac:dyDescent="0.4">
      <c r="A62" t="s">
        <v>198</v>
      </c>
      <c r="C62" t="s">
        <v>280</v>
      </c>
      <c r="D62" s="1">
        <v>45962</v>
      </c>
      <c r="E62" t="s">
        <v>15</v>
      </c>
      <c r="I62" t="s">
        <v>96</v>
      </c>
      <c r="J62" t="s">
        <v>402</v>
      </c>
      <c r="M62" s="2" t="s">
        <v>199</v>
      </c>
      <c r="N62" t="e" vm="10">
        <v>#VALUE!</v>
      </c>
      <c r="O62" t="str" cm="1">
        <f t="array" aca="1" ref="O62" ca="1">_FV(N62,"Name")</f>
        <v>Canada</v>
      </c>
      <c r="P62" t="s">
        <v>178</v>
      </c>
      <c r="R62" t="s">
        <v>776</v>
      </c>
      <c r="S62" s="1">
        <v>45979</v>
      </c>
      <c r="U62">
        <v>1</v>
      </c>
      <c r="V62">
        <v>0</v>
      </c>
      <c r="W62">
        <v>1</v>
      </c>
    </row>
    <row r="63" spans="1:23" x14ac:dyDescent="0.4">
      <c r="A63" t="s">
        <v>561</v>
      </c>
      <c r="D63" s="1">
        <v>45962</v>
      </c>
      <c r="E63" t="s">
        <v>562</v>
      </c>
      <c r="I63" t="s">
        <v>96</v>
      </c>
      <c r="J63" t="s">
        <v>402</v>
      </c>
      <c r="M63" t="s">
        <v>563</v>
      </c>
      <c r="N63" t="e" vm="1">
        <v>#VALUE!</v>
      </c>
      <c r="O63" t="str" cm="1">
        <f t="array" aca="1" ref="O63" ca="1">_FV(N63,"Name")</f>
        <v>United States</v>
      </c>
      <c r="P63" t="s">
        <v>11</v>
      </c>
      <c r="R63" t="s">
        <v>776</v>
      </c>
      <c r="S63" s="1">
        <v>45962</v>
      </c>
      <c r="U63">
        <v>1</v>
      </c>
      <c r="V63">
        <v>1</v>
      </c>
      <c r="W63">
        <v>1</v>
      </c>
    </row>
    <row r="64" spans="1:23" x14ac:dyDescent="0.4">
      <c r="A64" t="s">
        <v>599</v>
      </c>
      <c r="D64" s="1">
        <v>45962</v>
      </c>
      <c r="E64" t="s">
        <v>40</v>
      </c>
      <c r="F64" t="s">
        <v>598</v>
      </c>
      <c r="I64" t="s">
        <v>96</v>
      </c>
      <c r="J64" t="s">
        <v>402</v>
      </c>
      <c r="M64" t="s">
        <v>597</v>
      </c>
      <c r="N64" t="e" vm="1">
        <v>#VALUE!</v>
      </c>
      <c r="O64" t="str" cm="1">
        <f t="array" aca="1" ref="O64" ca="1">_FV(N64,"Name")</f>
        <v>United States</v>
      </c>
      <c r="P64" t="s">
        <v>11</v>
      </c>
      <c r="R64" t="s">
        <v>776</v>
      </c>
      <c r="S64" s="1">
        <v>46244</v>
      </c>
      <c r="U64">
        <v>1</v>
      </c>
      <c r="V64">
        <v>0</v>
      </c>
      <c r="W64">
        <v>1</v>
      </c>
    </row>
    <row r="65" spans="1:23" x14ac:dyDescent="0.4">
      <c r="A65" t="s">
        <v>611</v>
      </c>
      <c r="D65" s="1">
        <v>45962</v>
      </c>
      <c r="E65" t="s">
        <v>40</v>
      </c>
      <c r="F65" t="s">
        <v>610</v>
      </c>
      <c r="I65" t="s">
        <v>96</v>
      </c>
      <c r="J65" t="s">
        <v>403</v>
      </c>
      <c r="M65" t="s">
        <v>609</v>
      </c>
      <c r="N65" t="e" vm="1">
        <v>#VALUE!</v>
      </c>
      <c r="O65" t="str" cm="1">
        <f t="array" aca="1" ref="O65" ca="1">_FV(N65,"Name")</f>
        <v>United States</v>
      </c>
      <c r="P65" t="s">
        <v>11</v>
      </c>
      <c r="R65" t="s">
        <v>776</v>
      </c>
      <c r="S65" s="1">
        <v>45962</v>
      </c>
      <c r="U65">
        <v>1</v>
      </c>
      <c r="V65">
        <v>1</v>
      </c>
      <c r="W65">
        <v>1</v>
      </c>
    </row>
    <row r="66" spans="1:23" x14ac:dyDescent="0.4">
      <c r="A66" t="s">
        <v>461</v>
      </c>
      <c r="D66" s="1">
        <v>45962</v>
      </c>
      <c r="E66" t="s">
        <v>463</v>
      </c>
      <c r="I66" t="s">
        <v>96</v>
      </c>
      <c r="J66" t="s">
        <v>402</v>
      </c>
      <c r="M66" t="s">
        <v>462</v>
      </c>
      <c r="N66" t="e" vm="1">
        <v>#VALUE!</v>
      </c>
      <c r="O66" t="str" cm="1">
        <f t="array" aca="1" ref="O66" ca="1">_FV(N66,"Name")</f>
        <v>United States</v>
      </c>
      <c r="P66" t="s">
        <v>11</v>
      </c>
      <c r="R66" t="s">
        <v>776</v>
      </c>
      <c r="S66" s="1">
        <v>46244</v>
      </c>
      <c r="U66">
        <v>1</v>
      </c>
      <c r="V66">
        <v>0</v>
      </c>
      <c r="W66">
        <v>0</v>
      </c>
    </row>
    <row r="67" spans="1:23" x14ac:dyDescent="0.4">
      <c r="A67" t="s">
        <v>622</v>
      </c>
      <c r="C67" t="s">
        <v>624</v>
      </c>
      <c r="D67" s="1">
        <v>45962</v>
      </c>
      <c r="E67" t="s">
        <v>40</v>
      </c>
      <c r="F67" t="s">
        <v>623</v>
      </c>
      <c r="I67" t="s">
        <v>96</v>
      </c>
      <c r="J67" t="s">
        <v>402</v>
      </c>
      <c r="M67" t="s">
        <v>625</v>
      </c>
      <c r="N67" t="e" vm="1">
        <v>#VALUE!</v>
      </c>
      <c r="O67" t="str" cm="1">
        <f t="array" aca="1" ref="O67" ca="1">_FV(N67,"Name")</f>
        <v>United States</v>
      </c>
      <c r="P67" t="s">
        <v>11</v>
      </c>
      <c r="R67" t="s">
        <v>776</v>
      </c>
      <c r="S67" s="1">
        <v>45992</v>
      </c>
      <c r="U67">
        <v>1</v>
      </c>
      <c r="V67">
        <v>0</v>
      </c>
      <c r="W67">
        <v>1</v>
      </c>
    </row>
    <row r="68" spans="1:23" x14ac:dyDescent="0.4">
      <c r="A68" t="s">
        <v>626</v>
      </c>
      <c r="D68" s="1">
        <v>45962</v>
      </c>
      <c r="E68" t="s">
        <v>40</v>
      </c>
      <c r="F68" t="s">
        <v>627</v>
      </c>
      <c r="I68" t="s">
        <v>96</v>
      </c>
      <c r="J68" t="s">
        <v>402</v>
      </c>
      <c r="M68" t="s">
        <v>628</v>
      </c>
      <c r="N68" t="e" vm="1">
        <v>#VALUE!</v>
      </c>
      <c r="O68" t="str" cm="1">
        <f t="array" aca="1" ref="O68" ca="1">_FV(N68,"Name")</f>
        <v>United States</v>
      </c>
      <c r="P68" t="s">
        <v>11</v>
      </c>
      <c r="R68" t="s">
        <v>776</v>
      </c>
      <c r="S68" s="1">
        <v>45971</v>
      </c>
      <c r="U68">
        <v>1</v>
      </c>
      <c r="V68">
        <v>0</v>
      </c>
      <c r="W68">
        <v>0</v>
      </c>
    </row>
    <row r="69" spans="1:23" x14ac:dyDescent="0.4">
      <c r="A69" t="s">
        <v>189</v>
      </c>
      <c r="D69" s="1">
        <v>45962</v>
      </c>
      <c r="E69" t="s">
        <v>15</v>
      </c>
      <c r="I69" t="s">
        <v>96</v>
      </c>
      <c r="J69" t="s">
        <v>402</v>
      </c>
      <c r="M69" s="2" t="s">
        <v>190</v>
      </c>
      <c r="N69" t="e" vm="12">
        <v>#VALUE!</v>
      </c>
      <c r="O69" t="str" cm="1">
        <f t="array" aca="1" ref="O69" ca="1">_FV(N69,"Name")</f>
        <v>Italy</v>
      </c>
      <c r="P69" t="s">
        <v>11</v>
      </c>
      <c r="R69" t="s">
        <v>776</v>
      </c>
      <c r="S69" s="1">
        <v>45971</v>
      </c>
      <c r="U69">
        <v>1</v>
      </c>
      <c r="V69">
        <v>1</v>
      </c>
      <c r="W69">
        <v>0</v>
      </c>
    </row>
    <row r="70" spans="1:23" x14ac:dyDescent="0.4">
      <c r="A70" t="s">
        <v>195</v>
      </c>
      <c r="D70" s="1">
        <v>45962</v>
      </c>
      <c r="E70" t="s">
        <v>15</v>
      </c>
      <c r="F70" s="2" t="s">
        <v>197</v>
      </c>
      <c r="I70" t="s">
        <v>96</v>
      </c>
      <c r="J70" t="s">
        <v>403</v>
      </c>
      <c r="M70" s="2" t="s">
        <v>196</v>
      </c>
      <c r="N70" t="e" vm="13">
        <v>#VALUE!</v>
      </c>
      <c r="O70" t="str" cm="1">
        <f t="array" aca="1" ref="O70" ca="1">_FV(N70,"Name")</f>
        <v>Paris</v>
      </c>
      <c r="P70" t="s">
        <v>11</v>
      </c>
      <c r="R70" t="s">
        <v>776</v>
      </c>
      <c r="S70" s="1">
        <v>45971</v>
      </c>
      <c r="U70">
        <v>1</v>
      </c>
      <c r="V70">
        <v>1</v>
      </c>
      <c r="W70">
        <v>1</v>
      </c>
    </row>
    <row r="71" spans="1:23" x14ac:dyDescent="0.4">
      <c r="A71" s="4" t="s">
        <v>314</v>
      </c>
      <c r="C71" t="s">
        <v>315</v>
      </c>
      <c r="D71" s="1">
        <v>45966</v>
      </c>
      <c r="E71" t="s">
        <v>15</v>
      </c>
      <c r="G71">
        <v>1</v>
      </c>
      <c r="I71" t="s">
        <v>96</v>
      </c>
      <c r="J71" t="s">
        <v>403</v>
      </c>
      <c r="K71" t="s">
        <v>309</v>
      </c>
      <c r="L71" s="1">
        <v>45976</v>
      </c>
      <c r="M71" t="s">
        <v>313</v>
      </c>
      <c r="N71" t="e" vm="12">
        <v>#VALUE!</v>
      </c>
      <c r="O71" t="str" cm="1">
        <f t="array" aca="1" ref="O71" ca="1">_FV(N71,"Name")</f>
        <v>Italy</v>
      </c>
      <c r="P71" t="s">
        <v>11</v>
      </c>
      <c r="R71" t="s">
        <v>776</v>
      </c>
      <c r="S71" s="1">
        <v>45977</v>
      </c>
      <c r="U71">
        <v>1</v>
      </c>
      <c r="V71">
        <v>1</v>
      </c>
      <c r="W71">
        <v>0</v>
      </c>
    </row>
    <row r="72" spans="1:23" x14ac:dyDescent="0.4">
      <c r="A72" s="4" t="s">
        <v>201</v>
      </c>
      <c r="B72" s="19"/>
      <c r="D72" s="1">
        <v>45966</v>
      </c>
      <c r="E72" t="s">
        <v>15</v>
      </c>
      <c r="G72">
        <v>3</v>
      </c>
      <c r="I72" t="s">
        <v>96</v>
      </c>
      <c r="J72" t="s">
        <v>402</v>
      </c>
      <c r="K72" t="s">
        <v>309</v>
      </c>
      <c r="L72" s="1">
        <v>45976</v>
      </c>
      <c r="M72" s="2" t="s">
        <v>200</v>
      </c>
      <c r="N72" t="e" vm="14">
        <v>#VALUE!</v>
      </c>
      <c r="O72" t="str" cm="1">
        <f t="array" aca="1" ref="O72" ca="1">_FV(N72,"Name")</f>
        <v>Sweden</v>
      </c>
      <c r="P72" t="s">
        <v>11</v>
      </c>
      <c r="R72" t="s">
        <v>776</v>
      </c>
      <c r="S72" s="1">
        <v>45974</v>
      </c>
      <c r="U72">
        <v>1</v>
      </c>
      <c r="V72">
        <v>0</v>
      </c>
      <c r="W72">
        <v>0</v>
      </c>
    </row>
    <row r="73" spans="1:23" x14ac:dyDescent="0.4">
      <c r="A73" s="4" t="s">
        <v>116</v>
      </c>
      <c r="C73" t="s">
        <v>407</v>
      </c>
      <c r="D73" s="1">
        <v>45966</v>
      </c>
      <c r="E73" t="s">
        <v>15</v>
      </c>
      <c r="G73">
        <v>2</v>
      </c>
      <c r="I73" t="s">
        <v>96</v>
      </c>
      <c r="J73" t="s">
        <v>402</v>
      </c>
      <c r="K73" t="s">
        <v>309</v>
      </c>
      <c r="L73" s="1">
        <v>45976</v>
      </c>
      <c r="M73" s="2" t="s">
        <v>117</v>
      </c>
      <c r="N73" t="e" vm="4">
        <v>#VALUE!</v>
      </c>
      <c r="O73" t="str" cm="1">
        <f t="array" aca="1" ref="O73" ca="1">_FV(N73,"Name")</f>
        <v>France</v>
      </c>
      <c r="P73" t="s">
        <v>11</v>
      </c>
      <c r="R73" t="s">
        <v>776</v>
      </c>
      <c r="S73" s="1">
        <v>45971</v>
      </c>
      <c r="U73">
        <v>1</v>
      </c>
      <c r="V73">
        <v>0</v>
      </c>
      <c r="W73">
        <v>0</v>
      </c>
    </row>
    <row r="74" spans="1:23" x14ac:dyDescent="0.4">
      <c r="A74" t="s">
        <v>396</v>
      </c>
      <c r="D74" s="1">
        <v>45966</v>
      </c>
      <c r="E74" t="s">
        <v>15</v>
      </c>
      <c r="H74" t="s">
        <v>398</v>
      </c>
      <c r="I74" t="s">
        <v>96</v>
      </c>
      <c r="J74" t="s">
        <v>402</v>
      </c>
      <c r="M74" t="s">
        <v>397</v>
      </c>
      <c r="N74" t="e" vm="15">
        <v>#VALUE!</v>
      </c>
      <c r="O74" t="str" cm="1">
        <f t="array" aca="1" ref="O74" ca="1">_FV(N74,"Name")</f>
        <v>Switzerland</v>
      </c>
      <c r="P74" t="s">
        <v>26</v>
      </c>
      <c r="R74" t="s">
        <v>776</v>
      </c>
      <c r="S74" s="1">
        <v>45976</v>
      </c>
      <c r="U74">
        <v>1</v>
      </c>
      <c r="V74">
        <v>0</v>
      </c>
      <c r="W74">
        <v>0</v>
      </c>
    </row>
    <row r="75" spans="1:23" x14ac:dyDescent="0.4">
      <c r="A75" t="s">
        <v>33</v>
      </c>
      <c r="D75" s="1">
        <v>45966</v>
      </c>
      <c r="E75" t="s">
        <v>15</v>
      </c>
      <c r="F75" s="2" t="s">
        <v>34</v>
      </c>
      <c r="H75" s="1"/>
      <c r="I75" t="s">
        <v>96</v>
      </c>
      <c r="J75" t="s">
        <v>402</v>
      </c>
      <c r="M75" s="2" t="s">
        <v>32</v>
      </c>
      <c r="N75" t="e" vm="1">
        <v>#VALUE!</v>
      </c>
      <c r="O75" t="str" cm="1">
        <f t="array" aca="1" ref="O75" ca="1">_FV(N75,"Name")</f>
        <v>United States</v>
      </c>
      <c r="P75" t="s">
        <v>11</v>
      </c>
      <c r="Q75" t="s">
        <v>18</v>
      </c>
      <c r="R75" t="s">
        <v>776</v>
      </c>
      <c r="S75" s="1">
        <v>45971</v>
      </c>
      <c r="T75" s="2"/>
      <c r="U75">
        <v>1</v>
      </c>
      <c r="V75">
        <v>0</v>
      </c>
      <c r="W75">
        <v>1</v>
      </c>
    </row>
    <row r="76" spans="1:23" x14ac:dyDescent="0.4">
      <c r="A76" t="s">
        <v>93</v>
      </c>
      <c r="D76" s="1">
        <v>45966</v>
      </c>
      <c r="E76" t="s">
        <v>40</v>
      </c>
      <c r="F76" t="s">
        <v>95</v>
      </c>
      <c r="H76" s="1"/>
      <c r="I76" t="s">
        <v>96</v>
      </c>
      <c r="J76" t="s">
        <v>402</v>
      </c>
      <c r="M76" s="2" t="s">
        <v>94</v>
      </c>
      <c r="N76" t="e" vm="10">
        <v>#VALUE!</v>
      </c>
      <c r="O76" t="str" cm="1">
        <f t="array" aca="1" ref="O76" ca="1">_FV(N76,"Name")</f>
        <v>Canada</v>
      </c>
      <c r="P76" t="s">
        <v>11</v>
      </c>
      <c r="R76" t="s">
        <v>776</v>
      </c>
      <c r="S76" s="1">
        <v>45971</v>
      </c>
      <c r="U76">
        <v>1</v>
      </c>
      <c r="V76">
        <v>0</v>
      </c>
      <c r="W76">
        <v>0</v>
      </c>
    </row>
    <row r="77" spans="1:23" x14ac:dyDescent="0.4">
      <c r="A77" t="s">
        <v>427</v>
      </c>
      <c r="D77" s="1">
        <v>45966</v>
      </c>
      <c r="E77" t="s">
        <v>428</v>
      </c>
      <c r="I77" t="s">
        <v>96</v>
      </c>
      <c r="J77" t="s">
        <v>402</v>
      </c>
      <c r="M77" t="s">
        <v>429</v>
      </c>
      <c r="N77" t="e" vm="1">
        <v>#VALUE!</v>
      </c>
      <c r="O77" t="str" cm="1">
        <f t="array" aca="1" ref="O77" ca="1">_FV(N77,"Name")</f>
        <v>United States</v>
      </c>
      <c r="P77" t="s">
        <v>11</v>
      </c>
      <c r="R77" t="s">
        <v>776</v>
      </c>
      <c r="S77" s="1">
        <v>45977</v>
      </c>
      <c r="U77">
        <v>1</v>
      </c>
      <c r="V77">
        <v>0</v>
      </c>
      <c r="W77">
        <v>0</v>
      </c>
    </row>
    <row r="78" spans="1:23" x14ac:dyDescent="0.4">
      <c r="A78" t="s">
        <v>444</v>
      </c>
      <c r="C78" t="s">
        <v>447</v>
      </c>
      <c r="D78" s="1">
        <v>45966</v>
      </c>
      <c r="E78" t="s">
        <v>445</v>
      </c>
      <c r="I78" t="s">
        <v>96</v>
      </c>
      <c r="J78" t="s">
        <v>403</v>
      </c>
      <c r="M78" t="s">
        <v>446</v>
      </c>
      <c r="N78" t="e" vm="1">
        <v>#VALUE!</v>
      </c>
      <c r="O78" t="str" cm="1">
        <f t="array" aca="1" ref="O78" ca="1">_FV(N78,"Name")</f>
        <v>United States</v>
      </c>
      <c r="P78" t="s">
        <v>11</v>
      </c>
      <c r="R78" t="s">
        <v>776</v>
      </c>
      <c r="S78" s="1">
        <v>45972</v>
      </c>
      <c r="U78">
        <v>1</v>
      </c>
      <c r="V78">
        <v>1</v>
      </c>
      <c r="W78">
        <v>1</v>
      </c>
    </row>
    <row r="79" spans="1:23" x14ac:dyDescent="0.4">
      <c r="A79" t="s">
        <v>452</v>
      </c>
      <c r="C79" t="s">
        <v>455</v>
      </c>
      <c r="D79" s="1">
        <v>45966</v>
      </c>
      <c r="E79" t="s">
        <v>40</v>
      </c>
      <c r="F79" t="s">
        <v>453</v>
      </c>
      <c r="G79">
        <v>1</v>
      </c>
      <c r="I79" t="s">
        <v>96</v>
      </c>
      <c r="J79" t="s">
        <v>402</v>
      </c>
      <c r="M79" t="s">
        <v>454</v>
      </c>
      <c r="N79" t="e" vm="1">
        <v>#VALUE!</v>
      </c>
      <c r="O79" t="str" cm="1">
        <f t="array" aca="1" ref="O79" ca="1">_FV(N79,"Name")</f>
        <v>United States</v>
      </c>
      <c r="P79" t="s">
        <v>11</v>
      </c>
      <c r="R79" t="s">
        <v>776</v>
      </c>
      <c r="S79" s="1">
        <v>45977</v>
      </c>
      <c r="U79">
        <v>1</v>
      </c>
      <c r="V79">
        <v>0</v>
      </c>
      <c r="W79">
        <v>0</v>
      </c>
    </row>
    <row r="80" spans="1:23" x14ac:dyDescent="0.4">
      <c r="A80" t="s">
        <v>436</v>
      </c>
      <c r="C80" t="s">
        <v>439</v>
      </c>
      <c r="D80" s="1">
        <v>45966</v>
      </c>
      <c r="E80" t="s">
        <v>15</v>
      </c>
      <c r="F80" t="s">
        <v>437</v>
      </c>
      <c r="I80" t="s">
        <v>96</v>
      </c>
      <c r="J80" t="s">
        <v>402</v>
      </c>
      <c r="M80" t="s">
        <v>438</v>
      </c>
      <c r="N80" t="e" vm="1">
        <v>#VALUE!</v>
      </c>
      <c r="O80" t="str" cm="1">
        <f t="array" aca="1" ref="O80" ca="1">_FV(N80,"Name")</f>
        <v>United States</v>
      </c>
      <c r="P80" t="s">
        <v>11</v>
      </c>
      <c r="R80" t="s">
        <v>776</v>
      </c>
      <c r="S80" s="1">
        <v>45975</v>
      </c>
      <c r="U80">
        <v>1</v>
      </c>
      <c r="V80">
        <v>1</v>
      </c>
      <c r="W80">
        <v>1</v>
      </c>
    </row>
    <row r="81" spans="1:23" x14ac:dyDescent="0.4">
      <c r="A81" t="s">
        <v>318</v>
      </c>
      <c r="D81" s="1">
        <v>45966</v>
      </c>
      <c r="E81" t="s">
        <v>15</v>
      </c>
      <c r="I81" t="s">
        <v>96</v>
      </c>
      <c r="J81" t="s">
        <v>402</v>
      </c>
      <c r="M81" t="s">
        <v>395</v>
      </c>
      <c r="N81" t="e" vm="16">
        <v>#VALUE!</v>
      </c>
      <c r="O81" t="str" cm="1">
        <f t="array" aca="1" ref="O81" ca="1">_FV(N81,"Name")</f>
        <v>Brazil</v>
      </c>
      <c r="P81" t="s">
        <v>11</v>
      </c>
      <c r="R81" t="s">
        <v>776</v>
      </c>
      <c r="S81" s="1">
        <v>45976</v>
      </c>
      <c r="U81">
        <v>1</v>
      </c>
      <c r="V81">
        <v>0</v>
      </c>
      <c r="W81">
        <v>0</v>
      </c>
    </row>
    <row r="82" spans="1:23" x14ac:dyDescent="0.4">
      <c r="A82" t="s">
        <v>317</v>
      </c>
      <c r="D82" s="1">
        <v>45966</v>
      </c>
      <c r="E82" t="s">
        <v>15</v>
      </c>
      <c r="I82" t="s">
        <v>96</v>
      </c>
      <c r="J82" t="s">
        <v>402</v>
      </c>
      <c r="M82" t="s">
        <v>316</v>
      </c>
      <c r="N82" t="e" vm="4">
        <v>#VALUE!</v>
      </c>
      <c r="O82" t="str" cm="1">
        <f t="array" aca="1" ref="O82" ca="1">_FV(N82,"Name")</f>
        <v>France</v>
      </c>
      <c r="P82" t="s">
        <v>11</v>
      </c>
      <c r="R82" t="s">
        <v>776</v>
      </c>
      <c r="S82" s="1">
        <v>45977</v>
      </c>
      <c r="U82">
        <v>1</v>
      </c>
      <c r="V82">
        <v>0</v>
      </c>
      <c r="W82">
        <v>0</v>
      </c>
    </row>
    <row r="83" spans="1:23" x14ac:dyDescent="0.4">
      <c r="A83" t="s">
        <v>456</v>
      </c>
      <c r="D83" s="1">
        <v>45966</v>
      </c>
      <c r="E83" t="s">
        <v>40</v>
      </c>
      <c r="G83">
        <v>1</v>
      </c>
      <c r="H83" t="s">
        <v>503</v>
      </c>
      <c r="I83" t="s">
        <v>96</v>
      </c>
      <c r="J83" t="s">
        <v>402</v>
      </c>
      <c r="L83" s="1"/>
      <c r="M83" t="s">
        <v>457</v>
      </c>
      <c r="N83" t="e" vm="1">
        <v>#VALUE!</v>
      </c>
      <c r="O83" t="str" cm="1">
        <f t="array" aca="1" ref="O83" ca="1">_FV(N83,"Name")</f>
        <v>United States</v>
      </c>
      <c r="P83" t="s">
        <v>11</v>
      </c>
      <c r="R83" t="s">
        <v>776</v>
      </c>
      <c r="S83" s="1">
        <v>45976</v>
      </c>
      <c r="U83">
        <v>1</v>
      </c>
      <c r="V83">
        <v>1</v>
      </c>
      <c r="W83">
        <v>1</v>
      </c>
    </row>
    <row r="84" spans="1:23" x14ac:dyDescent="0.4">
      <c r="A84" t="s">
        <v>216</v>
      </c>
      <c r="D84" s="1">
        <v>45966</v>
      </c>
      <c r="E84" t="s">
        <v>40</v>
      </c>
      <c r="F84" t="s">
        <v>217</v>
      </c>
      <c r="I84" t="s">
        <v>96</v>
      </c>
      <c r="J84" t="s">
        <v>402</v>
      </c>
      <c r="M84" t="s">
        <v>215</v>
      </c>
      <c r="N84" t="e" vm="3">
        <v>#VALUE!</v>
      </c>
      <c r="O84" t="str" cm="1">
        <f t="array" aca="1" ref="O84" ca="1">_FV(N84,"Name")</f>
        <v>Japan</v>
      </c>
      <c r="P84" t="s">
        <v>11</v>
      </c>
      <c r="R84" t="s">
        <v>776</v>
      </c>
      <c r="S84" s="1">
        <v>45975</v>
      </c>
      <c r="U84">
        <v>1</v>
      </c>
      <c r="V84">
        <v>0</v>
      </c>
      <c r="W84">
        <v>0</v>
      </c>
    </row>
    <row r="85" spans="1:23" x14ac:dyDescent="0.4">
      <c r="A85" t="s">
        <v>464</v>
      </c>
      <c r="D85" s="1">
        <v>45966</v>
      </c>
      <c r="E85" t="s">
        <v>465</v>
      </c>
      <c r="I85" t="s">
        <v>96</v>
      </c>
      <c r="J85" t="s">
        <v>402</v>
      </c>
      <c r="M85" t="s">
        <v>466</v>
      </c>
      <c r="N85" t="e" vm="1">
        <v>#VALUE!</v>
      </c>
      <c r="O85" t="str" cm="1">
        <f t="array" aca="1" ref="O85" ca="1">_FV(N85,"Name")</f>
        <v>United States</v>
      </c>
      <c r="P85" t="s">
        <v>11</v>
      </c>
      <c r="R85" t="s">
        <v>776</v>
      </c>
      <c r="S85" s="1">
        <v>45976</v>
      </c>
      <c r="U85">
        <v>1</v>
      </c>
      <c r="V85">
        <v>0</v>
      </c>
      <c r="W85">
        <v>1</v>
      </c>
    </row>
    <row r="86" spans="1:23" x14ac:dyDescent="0.4">
      <c r="A86" t="s">
        <v>467</v>
      </c>
      <c r="D86" s="1">
        <v>45966</v>
      </c>
      <c r="E86" s="2" t="s">
        <v>468</v>
      </c>
      <c r="I86" t="s">
        <v>96</v>
      </c>
      <c r="J86" t="s">
        <v>402</v>
      </c>
      <c r="M86" t="s">
        <v>469</v>
      </c>
      <c r="N86" t="e" vm="1">
        <v>#VALUE!</v>
      </c>
      <c r="O86" t="str" cm="1">
        <f t="array" aca="1" ref="O86" ca="1">_FV(N86,"Name")</f>
        <v>United States</v>
      </c>
      <c r="P86" t="s">
        <v>11</v>
      </c>
      <c r="R86" t="s">
        <v>776</v>
      </c>
      <c r="S86" s="1">
        <v>45975</v>
      </c>
      <c r="U86">
        <v>1</v>
      </c>
      <c r="V86">
        <v>1</v>
      </c>
      <c r="W86">
        <v>1</v>
      </c>
    </row>
    <row r="87" spans="1:23" x14ac:dyDescent="0.4">
      <c r="A87" t="s">
        <v>214</v>
      </c>
      <c r="D87" s="1">
        <v>45966</v>
      </c>
      <c r="E87" t="s">
        <v>40</v>
      </c>
      <c r="F87" t="s">
        <v>218</v>
      </c>
      <c r="I87" t="s">
        <v>96</v>
      </c>
      <c r="J87" t="s">
        <v>402</v>
      </c>
      <c r="M87" t="s">
        <v>213</v>
      </c>
      <c r="N87" t="e" vm="3">
        <v>#VALUE!</v>
      </c>
      <c r="O87" t="str" cm="1">
        <f t="array" aca="1" ref="O87" ca="1">_FV(N87,"Name")</f>
        <v>Japan</v>
      </c>
      <c r="P87" t="s">
        <v>11</v>
      </c>
      <c r="R87" t="s">
        <v>776</v>
      </c>
      <c r="S87" s="1">
        <v>45716</v>
      </c>
      <c r="U87">
        <v>1</v>
      </c>
      <c r="V87">
        <v>0</v>
      </c>
      <c r="W87">
        <v>0</v>
      </c>
    </row>
    <row r="88" spans="1:23" x14ac:dyDescent="0.4">
      <c r="A88" t="s">
        <v>519</v>
      </c>
      <c r="D88" s="1">
        <v>45966</v>
      </c>
      <c r="E88" t="s">
        <v>40</v>
      </c>
      <c r="I88" t="s">
        <v>96</v>
      </c>
      <c r="J88" t="s">
        <v>402</v>
      </c>
      <c r="M88" t="s">
        <v>518</v>
      </c>
      <c r="N88" t="e" vm="17">
        <v>#VALUE!</v>
      </c>
      <c r="O88" t="str" cm="1">
        <f t="array" aca="1" ref="O88" ca="1">_FV(N88,"Name")</f>
        <v>Uruguay</v>
      </c>
      <c r="P88" t="s">
        <v>11</v>
      </c>
      <c r="R88" t="s">
        <v>776</v>
      </c>
      <c r="S88" s="1">
        <v>46033</v>
      </c>
      <c r="U88">
        <v>1</v>
      </c>
      <c r="V88">
        <v>0</v>
      </c>
      <c r="W88">
        <v>0</v>
      </c>
    </row>
    <row r="89" spans="1:23" x14ac:dyDescent="0.4">
      <c r="A89" s="4" t="s">
        <v>327</v>
      </c>
      <c r="B89" s="19"/>
      <c r="D89" s="1">
        <v>45966</v>
      </c>
      <c r="E89" t="s">
        <v>15</v>
      </c>
      <c r="I89" t="s">
        <v>96</v>
      </c>
      <c r="J89" t="s">
        <v>402</v>
      </c>
      <c r="M89" t="s">
        <v>326</v>
      </c>
      <c r="N89" t="e" vm="14">
        <v>#VALUE!</v>
      </c>
      <c r="O89" t="str" cm="1">
        <f t="array" aca="1" ref="O89" ca="1">_FV(N89,"Name")</f>
        <v>Sweden</v>
      </c>
      <c r="P89" t="s">
        <v>11</v>
      </c>
      <c r="R89" t="s">
        <v>776</v>
      </c>
      <c r="S89" s="1">
        <v>45976</v>
      </c>
      <c r="U89">
        <v>1</v>
      </c>
      <c r="V89">
        <v>0</v>
      </c>
      <c r="W89">
        <v>0</v>
      </c>
    </row>
    <row r="90" spans="1:23" x14ac:dyDescent="0.4">
      <c r="A90" t="s">
        <v>334</v>
      </c>
      <c r="D90" s="1">
        <v>45966</v>
      </c>
      <c r="E90" t="s">
        <v>15</v>
      </c>
      <c r="H90" t="s">
        <v>335</v>
      </c>
      <c r="I90" t="s">
        <v>96</v>
      </c>
      <c r="J90" t="s">
        <v>402</v>
      </c>
      <c r="M90" t="s">
        <v>333</v>
      </c>
      <c r="N90" t="e" vm="14">
        <v>#VALUE!</v>
      </c>
      <c r="O90" t="str" cm="1">
        <f t="array" aca="1" ref="O90" ca="1">_FV(N90,"Name")</f>
        <v>Sweden</v>
      </c>
      <c r="P90" t="s">
        <v>11</v>
      </c>
      <c r="R90" t="s">
        <v>776</v>
      </c>
      <c r="S90" s="1">
        <v>45975</v>
      </c>
      <c r="U90">
        <v>1</v>
      </c>
      <c r="V90">
        <v>0</v>
      </c>
      <c r="W90">
        <v>0</v>
      </c>
    </row>
    <row r="91" spans="1:23" x14ac:dyDescent="0.4">
      <c r="A91" t="s">
        <v>331</v>
      </c>
      <c r="D91" s="1">
        <v>45966</v>
      </c>
      <c r="E91" t="s">
        <v>15</v>
      </c>
      <c r="H91" t="s">
        <v>332</v>
      </c>
      <c r="I91" t="s">
        <v>96</v>
      </c>
      <c r="J91" t="s">
        <v>402</v>
      </c>
      <c r="M91" t="s">
        <v>330</v>
      </c>
      <c r="N91" t="e" vm="14">
        <v>#VALUE!</v>
      </c>
      <c r="O91" t="str" cm="1">
        <f t="array" aca="1" ref="O91" ca="1">_FV(N91,"Name")</f>
        <v>Sweden</v>
      </c>
      <c r="P91" t="s">
        <v>26</v>
      </c>
      <c r="R91" t="s">
        <v>776</v>
      </c>
      <c r="S91" s="1">
        <v>45975</v>
      </c>
      <c r="U91">
        <v>1</v>
      </c>
      <c r="V91">
        <v>0</v>
      </c>
      <c r="W91">
        <v>0</v>
      </c>
    </row>
    <row r="92" spans="1:23" x14ac:dyDescent="0.4">
      <c r="A92" t="s">
        <v>89</v>
      </c>
      <c r="D92" s="1">
        <v>45966</v>
      </c>
      <c r="E92" t="s">
        <v>91</v>
      </c>
      <c r="H92" s="1"/>
      <c r="I92" t="s">
        <v>96</v>
      </c>
      <c r="J92" t="s">
        <v>402</v>
      </c>
      <c r="M92" s="2" t="s">
        <v>90</v>
      </c>
      <c r="N92" t="e" vm="1">
        <v>#VALUE!</v>
      </c>
      <c r="O92" t="str" cm="1">
        <f t="array" aca="1" ref="O92" ca="1">_FV(N92,"Name")</f>
        <v>United States</v>
      </c>
      <c r="P92" t="s">
        <v>11</v>
      </c>
      <c r="Q92" t="s">
        <v>92</v>
      </c>
      <c r="R92" t="s">
        <v>776</v>
      </c>
      <c r="S92" s="1">
        <v>45971</v>
      </c>
      <c r="U92">
        <v>1</v>
      </c>
      <c r="V92">
        <v>0</v>
      </c>
      <c r="W92">
        <v>1</v>
      </c>
    </row>
    <row r="93" spans="1:23" x14ac:dyDescent="0.4">
      <c r="A93" t="s">
        <v>329</v>
      </c>
      <c r="D93" s="1">
        <v>45966</v>
      </c>
      <c r="E93" t="s">
        <v>15</v>
      </c>
      <c r="I93" t="s">
        <v>96</v>
      </c>
      <c r="J93" t="s">
        <v>402</v>
      </c>
      <c r="M93" t="s">
        <v>328</v>
      </c>
      <c r="N93" t="e" vm="12">
        <v>#VALUE!</v>
      </c>
      <c r="O93" t="str" cm="1">
        <f t="array" aca="1" ref="O93" ca="1">_FV(N93,"Name")</f>
        <v>Italy</v>
      </c>
      <c r="P93" t="s">
        <v>11</v>
      </c>
      <c r="R93" t="s">
        <v>776</v>
      </c>
      <c r="S93" s="1">
        <v>45975</v>
      </c>
      <c r="U93">
        <v>1</v>
      </c>
      <c r="V93">
        <v>0</v>
      </c>
      <c r="W93">
        <v>0</v>
      </c>
    </row>
    <row r="94" spans="1:23" x14ac:dyDescent="0.4">
      <c r="A94" t="s">
        <v>161</v>
      </c>
      <c r="D94" s="1">
        <v>45966</v>
      </c>
      <c r="E94" t="s">
        <v>15</v>
      </c>
      <c r="F94" s="2" t="s">
        <v>163</v>
      </c>
      <c r="I94" t="s">
        <v>96</v>
      </c>
      <c r="J94" t="s">
        <v>402</v>
      </c>
      <c r="M94" s="2" t="s">
        <v>162</v>
      </c>
      <c r="N94" t="e" vm="1">
        <v>#VALUE!</v>
      </c>
      <c r="O94" t="str" cm="1">
        <f t="array" aca="1" ref="O94" ca="1">_FV(N94,"Name")</f>
        <v>United States</v>
      </c>
      <c r="P94" t="s">
        <v>11</v>
      </c>
      <c r="Q94" t="s">
        <v>92</v>
      </c>
      <c r="R94" t="s">
        <v>776</v>
      </c>
      <c r="S94" s="1">
        <v>45971</v>
      </c>
      <c r="U94">
        <v>1</v>
      </c>
      <c r="V94">
        <v>1</v>
      </c>
      <c r="W94">
        <v>1</v>
      </c>
    </row>
    <row r="95" spans="1:23" x14ac:dyDescent="0.4">
      <c r="A95" t="s">
        <v>365</v>
      </c>
      <c r="D95" s="1">
        <v>45966</v>
      </c>
      <c r="E95" t="s">
        <v>367</v>
      </c>
      <c r="I95" t="s">
        <v>96</v>
      </c>
      <c r="J95" t="s">
        <v>402</v>
      </c>
      <c r="M95" t="s">
        <v>366</v>
      </c>
      <c r="N95" t="e" vm="1">
        <v>#VALUE!</v>
      </c>
      <c r="O95" t="str" cm="1">
        <f t="array" aca="1" ref="O95" ca="1">_FV(N95,"Name")</f>
        <v>United States</v>
      </c>
      <c r="P95" t="s">
        <v>11</v>
      </c>
      <c r="R95" t="s">
        <v>776</v>
      </c>
      <c r="S95" s="1">
        <v>45975</v>
      </c>
      <c r="U95">
        <v>1</v>
      </c>
      <c r="V95">
        <v>0</v>
      </c>
      <c r="W95">
        <v>1</v>
      </c>
    </row>
    <row r="96" spans="1:23" x14ac:dyDescent="0.4">
      <c r="A96" t="s">
        <v>234</v>
      </c>
      <c r="D96" s="1">
        <v>45966</v>
      </c>
      <c r="E96" t="s">
        <v>40</v>
      </c>
      <c r="F96" t="s">
        <v>235</v>
      </c>
      <c r="G96">
        <v>1</v>
      </c>
      <c r="I96" t="s">
        <v>96</v>
      </c>
      <c r="J96" t="s">
        <v>402</v>
      </c>
      <c r="M96" t="s">
        <v>233</v>
      </c>
      <c r="N96" t="e" vm="1">
        <v>#VALUE!</v>
      </c>
      <c r="O96" t="str" cm="1">
        <f t="array" aca="1" ref="O96" ca="1">_FV(N96,"Name")</f>
        <v>United States</v>
      </c>
      <c r="P96" t="s">
        <v>11</v>
      </c>
      <c r="R96" t="s">
        <v>776</v>
      </c>
      <c r="S96" s="1">
        <v>45976</v>
      </c>
      <c r="U96">
        <v>1</v>
      </c>
      <c r="V96">
        <v>1</v>
      </c>
      <c r="W96">
        <v>1</v>
      </c>
    </row>
    <row r="97" spans="1:23" x14ac:dyDescent="0.4">
      <c r="A97" t="s">
        <v>393</v>
      </c>
      <c r="D97" s="1">
        <v>45966</v>
      </c>
      <c r="E97" t="s">
        <v>15</v>
      </c>
      <c r="I97" t="s">
        <v>96</v>
      </c>
      <c r="J97" t="s">
        <v>402</v>
      </c>
      <c r="M97" t="s">
        <v>394</v>
      </c>
      <c r="N97" t="e" vm="2">
        <v>#VALUE!</v>
      </c>
      <c r="O97" t="str" cm="1">
        <f t="array" aca="1" ref="O97" ca="1">_FV(N97,"Name")</f>
        <v>Spain</v>
      </c>
      <c r="R97" t="s">
        <v>776</v>
      </c>
      <c r="S97" s="1">
        <v>45977</v>
      </c>
      <c r="U97">
        <v>1</v>
      </c>
      <c r="V97">
        <v>0</v>
      </c>
      <c r="W97">
        <v>0</v>
      </c>
    </row>
    <row r="98" spans="1:23" x14ac:dyDescent="0.4">
      <c r="A98" t="s">
        <v>311</v>
      </c>
      <c r="D98" s="1">
        <v>45966</v>
      </c>
      <c r="E98" t="s">
        <v>15</v>
      </c>
      <c r="H98" t="s">
        <v>312</v>
      </c>
      <c r="I98" t="s">
        <v>96</v>
      </c>
      <c r="J98" t="s">
        <v>402</v>
      </c>
      <c r="M98" t="s">
        <v>310</v>
      </c>
      <c r="N98" t="e" vm="6">
        <v>#VALUE!</v>
      </c>
      <c r="O98" t="str" cm="1">
        <f t="array" aca="1" ref="O98" ca="1">_FV(N98,"Name")</f>
        <v>Netherlands</v>
      </c>
      <c r="P98" t="s">
        <v>11</v>
      </c>
      <c r="R98" t="s">
        <v>776</v>
      </c>
      <c r="S98" s="1">
        <v>45978</v>
      </c>
      <c r="U98">
        <v>1</v>
      </c>
      <c r="V98">
        <v>0</v>
      </c>
      <c r="W98">
        <v>0</v>
      </c>
    </row>
    <row r="99" spans="1:23" x14ac:dyDescent="0.4">
      <c r="A99" s="4" t="s">
        <v>278</v>
      </c>
      <c r="C99" t="s">
        <v>279</v>
      </c>
      <c r="D99" s="1">
        <v>45971</v>
      </c>
      <c r="E99" t="s">
        <v>15</v>
      </c>
      <c r="G99">
        <v>1</v>
      </c>
      <c r="I99" t="s">
        <v>96</v>
      </c>
      <c r="J99" t="s">
        <v>402</v>
      </c>
      <c r="K99" t="s">
        <v>309</v>
      </c>
      <c r="L99" s="1">
        <v>45976</v>
      </c>
      <c r="M99" t="s">
        <v>277</v>
      </c>
      <c r="N99" t="e" vm="10">
        <v>#VALUE!</v>
      </c>
      <c r="O99" t="str" cm="1">
        <f t="array" aca="1" ref="O99" ca="1">_FV(N99,"Name")</f>
        <v>Canada</v>
      </c>
      <c r="P99" t="s">
        <v>11</v>
      </c>
      <c r="R99" t="s">
        <v>776</v>
      </c>
      <c r="S99" s="1">
        <v>45976</v>
      </c>
      <c r="U99">
        <v>1</v>
      </c>
      <c r="V99">
        <v>0</v>
      </c>
      <c r="W99">
        <v>1</v>
      </c>
    </row>
    <row r="100" spans="1:23" x14ac:dyDescent="0.4">
      <c r="A100" s="4" t="s">
        <v>24</v>
      </c>
      <c r="D100" s="1">
        <v>45971</v>
      </c>
      <c r="E100" t="s">
        <v>15</v>
      </c>
      <c r="F100" t="s">
        <v>15</v>
      </c>
      <c r="G100">
        <v>2</v>
      </c>
      <c r="H100" s="1" t="s">
        <v>567</v>
      </c>
      <c r="I100" t="s">
        <v>96</v>
      </c>
      <c r="J100" t="s">
        <v>402</v>
      </c>
      <c r="K100" t="s">
        <v>309</v>
      </c>
      <c r="L100" s="1">
        <v>45976</v>
      </c>
      <c r="M100" s="2" t="s">
        <v>25</v>
      </c>
      <c r="N100" t="e" vm="7">
        <v>#VALUE!</v>
      </c>
      <c r="O100" t="str" cm="1">
        <f t="array" aca="1" ref="O100" ca="1">_FV(N100,"Name")</f>
        <v>Australia</v>
      </c>
      <c r="P100" t="s">
        <v>26</v>
      </c>
      <c r="Q100" t="s">
        <v>27</v>
      </c>
      <c r="R100" t="s">
        <v>776</v>
      </c>
      <c r="S100" s="1">
        <v>45978</v>
      </c>
      <c r="U100">
        <v>1</v>
      </c>
      <c r="V100">
        <v>0</v>
      </c>
      <c r="W100">
        <v>0</v>
      </c>
    </row>
    <row r="101" spans="1:23" x14ac:dyDescent="0.4">
      <c r="A101" s="4" t="s">
        <v>70</v>
      </c>
      <c r="D101" s="1">
        <v>45971</v>
      </c>
      <c r="E101" t="s">
        <v>72</v>
      </c>
      <c r="G101">
        <v>3</v>
      </c>
      <c r="H101" s="1"/>
      <c r="I101" t="s">
        <v>96</v>
      </c>
      <c r="J101" t="s">
        <v>402</v>
      </c>
      <c r="K101" t="s">
        <v>309</v>
      </c>
      <c r="L101" s="1">
        <v>45976</v>
      </c>
      <c r="M101" s="2" t="s">
        <v>71</v>
      </c>
      <c r="N101" t="e" vm="2">
        <v>#VALUE!</v>
      </c>
      <c r="O101" t="str" cm="1">
        <f t="array" aca="1" ref="O101" ca="1">_FV(N101,"Name")</f>
        <v>Spain</v>
      </c>
      <c r="P101" t="s">
        <v>11</v>
      </c>
      <c r="R101" t="s">
        <v>776</v>
      </c>
      <c r="S101" s="1">
        <v>45976</v>
      </c>
      <c r="U101">
        <v>1</v>
      </c>
      <c r="V101">
        <v>0</v>
      </c>
      <c r="W101">
        <v>0</v>
      </c>
    </row>
    <row r="102" spans="1:23" x14ac:dyDescent="0.4">
      <c r="A102" s="4" t="s">
        <v>272</v>
      </c>
      <c r="B102" s="19"/>
      <c r="C102" t="s">
        <v>274</v>
      </c>
      <c r="D102" s="1">
        <v>45971</v>
      </c>
      <c r="E102" t="s">
        <v>15</v>
      </c>
      <c r="G102">
        <v>2</v>
      </c>
      <c r="H102" t="s">
        <v>273</v>
      </c>
      <c r="I102" t="s">
        <v>96</v>
      </c>
      <c r="J102" t="s">
        <v>402</v>
      </c>
      <c r="K102" t="s">
        <v>309</v>
      </c>
      <c r="L102" s="1">
        <v>45976</v>
      </c>
      <c r="M102" t="s">
        <v>160</v>
      </c>
      <c r="N102" t="e" vm="2">
        <v>#VALUE!</v>
      </c>
      <c r="O102" t="str" cm="1">
        <f t="array" aca="1" ref="O102" ca="1">_FV(N102,"Name")</f>
        <v>Spain</v>
      </c>
      <c r="P102" t="s">
        <v>11</v>
      </c>
      <c r="R102" t="s">
        <v>776</v>
      </c>
      <c r="S102" s="1">
        <v>45977</v>
      </c>
      <c r="U102">
        <v>1</v>
      </c>
      <c r="V102">
        <v>0</v>
      </c>
      <c r="W102">
        <v>1</v>
      </c>
    </row>
    <row r="103" spans="1:23" x14ac:dyDescent="0.4">
      <c r="A103" s="4" t="s">
        <v>85</v>
      </c>
      <c r="D103" s="1">
        <v>45971</v>
      </c>
      <c r="E103" t="s">
        <v>15</v>
      </c>
      <c r="G103">
        <v>2</v>
      </c>
      <c r="H103" s="1"/>
      <c r="I103" t="s">
        <v>96</v>
      </c>
      <c r="J103" t="s">
        <v>402</v>
      </c>
      <c r="K103" t="s">
        <v>309</v>
      </c>
      <c r="L103" s="1">
        <v>45976</v>
      </c>
      <c r="M103" s="2" t="s">
        <v>86</v>
      </c>
      <c r="N103" t="e" vm="4">
        <v>#VALUE!</v>
      </c>
      <c r="O103" t="str" cm="1">
        <f t="array" aca="1" ref="O103" ca="1">_FV(N103,"Name")</f>
        <v>France</v>
      </c>
      <c r="P103" t="s">
        <v>11</v>
      </c>
      <c r="R103" t="s">
        <v>776</v>
      </c>
      <c r="S103" s="1">
        <v>45976</v>
      </c>
      <c r="U103">
        <v>1</v>
      </c>
      <c r="V103">
        <v>0</v>
      </c>
      <c r="W103">
        <v>0</v>
      </c>
    </row>
    <row r="104" spans="1:23" x14ac:dyDescent="0.4">
      <c r="A104" s="4" t="s">
        <v>271</v>
      </c>
      <c r="D104" s="1">
        <v>45971</v>
      </c>
      <c r="E104" t="s">
        <v>15</v>
      </c>
      <c r="G104">
        <v>1</v>
      </c>
      <c r="I104" t="s">
        <v>96</v>
      </c>
      <c r="J104" t="s">
        <v>402</v>
      </c>
      <c r="K104" t="s">
        <v>309</v>
      </c>
      <c r="L104" s="1">
        <v>45976</v>
      </c>
      <c r="M104" t="s">
        <v>270</v>
      </c>
      <c r="N104" t="e" vm="14">
        <v>#VALUE!</v>
      </c>
      <c r="O104" t="str" cm="1">
        <f t="array" aca="1" ref="O104" ca="1">_FV(N104,"Name")</f>
        <v>Sweden</v>
      </c>
      <c r="P104" t="s">
        <v>11</v>
      </c>
      <c r="R104" t="s">
        <v>776</v>
      </c>
      <c r="S104" s="1">
        <v>45976</v>
      </c>
      <c r="U104">
        <v>1</v>
      </c>
      <c r="V104">
        <v>0</v>
      </c>
      <c r="W104">
        <v>0</v>
      </c>
    </row>
    <row r="105" spans="1:23" x14ac:dyDescent="0.4">
      <c r="A105" s="4" t="s">
        <v>87</v>
      </c>
      <c r="D105" s="1">
        <v>45971</v>
      </c>
      <c r="E105" t="s">
        <v>15</v>
      </c>
      <c r="G105">
        <v>2</v>
      </c>
      <c r="H105" s="1" t="s">
        <v>115</v>
      </c>
      <c r="I105" t="s">
        <v>96</v>
      </c>
      <c r="J105" t="s">
        <v>402</v>
      </c>
      <c r="K105" t="s">
        <v>309</v>
      </c>
      <c r="L105" s="1">
        <v>45976</v>
      </c>
      <c r="M105" s="2" t="s">
        <v>88</v>
      </c>
      <c r="N105" t="e" vm="14">
        <v>#VALUE!</v>
      </c>
      <c r="O105" t="str" cm="1">
        <f t="array" aca="1" ref="O105" ca="1">_FV(N105,"Name")</f>
        <v>Sweden</v>
      </c>
      <c r="P105" t="s">
        <v>11</v>
      </c>
      <c r="R105" t="s">
        <v>776</v>
      </c>
      <c r="S105" s="1">
        <v>45976</v>
      </c>
      <c r="U105">
        <v>1</v>
      </c>
      <c r="V105">
        <v>0</v>
      </c>
      <c r="W105">
        <v>0</v>
      </c>
    </row>
    <row r="106" spans="1:23" x14ac:dyDescent="0.4">
      <c r="A106" s="4" t="s">
        <v>618</v>
      </c>
      <c r="C106" t="s">
        <v>703</v>
      </c>
      <c r="D106" s="1">
        <v>45971</v>
      </c>
      <c r="E106" t="s">
        <v>40</v>
      </c>
      <c r="G106">
        <v>2</v>
      </c>
      <c r="H106" t="s">
        <v>632</v>
      </c>
      <c r="I106" t="s">
        <v>96</v>
      </c>
      <c r="J106" t="s">
        <v>402</v>
      </c>
      <c r="K106" t="s">
        <v>309</v>
      </c>
      <c r="L106" s="1">
        <v>45976</v>
      </c>
      <c r="M106" t="s">
        <v>617</v>
      </c>
      <c r="N106" t="e" vm="18">
        <v>#VALUE!</v>
      </c>
      <c r="O106" t="str" cm="1">
        <f t="array" aca="1" ref="O106" ca="1">_FV(N106,"Name")</f>
        <v>Singapore</v>
      </c>
      <c r="P106" t="s">
        <v>11</v>
      </c>
      <c r="R106" t="s">
        <v>776</v>
      </c>
      <c r="S106" s="1">
        <v>45976</v>
      </c>
      <c r="U106">
        <v>1</v>
      </c>
      <c r="V106">
        <v>1</v>
      </c>
      <c r="W106">
        <v>1</v>
      </c>
    </row>
    <row r="107" spans="1:23" x14ac:dyDescent="0.4">
      <c r="A107" s="4" t="s">
        <v>604</v>
      </c>
      <c r="C107" t="s">
        <v>608</v>
      </c>
      <c r="D107" s="1">
        <v>45971</v>
      </c>
      <c r="E107" t="s">
        <v>40</v>
      </c>
      <c r="I107" t="s">
        <v>96</v>
      </c>
      <c r="J107" t="s">
        <v>402</v>
      </c>
      <c r="K107" t="s">
        <v>309</v>
      </c>
      <c r="L107" s="1">
        <v>45976</v>
      </c>
      <c r="M107" t="s">
        <v>108</v>
      </c>
      <c r="N107" t="e" vm="5">
        <v>#VALUE!</v>
      </c>
      <c r="O107" t="str" cm="1">
        <f t="array" aca="1" ref="O107" ca="1">_FV(N107,"Name")</f>
        <v>Chile</v>
      </c>
      <c r="P107" t="s">
        <v>11</v>
      </c>
      <c r="R107" t="s">
        <v>776</v>
      </c>
      <c r="S107" s="1">
        <v>46053</v>
      </c>
      <c r="U107">
        <v>1</v>
      </c>
      <c r="V107">
        <v>0</v>
      </c>
      <c r="W107">
        <v>0</v>
      </c>
    </row>
    <row r="108" spans="1:23" x14ac:dyDescent="0.4">
      <c r="A108" s="4" t="s">
        <v>724</v>
      </c>
      <c r="C108" t="s">
        <v>727</v>
      </c>
      <c r="D108" s="1">
        <v>45971</v>
      </c>
      <c r="E108" t="s">
        <v>725</v>
      </c>
      <c r="G108">
        <v>2</v>
      </c>
      <c r="I108" t="s">
        <v>96</v>
      </c>
      <c r="J108" t="s">
        <v>402</v>
      </c>
      <c r="K108" t="s">
        <v>309</v>
      </c>
      <c r="L108" s="1">
        <v>45976</v>
      </c>
      <c r="M108" t="s">
        <v>726</v>
      </c>
      <c r="N108" t="e" vm="1">
        <v>#VALUE!</v>
      </c>
      <c r="O108" t="str" cm="1">
        <f t="array" aca="1" ref="O108" ca="1">_FV(N108,"Name")</f>
        <v>United States</v>
      </c>
      <c r="P108" t="s">
        <v>11</v>
      </c>
      <c r="R108" t="s">
        <v>776</v>
      </c>
      <c r="S108" s="1">
        <v>45976</v>
      </c>
      <c r="U108">
        <v>1</v>
      </c>
      <c r="V108">
        <v>1</v>
      </c>
      <c r="W108">
        <v>1</v>
      </c>
    </row>
    <row r="109" spans="1:23" x14ac:dyDescent="0.4">
      <c r="A109" s="4" t="s">
        <v>132</v>
      </c>
      <c r="B109" s="19"/>
      <c r="D109" s="1">
        <v>45971</v>
      </c>
      <c r="E109" t="s">
        <v>15</v>
      </c>
      <c r="F109" t="s">
        <v>134</v>
      </c>
      <c r="G109">
        <v>2</v>
      </c>
      <c r="I109" t="s">
        <v>96</v>
      </c>
      <c r="J109" t="s">
        <v>402</v>
      </c>
      <c r="K109" t="s">
        <v>309</v>
      </c>
      <c r="L109" s="1">
        <v>45976</v>
      </c>
      <c r="M109" s="2" t="s">
        <v>133</v>
      </c>
      <c r="N109" t="e" vm="2">
        <v>#VALUE!</v>
      </c>
      <c r="O109" t="str" cm="1">
        <f t="array" aca="1" ref="O109" ca="1">_FV(N109,"Name")</f>
        <v>Spain</v>
      </c>
      <c r="P109" t="s">
        <v>11</v>
      </c>
      <c r="R109" t="s">
        <v>776</v>
      </c>
      <c r="S109" s="1">
        <v>45974</v>
      </c>
      <c r="U109">
        <v>1</v>
      </c>
      <c r="V109">
        <v>0</v>
      </c>
      <c r="W109">
        <v>1</v>
      </c>
    </row>
    <row r="110" spans="1:23" x14ac:dyDescent="0.4">
      <c r="A110" s="4" t="s">
        <v>129</v>
      </c>
      <c r="D110" s="1">
        <v>45971</v>
      </c>
      <c r="E110" t="s">
        <v>15</v>
      </c>
      <c r="G110">
        <v>1</v>
      </c>
      <c r="I110" t="s">
        <v>96</v>
      </c>
      <c r="J110" t="s">
        <v>402</v>
      </c>
      <c r="K110" t="s">
        <v>309</v>
      </c>
      <c r="L110" s="1">
        <v>45976</v>
      </c>
      <c r="M110" s="2" t="s">
        <v>130</v>
      </c>
      <c r="N110" t="e" vm="2">
        <v>#VALUE!</v>
      </c>
      <c r="O110" t="str" cm="1">
        <f t="array" aca="1" ref="O110" ca="1">_FV(N110,"Name")</f>
        <v>Spain</v>
      </c>
      <c r="P110" t="s">
        <v>11</v>
      </c>
      <c r="R110" t="s">
        <v>776</v>
      </c>
      <c r="S110" s="1">
        <v>45976</v>
      </c>
      <c r="U110">
        <v>1</v>
      </c>
      <c r="V110">
        <v>0</v>
      </c>
      <c r="W110">
        <v>0</v>
      </c>
    </row>
    <row r="111" spans="1:23" x14ac:dyDescent="0.4">
      <c r="A111" s="4" t="s">
        <v>156</v>
      </c>
      <c r="D111" s="1">
        <v>45971</v>
      </c>
      <c r="E111" t="s">
        <v>15</v>
      </c>
      <c r="G111">
        <v>1</v>
      </c>
      <c r="I111" t="s">
        <v>96</v>
      </c>
      <c r="J111" t="s">
        <v>402</v>
      </c>
      <c r="K111" t="s">
        <v>309</v>
      </c>
      <c r="L111" s="1">
        <v>45976</v>
      </c>
      <c r="M111" s="2" t="s">
        <v>131</v>
      </c>
      <c r="N111" t="e" vm="2">
        <v>#VALUE!</v>
      </c>
      <c r="O111" t="str" cm="1">
        <f t="array" aca="1" ref="O111" ca="1">_FV(N111,"Name")</f>
        <v>Spain</v>
      </c>
      <c r="P111" t="s">
        <v>11</v>
      </c>
      <c r="R111" t="s">
        <v>776</v>
      </c>
      <c r="S111" s="1">
        <v>45976</v>
      </c>
      <c r="U111">
        <v>1</v>
      </c>
      <c r="V111">
        <v>0</v>
      </c>
      <c r="W111">
        <v>0</v>
      </c>
    </row>
    <row r="112" spans="1:23" x14ac:dyDescent="0.4">
      <c r="A112" s="4" t="s">
        <v>671</v>
      </c>
      <c r="C112" t="s">
        <v>673</v>
      </c>
      <c r="D112" s="1">
        <v>45971</v>
      </c>
      <c r="E112" t="s">
        <v>669</v>
      </c>
      <c r="H112" t="s">
        <v>674</v>
      </c>
      <c r="I112" t="s">
        <v>96</v>
      </c>
      <c r="J112" t="s">
        <v>402</v>
      </c>
      <c r="K112" t="s">
        <v>309</v>
      </c>
      <c r="L112" s="1">
        <v>45976</v>
      </c>
      <c r="M112" t="s">
        <v>668</v>
      </c>
      <c r="N112" t="e" vm="19">
        <v>#VALUE!</v>
      </c>
      <c r="O112" t="s">
        <v>879</v>
      </c>
      <c r="P112" t="s">
        <v>11</v>
      </c>
      <c r="R112" t="s">
        <v>776</v>
      </c>
      <c r="S112" s="1">
        <v>45986</v>
      </c>
      <c r="U112">
        <v>1</v>
      </c>
      <c r="V112">
        <v>1</v>
      </c>
      <c r="W112">
        <v>1</v>
      </c>
    </row>
    <row r="113" spans="1:23" x14ac:dyDescent="0.4">
      <c r="A113" s="4" t="s">
        <v>388</v>
      </c>
      <c r="C113" t="s">
        <v>390</v>
      </c>
      <c r="D113" s="1">
        <v>45971</v>
      </c>
      <c r="E113" t="s">
        <v>15</v>
      </c>
      <c r="G113">
        <v>2</v>
      </c>
      <c r="I113" t="s">
        <v>96</v>
      </c>
      <c r="J113" t="s">
        <v>402</v>
      </c>
      <c r="K113" t="s">
        <v>309</v>
      </c>
      <c r="L113" s="1">
        <v>45986</v>
      </c>
      <c r="M113" t="s">
        <v>389</v>
      </c>
      <c r="N113" t="e" vm="9">
        <v>#VALUE!</v>
      </c>
      <c r="O113" t="str" cm="1">
        <f t="array" aca="1" ref="O113" ca="1">_FV(N113,"Name")</f>
        <v>Germany</v>
      </c>
      <c r="P113" t="s">
        <v>26</v>
      </c>
      <c r="R113" t="s">
        <v>776</v>
      </c>
      <c r="S113" s="1">
        <v>45980</v>
      </c>
      <c r="U113">
        <v>1</v>
      </c>
      <c r="V113">
        <v>0</v>
      </c>
      <c r="W113">
        <v>0</v>
      </c>
    </row>
    <row r="114" spans="1:23" x14ac:dyDescent="0.4">
      <c r="A114" s="4" t="s">
        <v>387</v>
      </c>
      <c r="B114" s="19"/>
      <c r="D114" s="1">
        <v>45971</v>
      </c>
      <c r="E114" t="s">
        <v>15</v>
      </c>
      <c r="G114">
        <v>1</v>
      </c>
      <c r="I114" t="s">
        <v>96</v>
      </c>
      <c r="J114" t="s">
        <v>402</v>
      </c>
      <c r="K114" t="s">
        <v>309</v>
      </c>
      <c r="L114" s="1">
        <v>45986</v>
      </c>
      <c r="M114" t="s">
        <v>386</v>
      </c>
      <c r="N114" t="e" vm="20">
        <v>#VALUE!</v>
      </c>
      <c r="O114" t="str" cm="1">
        <f t="array" aca="1" ref="O114" ca="1">_FV(N114,"Name")</f>
        <v>Denmark</v>
      </c>
      <c r="P114" t="s">
        <v>11</v>
      </c>
      <c r="R114" t="s">
        <v>776</v>
      </c>
      <c r="S114" s="1">
        <v>45982</v>
      </c>
      <c r="U114">
        <v>1</v>
      </c>
      <c r="V114">
        <v>1</v>
      </c>
      <c r="W114">
        <v>0</v>
      </c>
    </row>
    <row r="115" spans="1:23" x14ac:dyDescent="0.4">
      <c r="A115" s="4" t="s">
        <v>342</v>
      </c>
      <c r="B115" s="19"/>
      <c r="C115" t="s">
        <v>346</v>
      </c>
      <c r="D115" s="1">
        <v>45971</v>
      </c>
      <c r="E115" t="s">
        <v>345</v>
      </c>
      <c r="F115" t="s">
        <v>344</v>
      </c>
      <c r="G115">
        <v>3</v>
      </c>
      <c r="H115" s="2" t="s">
        <v>347</v>
      </c>
      <c r="I115" t="s">
        <v>96</v>
      </c>
      <c r="J115" t="s">
        <v>402</v>
      </c>
      <c r="K115" t="s">
        <v>309</v>
      </c>
      <c r="L115" s="1">
        <v>45986</v>
      </c>
      <c r="M115" t="s">
        <v>343</v>
      </c>
      <c r="N115" t="e" vm="9">
        <v>#VALUE!</v>
      </c>
      <c r="O115" t="str" cm="1">
        <f t="array" aca="1" ref="O115" ca="1">_FV(N115,"Name")</f>
        <v>Germany</v>
      </c>
      <c r="R115" t="s">
        <v>776</v>
      </c>
      <c r="S115" s="1">
        <v>45981</v>
      </c>
      <c r="U115">
        <v>1</v>
      </c>
      <c r="V115">
        <v>1</v>
      </c>
      <c r="W115">
        <v>0</v>
      </c>
    </row>
    <row r="116" spans="1:23" x14ac:dyDescent="0.4">
      <c r="A116" t="s">
        <v>416</v>
      </c>
      <c r="D116" s="1">
        <v>45971</v>
      </c>
      <c r="E116" t="s">
        <v>417</v>
      </c>
      <c r="I116" t="s">
        <v>96</v>
      </c>
      <c r="J116" t="s">
        <v>402</v>
      </c>
      <c r="M116" t="s">
        <v>418</v>
      </c>
      <c r="N116" t="e" vm="1">
        <v>#VALUE!</v>
      </c>
      <c r="O116" t="str" cm="1">
        <f t="array" aca="1" ref="O116" ca="1">_FV(N116,"Name")</f>
        <v>United States</v>
      </c>
      <c r="P116" t="s">
        <v>19</v>
      </c>
      <c r="R116" t="s">
        <v>776</v>
      </c>
      <c r="S116" s="1">
        <v>45981</v>
      </c>
      <c r="U116">
        <v>1</v>
      </c>
      <c r="V116">
        <v>0</v>
      </c>
      <c r="W116">
        <v>1</v>
      </c>
    </row>
    <row r="117" spans="1:23" x14ac:dyDescent="0.4">
      <c r="A117" t="s">
        <v>432</v>
      </c>
      <c r="C117" t="s">
        <v>434</v>
      </c>
      <c r="D117" s="1">
        <v>45971</v>
      </c>
      <c r="E117" t="s">
        <v>15</v>
      </c>
      <c r="F117" t="s">
        <v>433</v>
      </c>
      <c r="G117">
        <v>1</v>
      </c>
      <c r="I117" t="s">
        <v>96</v>
      </c>
      <c r="J117" t="s">
        <v>402</v>
      </c>
      <c r="M117" t="s">
        <v>435</v>
      </c>
      <c r="N117" t="e" vm="21">
        <v>#VALUE!</v>
      </c>
      <c r="O117" t="str" cm="1">
        <f t="array" aca="1" ref="O117" ca="1">_FV(N117,"Name")</f>
        <v>United Kingdom</v>
      </c>
      <c r="P117" t="s">
        <v>11</v>
      </c>
      <c r="R117" t="s">
        <v>776</v>
      </c>
      <c r="S117" s="1">
        <v>45977</v>
      </c>
      <c r="U117">
        <v>1</v>
      </c>
      <c r="V117">
        <v>0</v>
      </c>
      <c r="W117">
        <v>0</v>
      </c>
    </row>
    <row r="118" spans="1:23" x14ac:dyDescent="0.4">
      <c r="A118" t="s">
        <v>492</v>
      </c>
      <c r="D118" s="1">
        <v>45971</v>
      </c>
      <c r="E118" t="s">
        <v>40</v>
      </c>
      <c r="F118" t="s">
        <v>494</v>
      </c>
      <c r="I118" t="s">
        <v>96</v>
      </c>
      <c r="J118" t="s">
        <v>402</v>
      </c>
      <c r="M118" s="17" t="s">
        <v>493</v>
      </c>
      <c r="N118" t="e" vm="1">
        <v>#VALUE!</v>
      </c>
      <c r="O118" t="str" cm="1">
        <f t="array" aca="1" ref="O118" ca="1">_FV(N118,"Name")</f>
        <v>United States</v>
      </c>
      <c r="P118" t="s">
        <v>11</v>
      </c>
      <c r="R118" t="s">
        <v>776</v>
      </c>
      <c r="S118" s="1">
        <v>45976</v>
      </c>
      <c r="U118">
        <v>1</v>
      </c>
      <c r="V118">
        <v>0</v>
      </c>
      <c r="W118">
        <v>0</v>
      </c>
    </row>
    <row r="119" spans="1:23" x14ac:dyDescent="0.4">
      <c r="A119" t="s">
        <v>384</v>
      </c>
      <c r="C119" t="s">
        <v>385</v>
      </c>
      <c r="D119" s="1">
        <v>45971</v>
      </c>
      <c r="E119" t="s">
        <v>15</v>
      </c>
      <c r="I119" t="s">
        <v>96</v>
      </c>
      <c r="J119" t="s">
        <v>402</v>
      </c>
      <c r="M119" t="s">
        <v>165</v>
      </c>
      <c r="N119" t="e" vm="21">
        <v>#VALUE!</v>
      </c>
      <c r="O119" t="str" cm="1">
        <f t="array" aca="1" ref="O119" ca="1">_FV(N119,"Name")</f>
        <v>United Kingdom</v>
      </c>
      <c r="P119" t="s">
        <v>26</v>
      </c>
      <c r="R119" t="s">
        <v>776</v>
      </c>
      <c r="S119" s="1">
        <v>45982</v>
      </c>
      <c r="U119">
        <v>1</v>
      </c>
      <c r="V119">
        <v>0</v>
      </c>
      <c r="W119">
        <v>0</v>
      </c>
    </row>
    <row r="120" spans="1:23" x14ac:dyDescent="0.4">
      <c r="A120" t="s">
        <v>670</v>
      </c>
      <c r="C120" t="s">
        <v>672</v>
      </c>
      <c r="D120" s="1">
        <v>45971</v>
      </c>
      <c r="E120" t="s">
        <v>669</v>
      </c>
      <c r="F120" t="s">
        <v>704</v>
      </c>
      <c r="H120" t="s">
        <v>674</v>
      </c>
      <c r="I120" t="s">
        <v>96</v>
      </c>
      <c r="J120" t="s">
        <v>402</v>
      </c>
      <c r="M120" t="s">
        <v>668</v>
      </c>
      <c r="N120" t="e" vm="19">
        <v>#VALUE!</v>
      </c>
      <c r="O120" t="s">
        <v>878</v>
      </c>
      <c r="P120" t="s">
        <v>11</v>
      </c>
      <c r="R120" t="s">
        <v>776</v>
      </c>
      <c r="S120" s="1">
        <v>45986</v>
      </c>
      <c r="U120">
        <v>1</v>
      </c>
      <c r="V120">
        <v>1</v>
      </c>
      <c r="W120">
        <v>1</v>
      </c>
    </row>
    <row r="121" spans="1:23" x14ac:dyDescent="0.4">
      <c r="A121" t="s">
        <v>276</v>
      </c>
      <c r="C121" t="s">
        <v>374</v>
      </c>
      <c r="D121" s="1">
        <v>45971</v>
      </c>
      <c r="E121" t="s">
        <v>15</v>
      </c>
      <c r="I121" t="s">
        <v>96</v>
      </c>
      <c r="J121" t="s">
        <v>402</v>
      </c>
      <c r="M121" t="s">
        <v>199</v>
      </c>
      <c r="N121" t="e" vm="10">
        <v>#VALUE!</v>
      </c>
      <c r="O121" t="str" cm="1">
        <f t="array" aca="1" ref="O121" ca="1">_FV(N121,"Name")</f>
        <v>Canada</v>
      </c>
      <c r="P121" t="s">
        <v>11</v>
      </c>
      <c r="R121" t="s">
        <v>776</v>
      </c>
      <c r="S121" s="1">
        <v>45975</v>
      </c>
      <c r="U121">
        <v>1</v>
      </c>
      <c r="V121">
        <v>0</v>
      </c>
      <c r="W121">
        <v>1</v>
      </c>
    </row>
    <row r="122" spans="1:23" x14ac:dyDescent="0.4">
      <c r="A122" t="s">
        <v>430</v>
      </c>
      <c r="D122" s="1">
        <v>45971</v>
      </c>
      <c r="E122" t="s">
        <v>15</v>
      </c>
      <c r="I122" t="s">
        <v>96</v>
      </c>
      <c r="J122" t="s">
        <v>402</v>
      </c>
      <c r="M122" t="s">
        <v>431</v>
      </c>
      <c r="N122" t="e" vm="4">
        <v>#VALUE!</v>
      </c>
      <c r="O122" t="str" cm="1">
        <f t="array" aca="1" ref="O122" ca="1">_FV(N122,"Name")</f>
        <v>France</v>
      </c>
      <c r="P122" t="s">
        <v>11</v>
      </c>
      <c r="R122" t="s">
        <v>776</v>
      </c>
      <c r="S122" s="1">
        <v>45974</v>
      </c>
      <c r="U122">
        <v>1</v>
      </c>
      <c r="V122">
        <v>0</v>
      </c>
      <c r="W122">
        <v>0</v>
      </c>
    </row>
    <row r="123" spans="1:23" x14ac:dyDescent="0.4">
      <c r="A123" t="s">
        <v>573</v>
      </c>
      <c r="C123" t="s">
        <v>576</v>
      </c>
      <c r="D123" s="1">
        <v>45971</v>
      </c>
      <c r="E123" t="s">
        <v>40</v>
      </c>
      <c r="F123" t="s">
        <v>574</v>
      </c>
      <c r="I123" t="s">
        <v>96</v>
      </c>
      <c r="J123" t="s">
        <v>403</v>
      </c>
      <c r="M123" t="s">
        <v>575</v>
      </c>
      <c r="N123" t="e" vm="1">
        <v>#VALUE!</v>
      </c>
      <c r="O123" t="str" cm="1">
        <f t="array" aca="1" ref="O123" ca="1">_FV(N123,"Name")</f>
        <v>United States</v>
      </c>
      <c r="P123" t="s">
        <v>11</v>
      </c>
      <c r="R123" t="s">
        <v>776</v>
      </c>
      <c r="S123" s="1">
        <v>45976</v>
      </c>
      <c r="U123">
        <v>1</v>
      </c>
      <c r="V123">
        <v>1</v>
      </c>
      <c r="W123">
        <v>1</v>
      </c>
    </row>
    <row r="124" spans="1:23" x14ac:dyDescent="0.4">
      <c r="A124" t="s">
        <v>657</v>
      </c>
      <c r="D124" s="1">
        <v>45971</v>
      </c>
      <c r="E124" t="s">
        <v>15</v>
      </c>
      <c r="I124" t="s">
        <v>96</v>
      </c>
      <c r="J124" t="s">
        <v>402</v>
      </c>
      <c r="M124" t="s">
        <v>656</v>
      </c>
      <c r="N124" t="e" vm="6">
        <v>#VALUE!</v>
      </c>
      <c r="O124" t="str" cm="1">
        <f t="array" aca="1" ref="O124" ca="1">_FV(N124,"Name")</f>
        <v>Netherlands</v>
      </c>
      <c r="P124" t="s">
        <v>11</v>
      </c>
      <c r="R124" t="s">
        <v>776</v>
      </c>
      <c r="S124" s="1">
        <v>45982</v>
      </c>
      <c r="U124">
        <v>1</v>
      </c>
      <c r="V124">
        <v>0</v>
      </c>
      <c r="W124">
        <v>0</v>
      </c>
    </row>
    <row r="125" spans="1:23" x14ac:dyDescent="0.4">
      <c r="A125" t="s">
        <v>79</v>
      </c>
      <c r="D125" s="1">
        <v>45971</v>
      </c>
      <c r="E125" t="s">
        <v>81</v>
      </c>
      <c r="F125" t="s">
        <v>15</v>
      </c>
      <c r="H125" s="1"/>
      <c r="I125" t="s">
        <v>96</v>
      </c>
      <c r="J125" t="s">
        <v>402</v>
      </c>
      <c r="M125" s="2" t="s">
        <v>80</v>
      </c>
      <c r="N125" t="e" vm="9">
        <v>#VALUE!</v>
      </c>
      <c r="O125" t="str" cm="1">
        <f t="array" aca="1" ref="O125" ca="1">_FV(N125,"Name")</f>
        <v>Germany</v>
      </c>
      <c r="P125" t="s">
        <v>26</v>
      </c>
      <c r="Q125" t="s">
        <v>18</v>
      </c>
      <c r="R125" t="s">
        <v>776</v>
      </c>
      <c r="S125" s="1">
        <v>45976</v>
      </c>
      <c r="U125">
        <v>1</v>
      </c>
      <c r="V125">
        <v>0</v>
      </c>
      <c r="W125">
        <v>0</v>
      </c>
    </row>
    <row r="126" spans="1:23" x14ac:dyDescent="0.4">
      <c r="A126" t="s">
        <v>690</v>
      </c>
      <c r="D126" s="1">
        <v>45971</v>
      </c>
      <c r="E126" t="s">
        <v>15</v>
      </c>
      <c r="F126" t="s">
        <v>691</v>
      </c>
      <c r="I126" t="s">
        <v>96</v>
      </c>
      <c r="J126" t="s">
        <v>402</v>
      </c>
      <c r="M126" t="s">
        <v>689</v>
      </c>
      <c r="N126" t="e" vm="4">
        <v>#VALUE!</v>
      </c>
      <c r="O126" t="str" cm="1">
        <f t="array" aca="1" ref="O126" ca="1">_FV(N126,"Name")</f>
        <v>France</v>
      </c>
      <c r="P126" t="s">
        <v>11</v>
      </c>
      <c r="R126" t="s">
        <v>776</v>
      </c>
      <c r="S126" s="1">
        <v>45984</v>
      </c>
      <c r="U126">
        <v>0</v>
      </c>
      <c r="V126">
        <v>0</v>
      </c>
      <c r="W126">
        <v>0</v>
      </c>
    </row>
    <row r="127" spans="1:23" x14ac:dyDescent="0.4">
      <c r="A127" t="s">
        <v>44</v>
      </c>
      <c r="D127" s="1">
        <v>45971</v>
      </c>
      <c r="E127" t="s">
        <v>15</v>
      </c>
      <c r="F127" t="s">
        <v>46</v>
      </c>
      <c r="G127">
        <v>1</v>
      </c>
      <c r="H127" s="1"/>
      <c r="I127" t="s">
        <v>96</v>
      </c>
      <c r="J127" t="s">
        <v>402</v>
      </c>
      <c r="M127" s="2" t="s">
        <v>45</v>
      </c>
      <c r="N127" t="e" vm="1">
        <v>#VALUE!</v>
      </c>
      <c r="O127" t="str" cm="1">
        <f t="array" aca="1" ref="O127" ca="1">_FV(N127,"Name")</f>
        <v>United States</v>
      </c>
      <c r="P127" t="s">
        <v>11</v>
      </c>
      <c r="R127" t="s">
        <v>776</v>
      </c>
      <c r="S127" s="1">
        <v>46010</v>
      </c>
      <c r="U127">
        <v>1</v>
      </c>
      <c r="V127">
        <v>0</v>
      </c>
      <c r="W127">
        <v>0</v>
      </c>
    </row>
    <row r="128" spans="1:23" x14ac:dyDescent="0.4">
      <c r="A128" t="s">
        <v>696</v>
      </c>
      <c r="D128" s="1">
        <v>45971</v>
      </c>
      <c r="E128" t="s">
        <v>15</v>
      </c>
      <c r="I128" t="s">
        <v>96</v>
      </c>
      <c r="J128" t="s">
        <v>402</v>
      </c>
      <c r="M128" t="s">
        <v>697</v>
      </c>
      <c r="N128" t="e" vm="14">
        <v>#VALUE!</v>
      </c>
      <c r="O128" t="str" cm="1">
        <f t="array" aca="1" ref="O128" ca="1">_FV(N128,"Name")</f>
        <v>Sweden</v>
      </c>
      <c r="P128" t="s">
        <v>26</v>
      </c>
      <c r="R128" t="s">
        <v>776</v>
      </c>
      <c r="S128" s="1">
        <v>45978</v>
      </c>
      <c r="U128">
        <v>1</v>
      </c>
      <c r="V128">
        <v>1</v>
      </c>
      <c r="W128">
        <v>0</v>
      </c>
    </row>
    <row r="129" spans="1:23" x14ac:dyDescent="0.4">
      <c r="A129" t="s">
        <v>29</v>
      </c>
      <c r="D129" s="1">
        <v>45971</v>
      </c>
      <c r="E129" t="s">
        <v>15</v>
      </c>
      <c r="F129" t="s">
        <v>15</v>
      </c>
      <c r="H129" s="1"/>
      <c r="I129" t="s">
        <v>96</v>
      </c>
      <c r="J129" t="s">
        <v>402</v>
      </c>
      <c r="M129" s="9" t="s">
        <v>30</v>
      </c>
      <c r="N129" t="e" vm="22">
        <v>#VALUE!</v>
      </c>
      <c r="O129" t="str" cm="1">
        <f t="array" aca="1" ref="O129" ca="1">_FV(N129,"Name")</f>
        <v>Portugal</v>
      </c>
      <c r="P129" t="s">
        <v>11</v>
      </c>
      <c r="Q129" t="s">
        <v>31</v>
      </c>
      <c r="R129" t="s">
        <v>776</v>
      </c>
      <c r="S129" s="1">
        <v>45978</v>
      </c>
      <c r="U129">
        <v>1</v>
      </c>
      <c r="V129">
        <v>0</v>
      </c>
      <c r="W129">
        <v>0</v>
      </c>
    </row>
    <row r="130" spans="1:23" x14ac:dyDescent="0.4">
      <c r="A130" t="s">
        <v>616</v>
      </c>
      <c r="D130" s="1">
        <v>45971</v>
      </c>
      <c r="E130" t="s">
        <v>40</v>
      </c>
      <c r="F130" t="s">
        <v>615</v>
      </c>
      <c r="I130" t="s">
        <v>96</v>
      </c>
      <c r="J130" t="s">
        <v>402</v>
      </c>
      <c r="M130" t="s">
        <v>614</v>
      </c>
      <c r="N130" t="e" vm="1">
        <v>#VALUE!</v>
      </c>
      <c r="O130" t="str" cm="1">
        <f t="array" aca="1" ref="O130" ca="1">_FV(N130,"Name")</f>
        <v>United States</v>
      </c>
      <c r="P130" t="s">
        <v>11</v>
      </c>
      <c r="R130" t="s">
        <v>776</v>
      </c>
      <c r="S130" s="1">
        <v>46053</v>
      </c>
      <c r="U130">
        <v>1</v>
      </c>
      <c r="V130">
        <v>1</v>
      </c>
      <c r="W130">
        <v>1</v>
      </c>
    </row>
    <row r="131" spans="1:23" x14ac:dyDescent="0.4">
      <c r="A131" t="s">
        <v>322</v>
      </c>
      <c r="D131" s="1">
        <v>45971</v>
      </c>
      <c r="E131" t="s">
        <v>15</v>
      </c>
      <c r="H131" t="s">
        <v>323</v>
      </c>
      <c r="I131" t="s">
        <v>96</v>
      </c>
      <c r="J131" t="s">
        <v>402</v>
      </c>
      <c r="M131" t="s">
        <v>321</v>
      </c>
      <c r="N131" t="e" vm="10">
        <v>#VALUE!</v>
      </c>
      <c r="O131" t="str" cm="1">
        <f t="array" aca="1" ref="O131" ca="1">_FV(N131,"Name")</f>
        <v>Canada</v>
      </c>
      <c r="P131" t="s">
        <v>11</v>
      </c>
      <c r="R131" t="s">
        <v>776</v>
      </c>
      <c r="S131" s="1">
        <v>45976</v>
      </c>
      <c r="U131">
        <v>1</v>
      </c>
      <c r="V131">
        <v>1</v>
      </c>
      <c r="W131">
        <v>1</v>
      </c>
    </row>
    <row r="132" spans="1:23" x14ac:dyDescent="0.4">
      <c r="A132" t="s">
        <v>289</v>
      </c>
      <c r="D132" s="1">
        <v>45971</v>
      </c>
      <c r="E132" t="s">
        <v>15</v>
      </c>
      <c r="I132" t="s">
        <v>96</v>
      </c>
      <c r="J132" t="s">
        <v>402</v>
      </c>
      <c r="M132" t="s">
        <v>290</v>
      </c>
      <c r="N132" t="e" vm="21">
        <v>#VALUE!</v>
      </c>
      <c r="O132" t="str" cm="1">
        <f t="array" aca="1" ref="O132" ca="1">_FV(N132,"Name")</f>
        <v>United Kingdom</v>
      </c>
      <c r="P132" t="s">
        <v>11</v>
      </c>
      <c r="R132" t="s">
        <v>776</v>
      </c>
      <c r="S132" s="1">
        <v>45989</v>
      </c>
      <c r="U132">
        <v>1</v>
      </c>
      <c r="V132">
        <v>0</v>
      </c>
      <c r="W132">
        <v>0</v>
      </c>
    </row>
    <row r="133" spans="1:23" x14ac:dyDescent="0.4">
      <c r="A133" t="s">
        <v>302</v>
      </c>
      <c r="D133" s="1">
        <v>45971</v>
      </c>
      <c r="E133" t="s">
        <v>15</v>
      </c>
      <c r="F133" t="s">
        <v>304</v>
      </c>
      <c r="I133" t="s">
        <v>96</v>
      </c>
      <c r="J133" t="s">
        <v>402</v>
      </c>
      <c r="M133" t="s">
        <v>303</v>
      </c>
      <c r="N133" t="e" vm="21">
        <v>#VALUE!</v>
      </c>
      <c r="O133" t="str" cm="1">
        <f t="array" aca="1" ref="O133" ca="1">_FV(N133,"Name")</f>
        <v>United Kingdom</v>
      </c>
      <c r="P133" t="s">
        <v>11</v>
      </c>
      <c r="R133" t="s">
        <v>776</v>
      </c>
      <c r="S133" s="1">
        <v>45980</v>
      </c>
      <c r="U133">
        <v>1</v>
      </c>
      <c r="V133">
        <v>0</v>
      </c>
      <c r="W133">
        <v>0</v>
      </c>
    </row>
    <row r="134" spans="1:23" x14ac:dyDescent="0.4">
      <c r="A134" t="s">
        <v>324</v>
      </c>
      <c r="D134" s="1">
        <v>45971</v>
      </c>
      <c r="E134" t="s">
        <v>40</v>
      </c>
      <c r="F134" t="s">
        <v>325</v>
      </c>
      <c r="I134" t="s">
        <v>96</v>
      </c>
      <c r="J134" t="s">
        <v>402</v>
      </c>
      <c r="M134" t="s">
        <v>83</v>
      </c>
      <c r="N134" t="e" vm="1">
        <v>#VALUE!</v>
      </c>
      <c r="O134" t="str" cm="1">
        <f t="array" aca="1" ref="O134" ca="1">_FV(N134,"Name")</f>
        <v>United States</v>
      </c>
      <c r="R134" t="s">
        <v>776</v>
      </c>
      <c r="S134" s="1">
        <v>45973</v>
      </c>
      <c r="U134">
        <v>1</v>
      </c>
      <c r="V134">
        <v>0</v>
      </c>
      <c r="W134">
        <v>0</v>
      </c>
    </row>
    <row r="135" spans="1:23" x14ac:dyDescent="0.4">
      <c r="A135" t="s">
        <v>629</v>
      </c>
      <c r="D135" s="1">
        <v>45971</v>
      </c>
      <c r="E135" t="s">
        <v>40</v>
      </c>
      <c r="F135" t="s">
        <v>631</v>
      </c>
      <c r="I135" t="s">
        <v>96</v>
      </c>
      <c r="J135" t="s">
        <v>402</v>
      </c>
      <c r="M135" t="s">
        <v>630</v>
      </c>
      <c r="N135" t="e" vm="1">
        <v>#VALUE!</v>
      </c>
      <c r="O135" t="str" cm="1">
        <f t="array" aca="1" ref="O135" ca="1">_FV(N135,"Name")</f>
        <v>United States</v>
      </c>
      <c r="P135" t="s">
        <v>11</v>
      </c>
      <c r="R135" t="s">
        <v>776</v>
      </c>
      <c r="S135" s="1">
        <v>45976</v>
      </c>
      <c r="U135">
        <v>1</v>
      </c>
      <c r="V135">
        <v>1</v>
      </c>
      <c r="W135">
        <v>1</v>
      </c>
    </row>
    <row r="136" spans="1:23" x14ac:dyDescent="0.4">
      <c r="A136" t="s">
        <v>209</v>
      </c>
      <c r="D136" s="1">
        <v>45971</v>
      </c>
      <c r="E136" t="s">
        <v>40</v>
      </c>
      <c r="I136" t="s">
        <v>96</v>
      </c>
      <c r="J136" t="s">
        <v>402</v>
      </c>
      <c r="M136" t="s">
        <v>208</v>
      </c>
      <c r="N136" t="e" vm="3">
        <v>#VALUE!</v>
      </c>
      <c r="O136" t="str" cm="1">
        <f t="array" aca="1" ref="O136" ca="1">_FV(N136,"Name")</f>
        <v>Japan</v>
      </c>
      <c r="P136" t="s">
        <v>11</v>
      </c>
      <c r="R136" t="s">
        <v>776</v>
      </c>
      <c r="S136" s="1">
        <v>45991</v>
      </c>
      <c r="U136">
        <v>1</v>
      </c>
      <c r="V136">
        <v>0</v>
      </c>
      <c r="W136">
        <v>0</v>
      </c>
    </row>
    <row r="137" spans="1:23" x14ac:dyDescent="0.4">
      <c r="A137" t="s">
        <v>301</v>
      </c>
      <c r="D137" s="1">
        <v>45971</v>
      </c>
      <c r="E137" t="s">
        <v>15</v>
      </c>
      <c r="I137" t="s">
        <v>96</v>
      </c>
      <c r="J137" t="s">
        <v>403</v>
      </c>
      <c r="M137" t="s">
        <v>300</v>
      </c>
      <c r="N137" t="e" vm="23">
        <v>#VALUE!</v>
      </c>
      <c r="O137" t="str" cm="1">
        <f t="array" aca="1" ref="O137" ca="1">_FV(N137,"Name")</f>
        <v>Finland</v>
      </c>
      <c r="P137" t="s">
        <v>11</v>
      </c>
      <c r="R137" t="s">
        <v>776</v>
      </c>
      <c r="S137" s="1">
        <v>45981</v>
      </c>
      <c r="U137">
        <v>1</v>
      </c>
      <c r="V137">
        <v>1</v>
      </c>
      <c r="W137">
        <v>1</v>
      </c>
    </row>
    <row r="138" spans="1:23" x14ac:dyDescent="0.4">
      <c r="A138" t="s">
        <v>306</v>
      </c>
      <c r="C138" t="s">
        <v>392</v>
      </c>
      <c r="D138" s="1">
        <v>45971</v>
      </c>
      <c r="E138" t="s">
        <v>15</v>
      </c>
      <c r="F138" t="s">
        <v>391</v>
      </c>
      <c r="H138" s="2" t="s">
        <v>307</v>
      </c>
      <c r="I138" t="s">
        <v>96</v>
      </c>
      <c r="J138" t="s">
        <v>402</v>
      </c>
      <c r="M138" t="s">
        <v>305</v>
      </c>
      <c r="N138" t="e" vm="23">
        <v>#VALUE!</v>
      </c>
      <c r="O138" t="str" cm="1">
        <f t="array" aca="1" ref="O138" ca="1">_FV(N138,"Name")</f>
        <v>Finland</v>
      </c>
      <c r="P138" t="s">
        <v>11</v>
      </c>
      <c r="R138" t="s">
        <v>776</v>
      </c>
      <c r="S138" s="1">
        <v>45978</v>
      </c>
      <c r="U138">
        <v>1</v>
      </c>
      <c r="V138">
        <v>0</v>
      </c>
      <c r="W138">
        <v>1</v>
      </c>
    </row>
    <row r="139" spans="1:23" x14ac:dyDescent="0.4">
      <c r="A139" t="s">
        <v>245</v>
      </c>
      <c r="D139" s="1">
        <v>45971</v>
      </c>
      <c r="E139" t="s">
        <v>15</v>
      </c>
      <c r="I139" t="s">
        <v>96</v>
      </c>
      <c r="J139" t="s">
        <v>402</v>
      </c>
      <c r="M139" t="s">
        <v>246</v>
      </c>
      <c r="N139" t="e" vm="15">
        <v>#VALUE!</v>
      </c>
      <c r="O139" t="str" cm="1">
        <f t="array" aca="1" ref="O139" ca="1">_FV(N139,"Name")</f>
        <v>Switzerland</v>
      </c>
      <c r="P139" t="s">
        <v>26</v>
      </c>
      <c r="R139" t="s">
        <v>776</v>
      </c>
      <c r="S139" s="1">
        <v>45977</v>
      </c>
      <c r="U139">
        <v>1</v>
      </c>
      <c r="V139">
        <v>0</v>
      </c>
      <c r="W139">
        <v>0</v>
      </c>
    </row>
    <row r="140" spans="1:23" x14ac:dyDescent="0.4">
      <c r="A140" t="s">
        <v>320</v>
      </c>
      <c r="D140" s="1">
        <v>45971</v>
      </c>
      <c r="E140" t="s">
        <v>15</v>
      </c>
      <c r="I140" t="s">
        <v>96</v>
      </c>
      <c r="J140" t="s">
        <v>402</v>
      </c>
      <c r="M140" t="s">
        <v>319</v>
      </c>
      <c r="N140" t="e" vm="16">
        <v>#VALUE!</v>
      </c>
      <c r="O140" t="str" cm="1">
        <f t="array" aca="1" ref="O140" ca="1">_FV(N140,"Name")</f>
        <v>Brazil</v>
      </c>
      <c r="P140" t="s">
        <v>11</v>
      </c>
      <c r="R140" t="s">
        <v>776</v>
      </c>
      <c r="S140" s="1">
        <v>45976</v>
      </c>
      <c r="U140">
        <v>1</v>
      </c>
      <c r="V140">
        <v>0</v>
      </c>
      <c r="W140">
        <v>0</v>
      </c>
    </row>
    <row r="141" spans="1:23" x14ac:dyDescent="0.4">
      <c r="A141" t="s">
        <v>109</v>
      </c>
      <c r="D141" s="1">
        <v>45971</v>
      </c>
      <c r="E141" t="s">
        <v>40</v>
      </c>
      <c r="F141" t="s">
        <v>150</v>
      </c>
      <c r="H141" s="1"/>
      <c r="I141" t="s">
        <v>96</v>
      </c>
      <c r="J141" t="s">
        <v>402</v>
      </c>
      <c r="M141" s="2" t="s">
        <v>110</v>
      </c>
      <c r="N141" t="e" vm="1">
        <v>#VALUE!</v>
      </c>
      <c r="O141" t="str" cm="1">
        <f t="array" aca="1" ref="O141" ca="1">_FV(N141,"Name")</f>
        <v>United States</v>
      </c>
      <c r="P141" t="s">
        <v>11</v>
      </c>
      <c r="R141" t="s">
        <v>776</v>
      </c>
      <c r="S141" s="1">
        <v>45976</v>
      </c>
      <c r="U141">
        <v>1</v>
      </c>
      <c r="V141">
        <v>0</v>
      </c>
      <c r="W141">
        <v>1</v>
      </c>
    </row>
    <row r="142" spans="1:23" x14ac:dyDescent="0.4">
      <c r="A142" t="s">
        <v>360</v>
      </c>
      <c r="C142" t="s">
        <v>361</v>
      </c>
      <c r="D142" s="1">
        <v>45971</v>
      </c>
      <c r="E142" t="s">
        <v>40</v>
      </c>
      <c r="I142" t="s">
        <v>96</v>
      </c>
      <c r="J142" t="s">
        <v>402</v>
      </c>
      <c r="M142" t="s">
        <v>359</v>
      </c>
      <c r="N142" t="e" vm="22">
        <v>#VALUE!</v>
      </c>
      <c r="O142" t="str" cm="1">
        <f t="array" aca="1" ref="O142" ca="1">_FV(N142,"Name")</f>
        <v>Portugal</v>
      </c>
      <c r="P142" t="s">
        <v>11</v>
      </c>
      <c r="R142" t="s">
        <v>776</v>
      </c>
      <c r="S142" s="1">
        <v>45982</v>
      </c>
      <c r="U142">
        <v>1</v>
      </c>
      <c r="V142">
        <v>0</v>
      </c>
      <c r="W142">
        <v>0</v>
      </c>
    </row>
    <row r="143" spans="1:23" x14ac:dyDescent="0.4">
      <c r="A143" t="s">
        <v>356</v>
      </c>
      <c r="D143" s="1">
        <v>45971</v>
      </c>
      <c r="E143" t="s">
        <v>358</v>
      </c>
      <c r="I143" t="s">
        <v>96</v>
      </c>
      <c r="J143" t="s">
        <v>402</v>
      </c>
      <c r="M143" t="s">
        <v>354</v>
      </c>
      <c r="N143" t="e" vm="1">
        <v>#VALUE!</v>
      </c>
      <c r="O143" t="str" cm="1">
        <f t="array" aca="1" ref="O143" ca="1">_FV(N143,"Name")</f>
        <v>United States</v>
      </c>
      <c r="P143" t="s">
        <v>11</v>
      </c>
      <c r="R143" t="s">
        <v>776</v>
      </c>
      <c r="S143" s="1">
        <v>45976</v>
      </c>
      <c r="U143">
        <v>1</v>
      </c>
      <c r="V143">
        <v>1</v>
      </c>
      <c r="W143">
        <v>1</v>
      </c>
    </row>
    <row r="144" spans="1:23" x14ac:dyDescent="0.4">
      <c r="A144" t="s">
        <v>348</v>
      </c>
      <c r="C144" t="s">
        <v>351</v>
      </c>
      <c r="D144" s="1">
        <v>45971</v>
      </c>
      <c r="E144" t="s">
        <v>350</v>
      </c>
      <c r="I144" t="s">
        <v>96</v>
      </c>
      <c r="J144" t="s">
        <v>402</v>
      </c>
      <c r="M144" t="s">
        <v>349</v>
      </c>
      <c r="N144" t="e" vm="1">
        <v>#VALUE!</v>
      </c>
      <c r="O144" t="str" cm="1">
        <f t="array" aca="1" ref="O144" ca="1">_FV(N144,"Name")</f>
        <v>United States</v>
      </c>
      <c r="P144" t="s">
        <v>11</v>
      </c>
      <c r="R144" t="s">
        <v>776</v>
      </c>
      <c r="S144" s="1">
        <v>45975</v>
      </c>
      <c r="U144">
        <v>1</v>
      </c>
      <c r="V144">
        <v>0</v>
      </c>
      <c r="W144">
        <v>1</v>
      </c>
    </row>
    <row r="145" spans="1:23" x14ac:dyDescent="0.4">
      <c r="A145" t="s">
        <v>286</v>
      </c>
      <c r="D145" s="1">
        <v>45971</v>
      </c>
      <c r="E145" t="s">
        <v>15</v>
      </c>
      <c r="I145" t="s">
        <v>96</v>
      </c>
      <c r="J145" t="s">
        <v>402</v>
      </c>
      <c r="M145" t="s">
        <v>285</v>
      </c>
      <c r="N145" t="e" vm="12">
        <v>#VALUE!</v>
      </c>
      <c r="O145" t="str" cm="1">
        <f t="array" aca="1" ref="O145" ca="1">_FV(N145,"Name")</f>
        <v>Italy</v>
      </c>
      <c r="P145" t="s">
        <v>26</v>
      </c>
      <c r="R145" t="s">
        <v>776</v>
      </c>
      <c r="S145" s="1">
        <v>45981</v>
      </c>
      <c r="U145">
        <v>1</v>
      </c>
      <c r="V145">
        <v>0</v>
      </c>
      <c r="W145">
        <v>0</v>
      </c>
    </row>
    <row r="146" spans="1:23" x14ac:dyDescent="0.4">
      <c r="A146" t="s">
        <v>298</v>
      </c>
      <c r="D146" s="1">
        <v>45971</v>
      </c>
      <c r="E146" t="s">
        <v>15</v>
      </c>
      <c r="H146" t="s">
        <v>299</v>
      </c>
      <c r="I146" t="s">
        <v>96</v>
      </c>
      <c r="J146" t="s">
        <v>402</v>
      </c>
      <c r="M146" t="s">
        <v>297</v>
      </c>
      <c r="N146" t="e" vm="24">
        <v>#VALUE!</v>
      </c>
      <c r="O146" t="str" cm="1">
        <f t="array" aca="1" ref="O146" ca="1">_FV(N146,"Name")</f>
        <v>Norway</v>
      </c>
      <c r="P146" t="s">
        <v>11</v>
      </c>
      <c r="R146" t="s">
        <v>776</v>
      </c>
      <c r="S146" s="1">
        <v>45981</v>
      </c>
      <c r="U146">
        <v>1</v>
      </c>
      <c r="V146">
        <v>1</v>
      </c>
      <c r="W146">
        <v>1</v>
      </c>
    </row>
    <row r="147" spans="1:23" x14ac:dyDescent="0.4">
      <c r="A147" t="s">
        <v>506</v>
      </c>
      <c r="D147" s="1">
        <v>45971</v>
      </c>
      <c r="E147" t="s">
        <v>504</v>
      </c>
      <c r="I147" t="s">
        <v>96</v>
      </c>
      <c r="J147" t="s">
        <v>402</v>
      </c>
      <c r="M147" t="s">
        <v>505</v>
      </c>
      <c r="N147" t="e" vm="1">
        <v>#VALUE!</v>
      </c>
      <c r="O147" t="str" cm="1">
        <f t="array" aca="1" ref="O147" ca="1">_FV(N147,"Name")</f>
        <v>United States</v>
      </c>
      <c r="P147" t="s">
        <v>11</v>
      </c>
      <c r="R147" t="s">
        <v>776</v>
      </c>
      <c r="S147" s="1">
        <v>45975</v>
      </c>
      <c r="U147">
        <v>1</v>
      </c>
      <c r="V147">
        <v>1</v>
      </c>
      <c r="W147">
        <v>1</v>
      </c>
    </row>
    <row r="148" spans="1:23" x14ac:dyDescent="0.4">
      <c r="A148" t="s">
        <v>649</v>
      </c>
      <c r="C148" t="s">
        <v>653</v>
      </c>
      <c r="D148" s="1">
        <v>45971</v>
      </c>
      <c r="E148" t="s">
        <v>15</v>
      </c>
      <c r="I148" t="s">
        <v>96</v>
      </c>
      <c r="J148" t="s">
        <v>402</v>
      </c>
      <c r="M148" t="s">
        <v>652</v>
      </c>
      <c r="N148" t="e" vm="25">
        <v>#VALUE!</v>
      </c>
      <c r="O148" t="str" cm="1">
        <f t="array" aca="1" ref="O148" ca="1">_FV(N148,"Name")</f>
        <v>Mexico</v>
      </c>
      <c r="R148" t="s">
        <v>776</v>
      </c>
      <c r="S148" s="1">
        <v>45982</v>
      </c>
      <c r="U148">
        <v>1</v>
      </c>
      <c r="V148">
        <v>0</v>
      </c>
      <c r="W148">
        <v>0</v>
      </c>
    </row>
    <row r="149" spans="1:23" x14ac:dyDescent="0.4">
      <c r="A149" t="s">
        <v>510</v>
      </c>
      <c r="C149" t="s">
        <v>512</v>
      </c>
      <c r="D149" s="1">
        <v>45971</v>
      </c>
      <c r="E149" t="s">
        <v>511</v>
      </c>
      <c r="H149">
        <v>1</v>
      </c>
      <c r="I149" t="s">
        <v>96</v>
      </c>
      <c r="J149" t="s">
        <v>402</v>
      </c>
      <c r="M149" t="s">
        <v>513</v>
      </c>
      <c r="N149" t="e" vm="1">
        <v>#VALUE!</v>
      </c>
      <c r="O149" t="str" cm="1">
        <f t="array" aca="1" ref="O149" ca="1">_FV(N149,"Name")</f>
        <v>United States</v>
      </c>
      <c r="P149" t="s">
        <v>11</v>
      </c>
      <c r="R149" t="s">
        <v>776</v>
      </c>
      <c r="S149" s="1">
        <v>45976</v>
      </c>
      <c r="U149">
        <v>1</v>
      </c>
      <c r="V149">
        <v>0</v>
      </c>
      <c r="W149">
        <v>0</v>
      </c>
    </row>
    <row r="150" spans="1:23" x14ac:dyDescent="0.4">
      <c r="A150" t="s">
        <v>35</v>
      </c>
      <c r="D150" s="1">
        <v>45971</v>
      </c>
      <c r="F150" t="s">
        <v>47</v>
      </c>
      <c r="G150">
        <v>1</v>
      </c>
      <c r="H150" s="1"/>
      <c r="I150" t="s">
        <v>96</v>
      </c>
      <c r="J150" t="s">
        <v>402</v>
      </c>
      <c r="K150" t="s">
        <v>309</v>
      </c>
      <c r="L150" s="1">
        <v>45976</v>
      </c>
      <c r="M150" s="2" t="s">
        <v>36</v>
      </c>
      <c r="N150" t="e" vm="4">
        <v>#VALUE!</v>
      </c>
      <c r="O150" t="str" cm="1">
        <f t="array" aca="1" ref="O150" ca="1">_FV(N150,"Name")</f>
        <v>France</v>
      </c>
      <c r="P150" t="s">
        <v>37</v>
      </c>
      <c r="R150" t="s">
        <v>776</v>
      </c>
      <c r="S150" s="1">
        <v>45971</v>
      </c>
      <c r="U150">
        <v>1</v>
      </c>
      <c r="V150">
        <v>1</v>
      </c>
      <c r="W150">
        <v>0</v>
      </c>
    </row>
    <row r="151" spans="1:23" x14ac:dyDescent="0.4">
      <c r="A151" t="s">
        <v>739</v>
      </c>
      <c r="C151" t="s">
        <v>745</v>
      </c>
      <c r="D151" s="1">
        <v>45971</v>
      </c>
      <c r="E151" t="s">
        <v>740</v>
      </c>
      <c r="I151" t="s">
        <v>96</v>
      </c>
      <c r="J151" t="s">
        <v>402</v>
      </c>
      <c r="M151" t="s">
        <v>741</v>
      </c>
      <c r="N151" t="e" vm="9">
        <v>#VALUE!</v>
      </c>
      <c r="O151" t="str" cm="1">
        <f t="array" aca="1" ref="O151" ca="1">_FV(N151,"Name")</f>
        <v>Germany</v>
      </c>
      <c r="P151" t="s">
        <v>26</v>
      </c>
      <c r="R151" t="s">
        <v>776</v>
      </c>
      <c r="S151" s="1">
        <v>45979</v>
      </c>
      <c r="U151">
        <v>1</v>
      </c>
      <c r="V151">
        <v>0</v>
      </c>
      <c r="W151">
        <v>0</v>
      </c>
    </row>
    <row r="152" spans="1:23" x14ac:dyDescent="0.4">
      <c r="A152" s="4" t="s">
        <v>747</v>
      </c>
      <c r="C152" t="s">
        <v>777</v>
      </c>
      <c r="D152" s="1">
        <v>45971</v>
      </c>
      <c r="E152" s="2" t="s">
        <v>749</v>
      </c>
      <c r="G152">
        <v>1</v>
      </c>
      <c r="I152" t="s">
        <v>96</v>
      </c>
      <c r="J152" t="s">
        <v>402</v>
      </c>
      <c r="K152" t="s">
        <v>309</v>
      </c>
      <c r="L152" s="1">
        <v>45986</v>
      </c>
      <c r="M152" t="s">
        <v>748</v>
      </c>
      <c r="N152" t="e" vm="1">
        <v>#VALUE!</v>
      </c>
      <c r="O152" t="str" cm="1">
        <f t="array" aca="1" ref="O152" ca="1">_FV(N152,"Name")</f>
        <v>United States</v>
      </c>
      <c r="P152" t="s">
        <v>11</v>
      </c>
      <c r="R152" t="s">
        <v>776</v>
      </c>
      <c r="S152" s="1">
        <v>45982</v>
      </c>
      <c r="U152">
        <v>1</v>
      </c>
      <c r="V152">
        <v>0</v>
      </c>
      <c r="W152">
        <v>0</v>
      </c>
    </row>
    <row r="153" spans="1:23" x14ac:dyDescent="0.4">
      <c r="A153" s="4" t="s">
        <v>164</v>
      </c>
      <c r="D153" s="1">
        <v>45976</v>
      </c>
      <c r="E153" t="s">
        <v>15</v>
      </c>
      <c r="G153">
        <v>2</v>
      </c>
      <c r="H153" s="7" t="s">
        <v>166</v>
      </c>
      <c r="I153" t="s">
        <v>96</v>
      </c>
      <c r="J153" t="s">
        <v>402</v>
      </c>
      <c r="K153" t="s">
        <v>309</v>
      </c>
      <c r="L153" s="1">
        <v>45986</v>
      </c>
      <c r="M153" s="2" t="s">
        <v>165</v>
      </c>
      <c r="N153" t="e" vm="21">
        <v>#VALUE!</v>
      </c>
      <c r="O153" t="str" cm="1">
        <f t="array" aca="1" ref="O153" ca="1">_FV(N153,"Name")</f>
        <v>United Kingdom</v>
      </c>
      <c r="P153" t="s">
        <v>11</v>
      </c>
      <c r="R153" t="s">
        <v>776</v>
      </c>
      <c r="S153" s="1">
        <v>45982</v>
      </c>
      <c r="U153">
        <v>1</v>
      </c>
      <c r="V153">
        <v>0</v>
      </c>
      <c r="W153">
        <v>0</v>
      </c>
    </row>
    <row r="154" spans="1:23" x14ac:dyDescent="0.4">
      <c r="A154" s="4" t="s">
        <v>138</v>
      </c>
      <c r="D154" s="1">
        <v>45976</v>
      </c>
      <c r="E154" t="s">
        <v>15</v>
      </c>
      <c r="G154">
        <v>1</v>
      </c>
      <c r="I154" t="s">
        <v>96</v>
      </c>
      <c r="J154" t="s">
        <v>402</v>
      </c>
      <c r="K154" t="s">
        <v>309</v>
      </c>
      <c r="L154" s="1">
        <v>45986</v>
      </c>
      <c r="M154" s="2" t="s">
        <v>139</v>
      </c>
      <c r="N154" t="e" vm="25">
        <v>#VALUE!</v>
      </c>
      <c r="O154" t="str" cm="1">
        <f t="array" aca="1" ref="O154" ca="1">_FV(N154,"Name")</f>
        <v>Mexico</v>
      </c>
      <c r="P154" t="s">
        <v>11</v>
      </c>
      <c r="R154" t="s">
        <v>776</v>
      </c>
      <c r="S154" s="1">
        <v>45986</v>
      </c>
      <c r="U154">
        <v>1</v>
      </c>
      <c r="V154">
        <v>1</v>
      </c>
      <c r="W154">
        <v>1</v>
      </c>
    </row>
    <row r="155" spans="1:23" x14ac:dyDescent="0.4">
      <c r="A155" s="4" t="s">
        <v>140</v>
      </c>
      <c r="C155" t="s">
        <v>633</v>
      </c>
      <c r="D155" s="1">
        <v>45976</v>
      </c>
      <c r="E155" t="s">
        <v>15</v>
      </c>
      <c r="G155">
        <v>2</v>
      </c>
      <c r="I155" t="s">
        <v>96</v>
      </c>
      <c r="J155" t="s">
        <v>402</v>
      </c>
      <c r="K155" t="s">
        <v>309</v>
      </c>
      <c r="L155" s="1">
        <v>45986</v>
      </c>
      <c r="M155" s="2" t="s">
        <v>141</v>
      </c>
      <c r="N155" t="e" vm="25">
        <v>#VALUE!</v>
      </c>
      <c r="O155" t="str" cm="1">
        <f t="array" aca="1" ref="O155" ca="1">_FV(N155,"Name")</f>
        <v>Mexico</v>
      </c>
      <c r="P155" t="s">
        <v>11</v>
      </c>
      <c r="R155" t="s">
        <v>776</v>
      </c>
      <c r="S155" s="1">
        <v>45989</v>
      </c>
      <c r="U155">
        <v>1</v>
      </c>
      <c r="V155">
        <v>0</v>
      </c>
      <c r="W155">
        <v>0</v>
      </c>
    </row>
    <row r="156" spans="1:23" x14ac:dyDescent="0.4">
      <c r="A156" t="s">
        <v>560</v>
      </c>
      <c r="D156" s="1">
        <v>45976</v>
      </c>
      <c r="E156" t="s">
        <v>40</v>
      </c>
      <c r="I156" t="s">
        <v>96</v>
      </c>
      <c r="J156" t="s">
        <v>402</v>
      </c>
      <c r="M156" t="s">
        <v>559</v>
      </c>
      <c r="N156" t="e" vm="1">
        <v>#VALUE!</v>
      </c>
      <c r="O156" t="str" cm="1">
        <f t="array" aca="1" ref="O156" ca="1">_FV(N156,"Name")</f>
        <v>United States</v>
      </c>
      <c r="P156" t="s">
        <v>11</v>
      </c>
      <c r="R156" t="s">
        <v>776</v>
      </c>
      <c r="S156" s="1">
        <v>46053</v>
      </c>
      <c r="U156">
        <v>1</v>
      </c>
      <c r="V156">
        <v>1</v>
      </c>
      <c r="W156">
        <v>1</v>
      </c>
    </row>
    <row r="157" spans="1:23" x14ac:dyDescent="0.4">
      <c r="A157" t="s">
        <v>693</v>
      </c>
      <c r="C157" t="s">
        <v>695</v>
      </c>
      <c r="D157" s="1">
        <v>45976</v>
      </c>
      <c r="E157" t="s">
        <v>15</v>
      </c>
      <c r="I157" t="s">
        <v>96</v>
      </c>
      <c r="J157" t="s">
        <v>402</v>
      </c>
      <c r="M157" t="s">
        <v>694</v>
      </c>
      <c r="N157" t="e" vm="26">
        <v>#VALUE!</v>
      </c>
      <c r="O157" t="str" cm="1">
        <f t="array" aca="1" ref="O157" ca="1">_FV(N157,"Name")</f>
        <v>Austria</v>
      </c>
      <c r="P157" t="s">
        <v>11</v>
      </c>
      <c r="R157" t="s">
        <v>776</v>
      </c>
      <c r="S157" s="1">
        <v>45984</v>
      </c>
      <c r="U157">
        <v>1</v>
      </c>
      <c r="V157">
        <v>0</v>
      </c>
      <c r="W157">
        <v>0</v>
      </c>
    </row>
    <row r="158" spans="1:23" x14ac:dyDescent="0.4">
      <c r="A158" t="s">
        <v>525</v>
      </c>
      <c r="D158" s="1">
        <v>45976</v>
      </c>
      <c r="E158" t="s">
        <v>526</v>
      </c>
      <c r="I158" t="s">
        <v>96</v>
      </c>
      <c r="J158" t="s">
        <v>402</v>
      </c>
      <c r="M158" t="s">
        <v>527</v>
      </c>
      <c r="N158" t="e" vm="1">
        <v>#VALUE!</v>
      </c>
      <c r="O158" t="str" cm="1">
        <f t="array" aca="1" ref="O158" ca="1">_FV(N158,"Name")</f>
        <v>United States</v>
      </c>
      <c r="P158" t="s">
        <v>11</v>
      </c>
      <c r="R158" t="s">
        <v>776</v>
      </c>
      <c r="S158" s="1">
        <v>46081</v>
      </c>
      <c r="U158">
        <v>1</v>
      </c>
      <c r="V158">
        <v>0</v>
      </c>
      <c r="W158">
        <v>0</v>
      </c>
    </row>
    <row r="159" spans="1:23" x14ac:dyDescent="0.4">
      <c r="A159" t="s">
        <v>531</v>
      </c>
      <c r="C159" t="s">
        <v>532</v>
      </c>
      <c r="D159" s="1">
        <v>45976</v>
      </c>
      <c r="E159" t="s">
        <v>533</v>
      </c>
      <c r="I159" t="s">
        <v>96</v>
      </c>
      <c r="J159" t="s">
        <v>402</v>
      </c>
      <c r="M159" t="s">
        <v>534</v>
      </c>
      <c r="N159" t="e" vm="1">
        <v>#VALUE!</v>
      </c>
      <c r="O159" t="str" cm="1">
        <f t="array" aca="1" ref="O159" ca="1">_FV(N159,"Name")</f>
        <v>United States</v>
      </c>
      <c r="P159" t="s">
        <v>11</v>
      </c>
      <c r="R159" t="s">
        <v>776</v>
      </c>
      <c r="S159" s="1">
        <v>46082</v>
      </c>
      <c r="U159">
        <v>1</v>
      </c>
      <c r="V159">
        <v>0</v>
      </c>
      <c r="W159">
        <v>1</v>
      </c>
    </row>
    <row r="160" spans="1:23" x14ac:dyDescent="0.4">
      <c r="A160" t="s">
        <v>635</v>
      </c>
      <c r="D160" s="1">
        <v>45976</v>
      </c>
      <c r="E160" t="s">
        <v>40</v>
      </c>
      <c r="F160" t="s">
        <v>580</v>
      </c>
      <c r="I160" t="s">
        <v>96</v>
      </c>
      <c r="J160" t="s">
        <v>402</v>
      </c>
      <c r="M160" t="s">
        <v>581</v>
      </c>
      <c r="N160" t="e" vm="1">
        <v>#VALUE!</v>
      </c>
      <c r="O160" t="str" cm="1">
        <f t="array" aca="1" ref="O160" ca="1">_FV(N160,"Name")</f>
        <v>United States</v>
      </c>
      <c r="P160" t="s">
        <v>11</v>
      </c>
      <c r="R160" t="s">
        <v>776</v>
      </c>
      <c r="S160" s="1">
        <v>45976</v>
      </c>
      <c r="U160">
        <v>1</v>
      </c>
      <c r="V160">
        <v>0</v>
      </c>
      <c r="W160">
        <v>1</v>
      </c>
    </row>
    <row r="161" spans="1:23" x14ac:dyDescent="0.4">
      <c r="A161" t="s">
        <v>594</v>
      </c>
      <c r="D161" s="1">
        <v>45976</v>
      </c>
      <c r="E161" t="s">
        <v>40</v>
      </c>
      <c r="F161" t="s">
        <v>595</v>
      </c>
      <c r="I161" t="s">
        <v>96</v>
      </c>
      <c r="J161" t="s">
        <v>402</v>
      </c>
      <c r="M161" t="s">
        <v>593</v>
      </c>
      <c r="N161" t="e" vm="1">
        <v>#VALUE!</v>
      </c>
      <c r="O161" t="str" cm="1">
        <f t="array" aca="1" ref="O161" ca="1">_FV(N161,"Name")</f>
        <v>United States</v>
      </c>
      <c r="P161" t="s">
        <v>11</v>
      </c>
      <c r="R161" t="s">
        <v>776</v>
      </c>
      <c r="S161" s="1">
        <v>45991</v>
      </c>
      <c r="U161">
        <v>1</v>
      </c>
      <c r="V161">
        <v>1</v>
      </c>
      <c r="W161">
        <v>1</v>
      </c>
    </row>
    <row r="162" spans="1:23" x14ac:dyDescent="0.4">
      <c r="A162" t="s">
        <v>458</v>
      </c>
      <c r="D162" s="1">
        <v>45976</v>
      </c>
      <c r="E162" t="s">
        <v>40</v>
      </c>
      <c r="F162" t="s">
        <v>459</v>
      </c>
      <c r="I162" t="s">
        <v>96</v>
      </c>
      <c r="J162" t="s">
        <v>402</v>
      </c>
      <c r="M162" t="s">
        <v>460</v>
      </c>
      <c r="N162" t="e" vm="1">
        <v>#VALUE!</v>
      </c>
      <c r="O162" t="str" cm="1">
        <f t="array" aca="1" ref="O162" ca="1">_FV(N162,"Name")</f>
        <v>United States</v>
      </c>
      <c r="P162" t="s">
        <v>11</v>
      </c>
      <c r="R162" t="s">
        <v>776</v>
      </c>
      <c r="S162" s="1">
        <v>45985</v>
      </c>
      <c r="U162">
        <v>1</v>
      </c>
      <c r="V162">
        <v>1</v>
      </c>
      <c r="W162">
        <v>1</v>
      </c>
    </row>
    <row r="163" spans="1:23" x14ac:dyDescent="0.4">
      <c r="A163" t="s">
        <v>107</v>
      </c>
      <c r="D163" s="1">
        <v>45976</v>
      </c>
      <c r="E163" t="s">
        <v>15</v>
      </c>
      <c r="H163" s="1"/>
      <c r="I163" t="s">
        <v>96</v>
      </c>
      <c r="J163" t="s">
        <v>402</v>
      </c>
      <c r="M163" t="s">
        <v>108</v>
      </c>
      <c r="N163" t="e" vm="5">
        <v>#VALUE!</v>
      </c>
      <c r="O163" t="str" cm="1">
        <f t="array" aca="1" ref="O163" ca="1">_FV(N163,"Name")</f>
        <v>Chile</v>
      </c>
      <c r="P163" t="s">
        <v>11</v>
      </c>
      <c r="R163" t="s">
        <v>776</v>
      </c>
      <c r="S163" s="1">
        <v>45981</v>
      </c>
      <c r="U163">
        <v>1</v>
      </c>
      <c r="V163">
        <v>0</v>
      </c>
      <c r="W163">
        <v>0</v>
      </c>
    </row>
    <row r="164" spans="1:23" x14ac:dyDescent="0.4">
      <c r="A164" t="s">
        <v>557</v>
      </c>
      <c r="D164" s="1">
        <v>45976</v>
      </c>
      <c r="E164" t="s">
        <v>40</v>
      </c>
      <c r="I164" t="s">
        <v>96</v>
      </c>
      <c r="J164" t="s">
        <v>404</v>
      </c>
      <c r="M164" t="s">
        <v>558</v>
      </c>
      <c r="N164" t="e" vm="27">
        <v>#VALUE!</v>
      </c>
      <c r="O164" t="str" cm="1">
        <f t="array" aca="1" ref="O164" ca="1">_FV(N164,"Name")</f>
        <v>Russia</v>
      </c>
      <c r="P164" t="s">
        <v>11</v>
      </c>
      <c r="R164" t="s">
        <v>776</v>
      </c>
      <c r="S164" s="1">
        <v>46022</v>
      </c>
      <c r="U164">
        <v>1</v>
      </c>
      <c r="V164">
        <v>0</v>
      </c>
      <c r="W164">
        <v>0</v>
      </c>
    </row>
    <row r="165" spans="1:23" x14ac:dyDescent="0.4">
      <c r="A165" t="s">
        <v>119</v>
      </c>
      <c r="D165" s="1">
        <v>45976</v>
      </c>
      <c r="E165" t="s">
        <v>15</v>
      </c>
      <c r="F165" t="s">
        <v>120</v>
      </c>
      <c r="I165" t="s">
        <v>96</v>
      </c>
      <c r="J165" t="s">
        <v>402</v>
      </c>
      <c r="L165" s="1"/>
      <c r="M165" s="2" t="s">
        <v>118</v>
      </c>
      <c r="N165" t="e" vm="7">
        <v>#VALUE!</v>
      </c>
      <c r="O165" t="str" cm="1">
        <f t="array" aca="1" ref="O165" ca="1">_FV(N165,"Name")</f>
        <v>Australia</v>
      </c>
      <c r="P165" t="s">
        <v>11</v>
      </c>
      <c r="R165" t="s">
        <v>776</v>
      </c>
      <c r="S165" s="1">
        <v>45988</v>
      </c>
      <c r="U165">
        <v>1</v>
      </c>
      <c r="V165">
        <v>0</v>
      </c>
      <c r="W165">
        <v>0</v>
      </c>
    </row>
    <row r="166" spans="1:23" x14ac:dyDescent="0.4">
      <c r="A166" s="4" t="s">
        <v>687</v>
      </c>
      <c r="B166" s="19"/>
      <c r="D166" s="1">
        <v>45976</v>
      </c>
      <c r="E166" t="s">
        <v>15</v>
      </c>
      <c r="I166" t="s">
        <v>96</v>
      </c>
      <c r="J166" t="s">
        <v>402</v>
      </c>
      <c r="K166" t="s">
        <v>309</v>
      </c>
      <c r="L166" s="1">
        <v>45986</v>
      </c>
      <c r="M166" t="s">
        <v>688</v>
      </c>
      <c r="N166" t="e" vm="12">
        <v>#VALUE!</v>
      </c>
      <c r="O166" t="str" cm="1">
        <f t="array" aca="1" ref="O166" ca="1">_FV(N166,"Name")</f>
        <v>Italy</v>
      </c>
      <c r="P166" t="s">
        <v>11</v>
      </c>
      <c r="R166" t="s">
        <v>776</v>
      </c>
      <c r="S166" s="1">
        <v>45984</v>
      </c>
      <c r="U166">
        <v>1</v>
      </c>
      <c r="V166">
        <v>0</v>
      </c>
      <c r="W166">
        <v>0</v>
      </c>
    </row>
    <row r="167" spans="1:23" x14ac:dyDescent="0.4">
      <c r="A167" t="s">
        <v>380</v>
      </c>
      <c r="D167" s="1">
        <v>45976</v>
      </c>
      <c r="E167" t="s">
        <v>15</v>
      </c>
      <c r="I167" t="s">
        <v>96</v>
      </c>
      <c r="J167" t="s">
        <v>402</v>
      </c>
      <c r="M167" t="s">
        <v>379</v>
      </c>
      <c r="N167" t="e" vm="9">
        <v>#VALUE!</v>
      </c>
      <c r="O167" t="str" cm="1">
        <f t="array" aca="1" ref="O167" ca="1">_FV(N167,"Name")</f>
        <v>Germany</v>
      </c>
      <c r="P167" t="s">
        <v>11</v>
      </c>
      <c r="R167" t="s">
        <v>776</v>
      </c>
      <c r="S167" s="1">
        <v>45985</v>
      </c>
      <c r="U167">
        <v>1</v>
      </c>
      <c r="V167">
        <v>0</v>
      </c>
      <c r="W167">
        <v>0</v>
      </c>
    </row>
    <row r="168" spans="1:23" x14ac:dyDescent="0.4">
      <c r="A168" t="s">
        <v>551</v>
      </c>
      <c r="C168" t="s">
        <v>552</v>
      </c>
      <c r="D168" s="1">
        <v>45976</v>
      </c>
      <c r="E168" t="s">
        <v>40</v>
      </c>
      <c r="F168" t="s">
        <v>553</v>
      </c>
      <c r="I168" t="s">
        <v>96</v>
      </c>
      <c r="J168" t="s">
        <v>402</v>
      </c>
      <c r="M168" t="s">
        <v>550</v>
      </c>
      <c r="N168" t="e" vm="1">
        <v>#VALUE!</v>
      </c>
      <c r="O168" t="str" cm="1">
        <f t="array" aca="1" ref="O168" ca="1">_FV(N168,"Name")</f>
        <v>United States</v>
      </c>
      <c r="P168" t="s">
        <v>11</v>
      </c>
      <c r="R168" t="s">
        <v>776</v>
      </c>
      <c r="S168" s="1">
        <v>45688</v>
      </c>
      <c r="U168">
        <v>1</v>
      </c>
      <c r="V168">
        <v>0</v>
      </c>
      <c r="W168">
        <v>1</v>
      </c>
    </row>
    <row r="169" spans="1:23" x14ac:dyDescent="0.4">
      <c r="A169" s="4" t="s">
        <v>698</v>
      </c>
      <c r="B169" s="19"/>
      <c r="C169" t="s">
        <v>701</v>
      </c>
      <c r="D169" s="1">
        <v>45981</v>
      </c>
      <c r="E169" t="s">
        <v>15</v>
      </c>
      <c r="F169" s="2" t="s">
        <v>699</v>
      </c>
      <c r="I169" t="s">
        <v>96</v>
      </c>
      <c r="J169" t="s">
        <v>402</v>
      </c>
      <c r="K169" t="s">
        <v>309</v>
      </c>
      <c r="L169" s="1">
        <v>45986</v>
      </c>
      <c r="M169" t="s">
        <v>700</v>
      </c>
      <c r="N169" t="e" vm="26">
        <v>#VALUE!</v>
      </c>
      <c r="O169" t="str" cm="1">
        <f t="array" aca="1" ref="O169" ca="1">_FV(N169,"Name")</f>
        <v>Austria</v>
      </c>
      <c r="P169" t="s">
        <v>11</v>
      </c>
      <c r="R169" t="s">
        <v>776</v>
      </c>
      <c r="S169" s="1">
        <v>45986</v>
      </c>
      <c r="U169">
        <v>1</v>
      </c>
      <c r="V169">
        <v>0</v>
      </c>
      <c r="W169">
        <v>0</v>
      </c>
    </row>
    <row r="170" spans="1:23" x14ac:dyDescent="0.4">
      <c r="A170" s="4" t="s">
        <v>658</v>
      </c>
      <c r="B170" s="19"/>
      <c r="C170" t="s">
        <v>659</v>
      </c>
      <c r="D170" s="1">
        <v>45981</v>
      </c>
      <c r="E170" t="s">
        <v>15</v>
      </c>
      <c r="G170">
        <v>3</v>
      </c>
      <c r="H170" s="2" t="s">
        <v>660</v>
      </c>
      <c r="I170" t="s">
        <v>96</v>
      </c>
      <c r="J170" t="s">
        <v>402</v>
      </c>
      <c r="K170" t="s">
        <v>309</v>
      </c>
      <c r="L170" s="1">
        <v>45992</v>
      </c>
      <c r="M170" t="s">
        <v>661</v>
      </c>
      <c r="N170" t="e" vm="15">
        <v>#VALUE!</v>
      </c>
      <c r="O170" t="str" cm="1">
        <f t="array" aca="1" ref="O170" ca="1">_FV(N170,"Name")</f>
        <v>Switzerland</v>
      </c>
      <c r="P170" t="s">
        <v>26</v>
      </c>
      <c r="R170" t="s">
        <v>776</v>
      </c>
      <c r="S170" s="1">
        <v>45992</v>
      </c>
      <c r="U170">
        <v>1</v>
      </c>
      <c r="V170">
        <v>0</v>
      </c>
      <c r="W170">
        <v>0</v>
      </c>
    </row>
    <row r="171" spans="1:23" x14ac:dyDescent="0.4">
      <c r="A171" s="4" t="s">
        <v>636</v>
      </c>
      <c r="C171" t="s">
        <v>639</v>
      </c>
      <c r="D171" s="1">
        <v>45981</v>
      </c>
      <c r="E171" t="s">
        <v>637</v>
      </c>
      <c r="I171" t="s">
        <v>96</v>
      </c>
      <c r="J171" t="s">
        <v>402</v>
      </c>
      <c r="K171" t="s">
        <v>309</v>
      </c>
      <c r="L171" s="1">
        <v>45992</v>
      </c>
      <c r="M171" t="s">
        <v>638</v>
      </c>
      <c r="N171" t="e" vm="1">
        <v>#VALUE!</v>
      </c>
      <c r="O171" t="str" cm="1">
        <f t="array" aca="1" ref="O171" ca="1">_FV(N171,"Name")</f>
        <v>United States</v>
      </c>
      <c r="P171" t="s">
        <v>26</v>
      </c>
      <c r="R171" t="s">
        <v>776</v>
      </c>
      <c r="S171" s="1">
        <v>45992</v>
      </c>
      <c r="U171">
        <v>1</v>
      </c>
      <c r="V171">
        <v>0</v>
      </c>
      <c r="W171">
        <v>1</v>
      </c>
    </row>
    <row r="172" spans="1:23" x14ac:dyDescent="0.4">
      <c r="A172" s="4" t="s">
        <v>157</v>
      </c>
      <c r="D172" s="1">
        <v>45981</v>
      </c>
      <c r="E172" t="s">
        <v>15</v>
      </c>
      <c r="G172">
        <v>1</v>
      </c>
      <c r="I172" t="s">
        <v>96</v>
      </c>
      <c r="J172" t="s">
        <v>402</v>
      </c>
      <c r="K172" t="s">
        <v>309</v>
      </c>
      <c r="L172" s="1">
        <v>45992</v>
      </c>
      <c r="M172" s="2" t="s">
        <v>158</v>
      </c>
      <c r="N172" t="e" vm="4">
        <v>#VALUE!</v>
      </c>
      <c r="O172" t="str" cm="1">
        <f t="array" aca="1" ref="O172" ca="1">_FV(N172,"Name")</f>
        <v>France</v>
      </c>
      <c r="P172" t="s">
        <v>26</v>
      </c>
      <c r="R172" t="s">
        <v>776</v>
      </c>
      <c r="S172" s="1">
        <v>45992</v>
      </c>
      <c r="U172">
        <v>1</v>
      </c>
      <c r="V172">
        <v>1</v>
      </c>
      <c r="W172">
        <v>0</v>
      </c>
    </row>
    <row r="173" spans="1:23" x14ac:dyDescent="0.4">
      <c r="A173" s="4" t="s">
        <v>153</v>
      </c>
      <c r="D173" s="1">
        <v>45981</v>
      </c>
      <c r="E173" t="s">
        <v>15</v>
      </c>
      <c r="G173">
        <v>1</v>
      </c>
      <c r="H173" s="7" t="s">
        <v>155</v>
      </c>
      <c r="I173" t="s">
        <v>96</v>
      </c>
      <c r="J173" t="s">
        <v>402</v>
      </c>
      <c r="K173" t="s">
        <v>309</v>
      </c>
      <c r="L173" s="1">
        <v>45992</v>
      </c>
      <c r="M173" s="2" t="s">
        <v>154</v>
      </c>
      <c r="N173" t="e" vm="4">
        <v>#VALUE!</v>
      </c>
      <c r="O173" t="str" cm="1">
        <f t="array" aca="1" ref="O173" ca="1">_FV(N173,"Name")</f>
        <v>France</v>
      </c>
      <c r="P173" t="s">
        <v>26</v>
      </c>
      <c r="R173" t="s">
        <v>776</v>
      </c>
      <c r="S173" s="1">
        <v>45991</v>
      </c>
      <c r="U173">
        <v>1</v>
      </c>
      <c r="V173">
        <v>1</v>
      </c>
      <c r="W173">
        <v>0</v>
      </c>
    </row>
    <row r="174" spans="1:23" x14ac:dyDescent="0.4">
      <c r="A174" s="4" t="s">
        <v>675</v>
      </c>
      <c r="D174" s="1">
        <v>45981</v>
      </c>
      <c r="E174" t="s">
        <v>15</v>
      </c>
      <c r="I174" t="s">
        <v>96</v>
      </c>
      <c r="J174" t="s">
        <v>402</v>
      </c>
      <c r="K174" t="s">
        <v>309</v>
      </c>
      <c r="L174" s="1">
        <v>45992</v>
      </c>
      <c r="M174" t="s">
        <v>676</v>
      </c>
      <c r="N174" t="e" vm="4">
        <v>#VALUE!</v>
      </c>
      <c r="O174" t="str" cm="1">
        <f t="array" aca="1" ref="O174" ca="1">_FV(N174,"Name")</f>
        <v>France</v>
      </c>
      <c r="P174" t="s">
        <v>11</v>
      </c>
      <c r="R174" t="s">
        <v>776</v>
      </c>
      <c r="S174" s="1">
        <v>45991</v>
      </c>
      <c r="U174">
        <v>1</v>
      </c>
      <c r="V174">
        <v>0</v>
      </c>
      <c r="W174">
        <v>0</v>
      </c>
    </row>
    <row r="175" spans="1:23" x14ac:dyDescent="0.4">
      <c r="A175" t="s">
        <v>423</v>
      </c>
      <c r="D175" s="1">
        <v>45981</v>
      </c>
      <c r="E175" t="s">
        <v>425</v>
      </c>
      <c r="F175" t="s">
        <v>424</v>
      </c>
      <c r="I175" t="s">
        <v>96</v>
      </c>
      <c r="J175" t="s">
        <v>402</v>
      </c>
      <c r="M175" t="s">
        <v>426</v>
      </c>
      <c r="N175" t="e" vm="1">
        <v>#VALUE!</v>
      </c>
      <c r="O175" t="str" cm="1">
        <f t="array" aca="1" ref="O175" ca="1">_FV(N175,"Name")</f>
        <v>United States</v>
      </c>
      <c r="P175" t="s">
        <v>11</v>
      </c>
      <c r="R175" t="s">
        <v>776</v>
      </c>
      <c r="S175" s="1">
        <v>45992</v>
      </c>
      <c r="U175">
        <v>1</v>
      </c>
      <c r="V175">
        <v>1</v>
      </c>
      <c r="W175">
        <v>1</v>
      </c>
    </row>
    <row r="176" spans="1:23" x14ac:dyDescent="0.4">
      <c r="A176" s="4" t="s">
        <v>292</v>
      </c>
      <c r="D176" s="1">
        <v>45981</v>
      </c>
      <c r="E176" t="s">
        <v>15</v>
      </c>
      <c r="H176" t="s">
        <v>293</v>
      </c>
      <c r="I176" t="s">
        <v>96</v>
      </c>
      <c r="J176" t="s">
        <v>402</v>
      </c>
      <c r="K176" t="s">
        <v>309</v>
      </c>
      <c r="L176" s="1">
        <v>45992</v>
      </c>
      <c r="M176" t="s">
        <v>291</v>
      </c>
      <c r="N176" t="e" vm="7">
        <v>#VALUE!</v>
      </c>
      <c r="O176" t="str" cm="1">
        <f t="array" aca="1" ref="O176" ca="1">_FV(N176,"Name")</f>
        <v>Australia</v>
      </c>
      <c r="P176" t="s">
        <v>11</v>
      </c>
      <c r="R176" t="s">
        <v>776</v>
      </c>
      <c r="S176" s="1">
        <v>45989</v>
      </c>
      <c r="U176">
        <v>1</v>
      </c>
      <c r="V176">
        <v>0</v>
      </c>
      <c r="W176">
        <v>0</v>
      </c>
    </row>
    <row r="177" spans="1:23" x14ac:dyDescent="0.4">
      <c r="A177" s="4" t="s">
        <v>238</v>
      </c>
      <c r="D177" s="1">
        <v>45981</v>
      </c>
      <c r="E177" t="s">
        <v>40</v>
      </c>
      <c r="F177" s="2" t="s">
        <v>240</v>
      </c>
      <c r="I177" t="s">
        <v>96</v>
      </c>
      <c r="J177" t="s">
        <v>402</v>
      </c>
      <c r="K177" t="s">
        <v>309</v>
      </c>
      <c r="L177" s="1">
        <v>45992</v>
      </c>
      <c r="M177" t="s">
        <v>239</v>
      </c>
      <c r="N177" t="e" vm="5">
        <v>#VALUE!</v>
      </c>
      <c r="O177" t="str" cm="1">
        <f t="array" aca="1" ref="O177" ca="1">_FV(N177,"Name")</f>
        <v>Chile</v>
      </c>
      <c r="P177" t="s">
        <v>11</v>
      </c>
      <c r="Q177" t="s">
        <v>64</v>
      </c>
      <c r="R177" t="s">
        <v>776</v>
      </c>
      <c r="S177" s="1">
        <v>45992</v>
      </c>
      <c r="U177">
        <v>1</v>
      </c>
      <c r="V177">
        <v>0</v>
      </c>
      <c r="W177">
        <v>0</v>
      </c>
    </row>
    <row r="178" spans="1:23" x14ac:dyDescent="0.4">
      <c r="A178" t="s">
        <v>500</v>
      </c>
      <c r="D178" s="1">
        <v>45981</v>
      </c>
      <c r="E178" t="s">
        <v>40</v>
      </c>
      <c r="G178">
        <v>1</v>
      </c>
      <c r="I178" t="s">
        <v>96</v>
      </c>
      <c r="J178" t="s">
        <v>402</v>
      </c>
      <c r="M178" t="s">
        <v>501</v>
      </c>
      <c r="N178" t="e" vm="5">
        <v>#VALUE!</v>
      </c>
      <c r="O178" t="str" cm="1">
        <f t="array" aca="1" ref="O178" ca="1">_FV(N178,"Name")</f>
        <v>Chile</v>
      </c>
      <c r="P178" t="s">
        <v>11</v>
      </c>
      <c r="R178" t="s">
        <v>776</v>
      </c>
      <c r="S178" s="1">
        <v>45997</v>
      </c>
      <c r="U178">
        <v>1</v>
      </c>
      <c r="V178">
        <v>0</v>
      </c>
      <c r="W178">
        <v>0</v>
      </c>
    </row>
    <row r="179" spans="1:23" x14ac:dyDescent="0.4">
      <c r="A179" s="4" t="s">
        <v>578</v>
      </c>
      <c r="D179" s="1">
        <v>45981</v>
      </c>
      <c r="E179" t="s">
        <v>40</v>
      </c>
      <c r="F179" t="s">
        <v>579</v>
      </c>
      <c r="I179" t="s">
        <v>96</v>
      </c>
      <c r="J179" t="s">
        <v>403</v>
      </c>
      <c r="K179" t="s">
        <v>309</v>
      </c>
      <c r="L179" s="1">
        <v>45992</v>
      </c>
      <c r="M179" t="s">
        <v>577</v>
      </c>
      <c r="N179" t="e" vm="20">
        <v>#VALUE!</v>
      </c>
      <c r="O179" t="str" cm="1">
        <f t="array" aca="1" ref="O179" ca="1">_FV(N179,"Name")</f>
        <v>Denmark</v>
      </c>
      <c r="P179" t="s">
        <v>11</v>
      </c>
      <c r="R179" t="s">
        <v>776</v>
      </c>
      <c r="S179" s="1">
        <v>45992</v>
      </c>
      <c r="U179">
        <v>1</v>
      </c>
      <c r="V179">
        <v>1</v>
      </c>
      <c r="W179">
        <v>1</v>
      </c>
    </row>
    <row r="180" spans="1:23" x14ac:dyDescent="0.4">
      <c r="A180" t="s">
        <v>642</v>
      </c>
      <c r="C180" t="s">
        <v>641</v>
      </c>
      <c r="D180" s="1">
        <v>45981</v>
      </c>
      <c r="E180" t="s">
        <v>643</v>
      </c>
      <c r="I180" t="s">
        <v>96</v>
      </c>
      <c r="J180" t="s">
        <v>402</v>
      </c>
      <c r="M180" t="s">
        <v>640</v>
      </c>
      <c r="N180" t="e" vm="18">
        <v>#VALUE!</v>
      </c>
      <c r="O180" t="str" cm="1">
        <f t="array" aca="1" ref="O180" ca="1">_FV(N180,"Name")</f>
        <v>Singapore</v>
      </c>
      <c r="P180" t="s">
        <v>11</v>
      </c>
      <c r="R180" t="s">
        <v>776</v>
      </c>
      <c r="S180" s="1">
        <v>46022</v>
      </c>
      <c r="U180">
        <v>1</v>
      </c>
      <c r="V180">
        <v>0</v>
      </c>
      <c r="W180">
        <v>0</v>
      </c>
    </row>
    <row r="181" spans="1:23" x14ac:dyDescent="0.4">
      <c r="A181" s="4" t="s">
        <v>582</v>
      </c>
      <c r="C181" t="s">
        <v>585</v>
      </c>
      <c r="D181" s="1">
        <v>45981</v>
      </c>
      <c r="E181" t="s">
        <v>40</v>
      </c>
      <c r="F181" t="s">
        <v>583</v>
      </c>
      <c r="I181" t="s">
        <v>96</v>
      </c>
      <c r="J181" t="s">
        <v>402</v>
      </c>
      <c r="K181" t="s">
        <v>309</v>
      </c>
      <c r="L181" s="1">
        <v>45992</v>
      </c>
      <c r="M181" t="s">
        <v>584</v>
      </c>
      <c r="N181" t="e" vm="1">
        <v>#VALUE!</v>
      </c>
      <c r="O181" t="str" cm="1">
        <f t="array" aca="1" ref="O181" ca="1">_FV(N181,"Name")</f>
        <v>United States</v>
      </c>
      <c r="P181" t="s">
        <v>11</v>
      </c>
      <c r="R181" t="s">
        <v>776</v>
      </c>
      <c r="S181" s="1">
        <v>45991</v>
      </c>
      <c r="U181">
        <v>1</v>
      </c>
      <c r="V181">
        <v>1</v>
      </c>
      <c r="W181">
        <v>1</v>
      </c>
    </row>
    <row r="182" spans="1:23" x14ac:dyDescent="0.4">
      <c r="A182" t="s">
        <v>266</v>
      </c>
      <c r="D182" s="1">
        <v>45981</v>
      </c>
      <c r="E182" t="s">
        <v>15</v>
      </c>
      <c r="I182" t="s">
        <v>96</v>
      </c>
      <c r="J182" t="s">
        <v>402</v>
      </c>
      <c r="M182" t="s">
        <v>265</v>
      </c>
      <c r="N182" t="e" vm="24">
        <v>#VALUE!</v>
      </c>
      <c r="O182" t="str" cm="1">
        <f t="array" aca="1" ref="O182" ca="1">_FV(N182,"Name")</f>
        <v>Norway</v>
      </c>
      <c r="P182" t="s">
        <v>26</v>
      </c>
      <c r="R182" t="s">
        <v>776</v>
      </c>
      <c r="S182" s="1">
        <v>45992</v>
      </c>
      <c r="U182">
        <v>1</v>
      </c>
      <c r="V182">
        <v>1</v>
      </c>
      <c r="W182">
        <v>0</v>
      </c>
    </row>
    <row r="183" spans="1:23" x14ac:dyDescent="0.4">
      <c r="A183" t="s">
        <v>589</v>
      </c>
      <c r="C183" t="s">
        <v>592</v>
      </c>
      <c r="D183" s="1">
        <v>45981</v>
      </c>
      <c r="E183" t="s">
        <v>40</v>
      </c>
      <c r="F183" t="s">
        <v>590</v>
      </c>
      <c r="I183" t="s">
        <v>96</v>
      </c>
      <c r="J183" t="s">
        <v>402</v>
      </c>
      <c r="M183" t="s">
        <v>591</v>
      </c>
      <c r="N183" t="e" vm="1">
        <v>#VALUE!</v>
      </c>
      <c r="O183" t="str" cm="1">
        <f t="array" aca="1" ref="O183" ca="1">_FV(N183,"Name")</f>
        <v>United States</v>
      </c>
      <c r="P183" t="s">
        <v>11</v>
      </c>
      <c r="R183" t="s">
        <v>776</v>
      </c>
      <c r="S183" s="1">
        <v>45992</v>
      </c>
      <c r="U183">
        <v>1</v>
      </c>
      <c r="V183">
        <v>0</v>
      </c>
      <c r="W183">
        <v>1</v>
      </c>
    </row>
    <row r="184" spans="1:23" x14ac:dyDescent="0.4">
      <c r="A184" s="4" t="s">
        <v>587</v>
      </c>
      <c r="C184" t="s">
        <v>778</v>
      </c>
      <c r="D184" s="1">
        <v>45981</v>
      </c>
      <c r="E184" t="s">
        <v>40</v>
      </c>
      <c r="F184" t="s">
        <v>588</v>
      </c>
      <c r="G184">
        <v>1</v>
      </c>
      <c r="I184" t="s">
        <v>96</v>
      </c>
      <c r="J184" t="s">
        <v>402</v>
      </c>
      <c r="M184" t="s">
        <v>586</v>
      </c>
      <c r="N184" t="e" vm="1">
        <v>#VALUE!</v>
      </c>
      <c r="O184" t="str" cm="1">
        <f t="array" aca="1" ref="O184" ca="1">_FV(N184,"Name")</f>
        <v>United States</v>
      </c>
      <c r="P184" t="s">
        <v>11</v>
      </c>
      <c r="R184" t="s">
        <v>776</v>
      </c>
      <c r="S184" s="1">
        <v>46006</v>
      </c>
      <c r="U184">
        <v>1</v>
      </c>
      <c r="V184">
        <v>0</v>
      </c>
      <c r="W184">
        <v>1</v>
      </c>
    </row>
    <row r="185" spans="1:23" x14ac:dyDescent="0.4">
      <c r="A185" t="s">
        <v>448</v>
      </c>
      <c r="C185" t="s">
        <v>450</v>
      </c>
      <c r="D185" s="1">
        <v>45981</v>
      </c>
      <c r="E185" t="s">
        <v>40</v>
      </c>
      <c r="F185" t="s">
        <v>449</v>
      </c>
      <c r="I185" t="s">
        <v>96</v>
      </c>
      <c r="J185" t="s">
        <v>402</v>
      </c>
      <c r="M185" t="s">
        <v>451</v>
      </c>
      <c r="N185" t="e" vm="1">
        <v>#VALUE!</v>
      </c>
      <c r="O185" t="str" cm="1">
        <f t="array" aca="1" ref="O185" ca="1">_FV(N185,"Name")</f>
        <v>United States</v>
      </c>
      <c r="P185" t="s">
        <v>11</v>
      </c>
      <c r="R185" t="s">
        <v>776</v>
      </c>
      <c r="S185" s="1">
        <v>46003</v>
      </c>
      <c r="U185">
        <v>1</v>
      </c>
      <c r="V185">
        <v>0</v>
      </c>
      <c r="W185">
        <v>1</v>
      </c>
    </row>
    <row r="186" spans="1:23" x14ac:dyDescent="0.4">
      <c r="A186" t="s">
        <v>250</v>
      </c>
      <c r="D186" s="1">
        <v>45981</v>
      </c>
      <c r="E186" t="s">
        <v>15</v>
      </c>
      <c r="H186" s="8" t="s">
        <v>251</v>
      </c>
      <c r="I186" t="s">
        <v>96</v>
      </c>
      <c r="J186" t="s">
        <v>404</v>
      </c>
      <c r="M186" t="s">
        <v>249</v>
      </c>
      <c r="N186" t="e" vm="28">
        <v>#VALUE!</v>
      </c>
      <c r="O186" t="str" cm="1">
        <f t="array" aca="1" ref="O186" ca="1">_FV(N186,"Name")</f>
        <v>South Africa</v>
      </c>
      <c r="P186" t="s">
        <v>26</v>
      </c>
      <c r="R186" t="s">
        <v>776</v>
      </c>
      <c r="S186" s="1">
        <v>46006</v>
      </c>
      <c r="U186">
        <v>1</v>
      </c>
      <c r="V186">
        <v>0</v>
      </c>
      <c r="W186">
        <v>0</v>
      </c>
    </row>
    <row r="187" spans="1:23" x14ac:dyDescent="0.4">
      <c r="A187" t="s">
        <v>682</v>
      </c>
      <c r="D187" s="1">
        <v>45981</v>
      </c>
      <c r="E187" t="s">
        <v>15</v>
      </c>
      <c r="I187" t="s">
        <v>96</v>
      </c>
      <c r="J187" t="s">
        <v>403</v>
      </c>
      <c r="M187" t="s">
        <v>683</v>
      </c>
      <c r="N187" t="e" vm="12">
        <v>#VALUE!</v>
      </c>
      <c r="O187" t="str" cm="1">
        <f t="array" aca="1" ref="O187" ca="1">_FV(N187,"Name")</f>
        <v>Italy</v>
      </c>
      <c r="P187" t="s">
        <v>26</v>
      </c>
      <c r="R187" t="s">
        <v>776</v>
      </c>
      <c r="S187" s="1">
        <v>45991</v>
      </c>
      <c r="U187">
        <v>1</v>
      </c>
      <c r="V187">
        <v>1</v>
      </c>
      <c r="W187">
        <v>0</v>
      </c>
    </row>
    <row r="188" spans="1:23" x14ac:dyDescent="0.4">
      <c r="A188" t="s">
        <v>600</v>
      </c>
      <c r="C188" t="s">
        <v>602</v>
      </c>
      <c r="D188" s="1">
        <v>45981</v>
      </c>
      <c r="E188" t="s">
        <v>40</v>
      </c>
      <c r="F188" t="s">
        <v>603</v>
      </c>
      <c r="I188" t="s">
        <v>96</v>
      </c>
      <c r="J188" t="s">
        <v>402</v>
      </c>
      <c r="M188" t="s">
        <v>601</v>
      </c>
      <c r="N188" t="e" vm="1">
        <v>#VALUE!</v>
      </c>
      <c r="O188" t="str" cm="1">
        <f t="array" aca="1" ref="O188" ca="1">_FV(N188,"Name")</f>
        <v>United States</v>
      </c>
      <c r="R188" t="s">
        <v>776</v>
      </c>
      <c r="S188" s="1">
        <v>45992</v>
      </c>
    </row>
    <row r="189" spans="1:23" x14ac:dyDescent="0.4">
      <c r="A189" t="s">
        <v>644</v>
      </c>
      <c r="C189" t="s">
        <v>647</v>
      </c>
      <c r="D189" s="1">
        <v>45981</v>
      </c>
      <c r="E189" t="s">
        <v>645</v>
      </c>
      <c r="I189" t="s">
        <v>96</v>
      </c>
      <c r="J189" t="s">
        <v>402</v>
      </c>
      <c r="L189" s="1"/>
      <c r="M189" t="s">
        <v>646</v>
      </c>
      <c r="N189" t="e" vm="29">
        <v>#VALUE!</v>
      </c>
      <c r="O189" t="str" cm="1">
        <f t="array" aca="1" ref="O189" ca="1">_FV(N189,"Name")</f>
        <v>Belgium</v>
      </c>
      <c r="P189" t="s">
        <v>11</v>
      </c>
      <c r="R189" t="s">
        <v>776</v>
      </c>
      <c r="S189" s="1">
        <v>45992</v>
      </c>
      <c r="U189">
        <v>1</v>
      </c>
      <c r="V189">
        <v>0</v>
      </c>
      <c r="W189">
        <v>0</v>
      </c>
    </row>
    <row r="190" spans="1:23" x14ac:dyDescent="0.4">
      <c r="A190" s="4" t="s">
        <v>408</v>
      </c>
      <c r="D190" s="1">
        <v>45981</v>
      </c>
      <c r="E190" s="2" t="s">
        <v>409</v>
      </c>
      <c r="F190" s="2" t="s">
        <v>410</v>
      </c>
      <c r="H190" t="s">
        <v>411</v>
      </c>
      <c r="I190" t="s">
        <v>96</v>
      </c>
      <c r="J190" t="s">
        <v>402</v>
      </c>
      <c r="K190" t="s">
        <v>309</v>
      </c>
      <c r="L190" s="1">
        <v>45992</v>
      </c>
      <c r="M190" t="s">
        <v>108</v>
      </c>
      <c r="N190" t="e" vm="5">
        <v>#VALUE!</v>
      </c>
      <c r="O190" t="str" cm="1">
        <f t="array" aca="1" ref="O190" ca="1">_FV(N190,"Name")</f>
        <v>Chile</v>
      </c>
      <c r="P190" t="s">
        <v>11</v>
      </c>
      <c r="R190" t="s">
        <v>776</v>
      </c>
      <c r="S190" s="1">
        <v>45991</v>
      </c>
      <c r="U190">
        <v>1</v>
      </c>
      <c r="V190">
        <v>1</v>
      </c>
      <c r="W190">
        <v>0</v>
      </c>
    </row>
    <row r="191" spans="1:23" x14ac:dyDescent="0.4">
      <c r="A191" t="s">
        <v>606</v>
      </c>
      <c r="D191" s="1">
        <v>45981</v>
      </c>
      <c r="E191" t="s">
        <v>40</v>
      </c>
      <c r="F191" t="s">
        <v>607</v>
      </c>
      <c r="I191" t="s">
        <v>96</v>
      </c>
      <c r="J191" t="s">
        <v>402</v>
      </c>
      <c r="M191" t="s">
        <v>605</v>
      </c>
      <c r="N191" t="e" vm="1">
        <v>#VALUE!</v>
      </c>
      <c r="O191" t="str" cm="1">
        <f t="array" aca="1" ref="O191" ca="1">_FV(N191,"Name")</f>
        <v>United States</v>
      </c>
      <c r="P191" t="s">
        <v>11</v>
      </c>
      <c r="R191" t="s">
        <v>776</v>
      </c>
      <c r="S191" s="1">
        <v>45989</v>
      </c>
      <c r="U191">
        <v>1</v>
      </c>
      <c r="V191">
        <v>1</v>
      </c>
      <c r="W191">
        <v>1</v>
      </c>
    </row>
    <row r="192" spans="1:23" x14ac:dyDescent="0.4">
      <c r="A192" t="s">
        <v>259</v>
      </c>
      <c r="D192" s="1">
        <v>45981</v>
      </c>
      <c r="E192" t="s">
        <v>15</v>
      </c>
      <c r="I192" t="s">
        <v>96</v>
      </c>
      <c r="J192" t="s">
        <v>402</v>
      </c>
      <c r="M192" t="s">
        <v>258</v>
      </c>
      <c r="N192" t="e" vm="4">
        <v>#VALUE!</v>
      </c>
      <c r="O192" t="str" cm="1">
        <f t="array" aca="1" ref="O192" ca="1">_FV(N192,"Name")</f>
        <v>France</v>
      </c>
      <c r="R192" t="s">
        <v>776</v>
      </c>
      <c r="S192" s="1">
        <v>45998</v>
      </c>
      <c r="U192">
        <v>1</v>
      </c>
      <c r="V192">
        <v>0</v>
      </c>
      <c r="W192">
        <v>0</v>
      </c>
    </row>
    <row r="193" spans="1:23" x14ac:dyDescent="0.4">
      <c r="A193" t="s">
        <v>677</v>
      </c>
      <c r="C193" t="s">
        <v>678</v>
      </c>
      <c r="D193" s="1">
        <v>45981</v>
      </c>
      <c r="E193" t="s">
        <v>15</v>
      </c>
      <c r="I193" t="s">
        <v>96</v>
      </c>
      <c r="J193" t="s">
        <v>402</v>
      </c>
      <c r="M193" t="s">
        <v>287</v>
      </c>
      <c r="N193" t="e" vm="24">
        <v>#VALUE!</v>
      </c>
      <c r="O193" t="str" cm="1">
        <f t="array" aca="1" ref="O193" ca="1">_FV(N193,"Name")</f>
        <v>Norway</v>
      </c>
      <c r="P193" t="s">
        <v>26</v>
      </c>
      <c r="R193" t="s">
        <v>776</v>
      </c>
      <c r="S193" s="1">
        <v>45991</v>
      </c>
      <c r="U193">
        <v>1</v>
      </c>
      <c r="V193">
        <v>1</v>
      </c>
      <c r="W193">
        <v>1</v>
      </c>
    </row>
    <row r="194" spans="1:23" x14ac:dyDescent="0.4">
      <c r="A194" t="s">
        <v>288</v>
      </c>
      <c r="D194" s="1">
        <v>45981</v>
      </c>
      <c r="E194" t="s">
        <v>15</v>
      </c>
      <c r="I194" t="s">
        <v>96</v>
      </c>
      <c r="J194" t="s">
        <v>402</v>
      </c>
      <c r="M194" t="s">
        <v>287</v>
      </c>
      <c r="N194" t="e" vm="24">
        <v>#VALUE!</v>
      </c>
      <c r="O194" t="str" cm="1">
        <f t="array" aca="1" ref="O194" ca="1">_FV(N194,"Name")</f>
        <v>Norway</v>
      </c>
      <c r="P194" t="s">
        <v>11</v>
      </c>
      <c r="R194" t="s">
        <v>776</v>
      </c>
      <c r="S194" s="1">
        <v>45991</v>
      </c>
      <c r="U194">
        <v>1</v>
      </c>
      <c r="V194">
        <v>1</v>
      </c>
      <c r="W194">
        <v>1</v>
      </c>
    </row>
    <row r="195" spans="1:23" x14ac:dyDescent="0.4">
      <c r="A195" t="s">
        <v>412</v>
      </c>
      <c r="D195" s="1">
        <v>45981</v>
      </c>
      <c r="E195" t="s">
        <v>413</v>
      </c>
      <c r="I195" t="s">
        <v>96</v>
      </c>
      <c r="J195" t="s">
        <v>402</v>
      </c>
      <c r="M195" t="s">
        <v>102</v>
      </c>
      <c r="N195" t="e" vm="4">
        <v>#VALUE!</v>
      </c>
      <c r="O195" t="str" cm="1">
        <f t="array" aca="1" ref="O195" ca="1">_FV(N195,"Name")</f>
        <v>France</v>
      </c>
      <c r="P195" t="s">
        <v>11</v>
      </c>
      <c r="R195" t="s">
        <v>776</v>
      </c>
      <c r="S195" s="1">
        <v>45984</v>
      </c>
      <c r="U195">
        <v>1</v>
      </c>
      <c r="V195">
        <v>0</v>
      </c>
      <c r="W195">
        <v>0</v>
      </c>
    </row>
    <row r="196" spans="1:23" x14ac:dyDescent="0.4">
      <c r="A196" t="s">
        <v>382</v>
      </c>
      <c r="D196" s="1">
        <v>45981</v>
      </c>
      <c r="E196" t="s">
        <v>15</v>
      </c>
      <c r="I196" t="s">
        <v>96</v>
      </c>
      <c r="J196" t="s">
        <v>402</v>
      </c>
      <c r="M196" t="s">
        <v>383</v>
      </c>
      <c r="N196" t="e" vm="24">
        <v>#VALUE!</v>
      </c>
      <c r="O196" t="str" cm="1">
        <f t="array" aca="1" ref="O196" ca="1">_FV(N196,"Name")</f>
        <v>Norway</v>
      </c>
      <c r="R196" t="s">
        <v>776</v>
      </c>
      <c r="S196" s="1">
        <v>45985</v>
      </c>
      <c r="U196">
        <v>1</v>
      </c>
      <c r="V196">
        <v>0</v>
      </c>
      <c r="W196">
        <v>0</v>
      </c>
    </row>
    <row r="197" spans="1:23" x14ac:dyDescent="0.4">
      <c r="A197" t="s">
        <v>481</v>
      </c>
      <c r="D197" s="1">
        <v>45981</v>
      </c>
      <c r="E197" t="s">
        <v>40</v>
      </c>
      <c r="F197" t="s">
        <v>482</v>
      </c>
      <c r="I197" t="s">
        <v>96</v>
      </c>
      <c r="J197" t="s">
        <v>402</v>
      </c>
      <c r="M197" t="s">
        <v>483</v>
      </c>
      <c r="N197" t="e" vm="30">
        <v>#VALUE!</v>
      </c>
      <c r="O197" t="str" cm="1">
        <f t="array" aca="1" ref="O197" ca="1">_FV(N197,"Name")</f>
        <v>Miami</v>
      </c>
      <c r="P197" t="s">
        <v>486</v>
      </c>
      <c r="R197" t="s">
        <v>776</v>
      </c>
      <c r="S197" s="1">
        <v>45688</v>
      </c>
      <c r="U197">
        <v>1</v>
      </c>
      <c r="V197">
        <v>1</v>
      </c>
      <c r="W197">
        <v>1</v>
      </c>
    </row>
    <row r="198" spans="1:23" x14ac:dyDescent="0.4">
      <c r="A198" t="s">
        <v>377</v>
      </c>
      <c r="D198" s="1">
        <v>45981</v>
      </c>
      <c r="E198" s="2" t="s">
        <v>378</v>
      </c>
      <c r="I198" t="s">
        <v>96</v>
      </c>
      <c r="J198" t="s">
        <v>403</v>
      </c>
      <c r="M198" t="s">
        <v>376</v>
      </c>
      <c r="N198" t="e" vm="9">
        <v>#VALUE!</v>
      </c>
      <c r="O198" t="str" cm="1">
        <f t="array" aca="1" ref="O198" ca="1">_FV(N198,"Name")</f>
        <v>Germany</v>
      </c>
      <c r="P198" t="s">
        <v>26</v>
      </c>
      <c r="R198" t="s">
        <v>776</v>
      </c>
      <c r="S198" s="1">
        <v>45991</v>
      </c>
      <c r="U198">
        <v>1</v>
      </c>
      <c r="V198">
        <v>0</v>
      </c>
      <c r="W198">
        <v>0</v>
      </c>
    </row>
    <row r="199" spans="1:23" x14ac:dyDescent="0.4">
      <c r="A199" s="4" t="s">
        <v>679</v>
      </c>
      <c r="D199" s="1">
        <v>45981</v>
      </c>
      <c r="E199" t="s">
        <v>15</v>
      </c>
      <c r="H199" t="s">
        <v>681</v>
      </c>
      <c r="I199" t="s">
        <v>96</v>
      </c>
      <c r="J199" t="s">
        <v>402</v>
      </c>
      <c r="K199" t="s">
        <v>309</v>
      </c>
      <c r="L199" s="1">
        <v>45992</v>
      </c>
      <c r="M199" t="s">
        <v>680</v>
      </c>
      <c r="N199" t="e" vm="10">
        <v>#VALUE!</v>
      </c>
      <c r="O199" t="str" cm="1">
        <f t="array" aca="1" ref="O199" ca="1">_FV(N199,"Name")</f>
        <v>Canada</v>
      </c>
      <c r="P199" t="s">
        <v>11</v>
      </c>
      <c r="R199" t="s">
        <v>776</v>
      </c>
      <c r="S199" s="1">
        <v>45991</v>
      </c>
      <c r="U199">
        <v>1</v>
      </c>
      <c r="V199">
        <v>0</v>
      </c>
      <c r="W199">
        <v>0</v>
      </c>
    </row>
    <row r="200" spans="1:23" x14ac:dyDescent="0.4">
      <c r="A200" t="s">
        <v>665</v>
      </c>
      <c r="D200" s="1">
        <v>45981</v>
      </c>
      <c r="E200" t="s">
        <v>15</v>
      </c>
      <c r="I200" t="s">
        <v>96</v>
      </c>
      <c r="J200" t="s">
        <v>402</v>
      </c>
      <c r="M200" t="s">
        <v>666</v>
      </c>
      <c r="N200" t="e" vm="31">
        <v>#VALUE!</v>
      </c>
      <c r="O200" t="str" cm="1">
        <f t="array" aca="1" ref="O200" ca="1">_FV(N200,"Name")</f>
        <v>South Korea</v>
      </c>
      <c r="R200" t="s">
        <v>776</v>
      </c>
      <c r="S200" s="1">
        <v>45992</v>
      </c>
      <c r="U200">
        <v>1</v>
      </c>
      <c r="V200">
        <v>0</v>
      </c>
      <c r="W200">
        <v>0</v>
      </c>
    </row>
    <row r="201" spans="1:23" x14ac:dyDescent="0.4">
      <c r="A201" t="s">
        <v>260</v>
      </c>
      <c r="D201" s="1">
        <v>45981</v>
      </c>
      <c r="E201" t="s">
        <v>15</v>
      </c>
      <c r="H201" t="s">
        <v>262</v>
      </c>
      <c r="I201" t="s">
        <v>96</v>
      </c>
      <c r="J201" t="s">
        <v>402</v>
      </c>
      <c r="M201" t="s">
        <v>261</v>
      </c>
      <c r="N201" t="e" vm="31">
        <v>#VALUE!</v>
      </c>
      <c r="O201" t="str" cm="1">
        <f t="array" aca="1" ref="O201" ca="1">_FV(N201,"Name")</f>
        <v>South Korea</v>
      </c>
      <c r="R201" t="s">
        <v>776</v>
      </c>
      <c r="S201" s="1">
        <v>45994</v>
      </c>
      <c r="U201">
        <v>1</v>
      </c>
      <c r="V201">
        <v>0</v>
      </c>
      <c r="W201">
        <v>0</v>
      </c>
    </row>
    <row r="202" spans="1:23" x14ac:dyDescent="0.4">
      <c r="A202" t="s">
        <v>497</v>
      </c>
      <c r="D202" s="1">
        <v>45981</v>
      </c>
      <c r="E202" t="s">
        <v>40</v>
      </c>
      <c r="F202" t="s">
        <v>498</v>
      </c>
      <c r="I202" t="s">
        <v>96</v>
      </c>
      <c r="J202" t="s">
        <v>402</v>
      </c>
      <c r="M202" t="s">
        <v>499</v>
      </c>
      <c r="N202" t="e" vm="1">
        <v>#VALUE!</v>
      </c>
      <c r="O202" t="str" cm="1">
        <f t="array" aca="1" ref="O202" ca="1">_FV(N202,"Name")</f>
        <v>United States</v>
      </c>
      <c r="P202" t="s">
        <v>11</v>
      </c>
      <c r="R202" t="s">
        <v>776</v>
      </c>
      <c r="S202" s="1">
        <v>46022</v>
      </c>
      <c r="U202">
        <v>1</v>
      </c>
      <c r="V202">
        <v>1</v>
      </c>
      <c r="W202">
        <v>1</v>
      </c>
    </row>
    <row r="203" spans="1:23" x14ac:dyDescent="0.4">
      <c r="A203" s="4" t="s">
        <v>572</v>
      </c>
      <c r="C203" t="s">
        <v>779</v>
      </c>
      <c r="D203" s="1">
        <v>45981</v>
      </c>
      <c r="E203" t="s">
        <v>40</v>
      </c>
      <c r="I203" t="s">
        <v>96</v>
      </c>
      <c r="J203" t="s">
        <v>402</v>
      </c>
      <c r="K203" t="s">
        <v>309</v>
      </c>
      <c r="L203" s="1">
        <v>45992</v>
      </c>
      <c r="M203" t="s">
        <v>571</v>
      </c>
      <c r="N203" t="e" vm="1">
        <v>#VALUE!</v>
      </c>
      <c r="O203" t="str" cm="1">
        <f t="array" aca="1" ref="O203" ca="1">_FV(N203,"Name")</f>
        <v>United States</v>
      </c>
      <c r="P203" t="s">
        <v>11</v>
      </c>
      <c r="R203" t="s">
        <v>776</v>
      </c>
      <c r="S203" s="1">
        <v>45992</v>
      </c>
      <c r="U203">
        <v>1</v>
      </c>
      <c r="V203">
        <v>1</v>
      </c>
      <c r="W203">
        <v>1</v>
      </c>
    </row>
    <row r="204" spans="1:23" x14ac:dyDescent="0.4">
      <c r="A204" t="s">
        <v>707</v>
      </c>
      <c r="C204" t="s">
        <v>706</v>
      </c>
      <c r="D204" s="1">
        <v>45981</v>
      </c>
      <c r="E204" t="s">
        <v>15</v>
      </c>
      <c r="F204" s="2" t="s">
        <v>708</v>
      </c>
      <c r="I204" t="s">
        <v>152</v>
      </c>
      <c r="J204" t="s">
        <v>402</v>
      </c>
      <c r="M204" t="s">
        <v>705</v>
      </c>
      <c r="N204" t="e" vm="29">
        <v>#VALUE!</v>
      </c>
      <c r="O204" t="str" cm="1">
        <f t="array" aca="1" ref="O204" ca="1">_FV(N204,"Name")</f>
        <v>Belgium</v>
      </c>
      <c r="P204" t="s">
        <v>26</v>
      </c>
      <c r="R204" t="s">
        <v>776</v>
      </c>
      <c r="S204" s="1">
        <v>45992</v>
      </c>
      <c r="U204">
        <v>1</v>
      </c>
      <c r="V204">
        <v>0</v>
      </c>
      <c r="W204">
        <v>0</v>
      </c>
    </row>
    <row r="205" spans="1:23" x14ac:dyDescent="0.4">
      <c r="A205" t="s">
        <v>254</v>
      </c>
      <c r="D205" s="1">
        <v>45981</v>
      </c>
      <c r="E205" t="s">
        <v>15</v>
      </c>
      <c r="I205" t="s">
        <v>96</v>
      </c>
      <c r="J205" t="s">
        <v>402</v>
      </c>
      <c r="M205" t="s">
        <v>253</v>
      </c>
      <c r="N205" t="e" vm="32">
        <v>#VALUE!</v>
      </c>
      <c r="O205" t="str" cm="1">
        <f t="array" aca="1" ref="O205" ca="1">_FV(N205,"Name")</f>
        <v>Argentina</v>
      </c>
      <c r="P205" t="s">
        <v>11</v>
      </c>
      <c r="R205" t="s">
        <v>776</v>
      </c>
      <c r="S205" s="1">
        <v>46022</v>
      </c>
      <c r="U205">
        <v>1</v>
      </c>
      <c r="V205">
        <v>0</v>
      </c>
      <c r="W205">
        <v>0</v>
      </c>
    </row>
    <row r="206" spans="1:23" x14ac:dyDescent="0.4">
      <c r="A206" t="s">
        <v>204</v>
      </c>
      <c r="D206" s="1">
        <v>45981</v>
      </c>
      <c r="E206" t="s">
        <v>40</v>
      </c>
      <c r="I206" t="s">
        <v>96</v>
      </c>
      <c r="J206" t="s">
        <v>402</v>
      </c>
      <c r="M206" s="2" t="s">
        <v>205</v>
      </c>
      <c r="N206" t="e" vm="3">
        <v>#VALUE!</v>
      </c>
      <c r="O206" t="str" cm="1">
        <f t="array" aca="1" ref="O206" ca="1">_FV(N206,"Name")</f>
        <v>Japan</v>
      </c>
      <c r="R206" t="s">
        <v>776</v>
      </c>
      <c r="S206" s="1">
        <v>46053</v>
      </c>
      <c r="U206">
        <v>1</v>
      </c>
      <c r="V206">
        <v>0</v>
      </c>
      <c r="W206">
        <v>0</v>
      </c>
    </row>
    <row r="207" spans="1:23" x14ac:dyDescent="0.4">
      <c r="A207" s="4" t="s">
        <v>338</v>
      </c>
      <c r="D207" s="1">
        <v>45981</v>
      </c>
      <c r="E207" t="s">
        <v>40</v>
      </c>
      <c r="I207" t="s">
        <v>96</v>
      </c>
      <c r="J207" t="s">
        <v>402</v>
      </c>
      <c r="K207" t="s">
        <v>309</v>
      </c>
      <c r="L207" s="1">
        <v>45992</v>
      </c>
      <c r="M207" t="s">
        <v>339</v>
      </c>
      <c r="N207" t="e" vm="25">
        <v>#VALUE!</v>
      </c>
      <c r="O207" t="str" cm="1">
        <f t="array" aca="1" ref="O207" ca="1">_FV(N207,"Name")</f>
        <v>Mexico</v>
      </c>
      <c r="P207" t="s">
        <v>11</v>
      </c>
      <c r="R207" t="s">
        <v>776</v>
      </c>
      <c r="S207" s="1">
        <v>45661</v>
      </c>
      <c r="U207">
        <v>1</v>
      </c>
      <c r="V207">
        <v>0</v>
      </c>
      <c r="W207">
        <v>0</v>
      </c>
    </row>
    <row r="208" spans="1:23" x14ac:dyDescent="0.4">
      <c r="A208" t="s">
        <v>648</v>
      </c>
      <c r="C208" t="s">
        <v>780</v>
      </c>
      <c r="D208" s="1">
        <v>45981</v>
      </c>
      <c r="E208" s="2" t="s">
        <v>650</v>
      </c>
      <c r="I208" t="s">
        <v>96</v>
      </c>
      <c r="J208" t="s">
        <v>403</v>
      </c>
      <c r="M208" t="s">
        <v>651</v>
      </c>
      <c r="N208" t="e" vm="1">
        <v>#VALUE!</v>
      </c>
      <c r="O208" t="str" cm="1">
        <f t="array" aca="1" ref="O208" ca="1">_FV(N208,"Name")</f>
        <v>United States</v>
      </c>
      <c r="R208" t="s">
        <v>776</v>
      </c>
      <c r="S208" s="1">
        <v>45991</v>
      </c>
      <c r="U208">
        <v>1</v>
      </c>
      <c r="V208">
        <v>0</v>
      </c>
      <c r="W208">
        <v>0</v>
      </c>
    </row>
    <row r="209" spans="1:23" x14ac:dyDescent="0.4">
      <c r="A209" t="s">
        <v>475</v>
      </c>
      <c r="D209" s="1">
        <v>45981</v>
      </c>
      <c r="E209" t="s">
        <v>40</v>
      </c>
      <c r="F209" t="s">
        <v>476</v>
      </c>
      <c r="I209" t="s">
        <v>96</v>
      </c>
      <c r="J209" t="s">
        <v>402</v>
      </c>
      <c r="M209" t="s">
        <v>477</v>
      </c>
      <c r="N209" t="e" vm="1">
        <v>#VALUE!</v>
      </c>
      <c r="O209" t="str" cm="1">
        <f t="array" aca="1" ref="O209" ca="1">_FV(N209,"Name")</f>
        <v>United States</v>
      </c>
      <c r="P209" t="s">
        <v>11</v>
      </c>
      <c r="R209" t="s">
        <v>776</v>
      </c>
      <c r="S209" s="1">
        <v>45996</v>
      </c>
      <c r="U209">
        <v>1</v>
      </c>
      <c r="V209">
        <v>1</v>
      </c>
      <c r="W209">
        <v>1</v>
      </c>
    </row>
    <row r="210" spans="1:23" x14ac:dyDescent="0.4">
      <c r="A210" t="s">
        <v>267</v>
      </c>
      <c r="D210" s="1">
        <v>45981</v>
      </c>
      <c r="E210" t="s">
        <v>15</v>
      </c>
      <c r="G210">
        <v>1</v>
      </c>
      <c r="I210" t="s">
        <v>96</v>
      </c>
      <c r="J210" t="s">
        <v>402</v>
      </c>
      <c r="M210" t="s">
        <v>268</v>
      </c>
      <c r="N210" t="e" vm="33">
        <v>#VALUE!</v>
      </c>
      <c r="O210" t="str" cm="1">
        <f t="array" aca="1" ref="O210" ca="1">_FV(N210,"Name")</f>
        <v>Czech Republic</v>
      </c>
      <c r="P210" t="s">
        <v>11</v>
      </c>
      <c r="R210" t="s">
        <v>776</v>
      </c>
      <c r="S210" s="1">
        <v>45991</v>
      </c>
      <c r="U210">
        <v>1</v>
      </c>
      <c r="V210">
        <v>0</v>
      </c>
      <c r="W210">
        <v>0</v>
      </c>
    </row>
    <row r="211" spans="1:23" x14ac:dyDescent="0.4">
      <c r="A211" t="s">
        <v>353</v>
      </c>
      <c r="D211" s="1">
        <v>45981</v>
      </c>
      <c r="E211" t="s">
        <v>40</v>
      </c>
      <c r="I211" t="s">
        <v>96</v>
      </c>
      <c r="J211" t="s">
        <v>402</v>
      </c>
      <c r="M211" t="s">
        <v>352</v>
      </c>
      <c r="N211" t="e" vm="1">
        <v>#VALUE!</v>
      </c>
      <c r="O211" t="str" cm="1">
        <f t="array" aca="1" ref="O211" ca="1">_FV(N211,"Name")</f>
        <v>United States</v>
      </c>
      <c r="P211" t="s">
        <v>11</v>
      </c>
      <c r="R211" t="s">
        <v>776</v>
      </c>
      <c r="S211" s="1">
        <v>45987</v>
      </c>
      <c r="U211">
        <v>1</v>
      </c>
      <c r="V211">
        <v>0</v>
      </c>
      <c r="W211">
        <v>1</v>
      </c>
    </row>
    <row r="212" spans="1:23" x14ac:dyDescent="0.4">
      <c r="A212" t="s">
        <v>283</v>
      </c>
      <c r="D212" s="1">
        <v>45981</v>
      </c>
      <c r="E212" t="s">
        <v>15</v>
      </c>
      <c r="I212" t="s">
        <v>96</v>
      </c>
      <c r="J212" t="s">
        <v>402</v>
      </c>
      <c r="M212" t="s">
        <v>284</v>
      </c>
      <c r="N212" t="e" vm="34">
        <v>#VALUE!</v>
      </c>
      <c r="O212" t="str" cm="1">
        <f t="array" aca="1" ref="O212" ca="1">_FV(N212,"Name")</f>
        <v>Slovakia</v>
      </c>
      <c r="R212" t="s">
        <v>776</v>
      </c>
      <c r="S212" s="1">
        <v>45991</v>
      </c>
      <c r="U212">
        <v>1</v>
      </c>
      <c r="V212">
        <v>0</v>
      </c>
      <c r="W212">
        <v>0</v>
      </c>
    </row>
    <row r="213" spans="1:23" x14ac:dyDescent="0.4">
      <c r="A213" t="s">
        <v>281</v>
      </c>
      <c r="D213" s="1">
        <v>45981</v>
      </c>
      <c r="E213" t="s">
        <v>15</v>
      </c>
      <c r="I213" t="s">
        <v>96</v>
      </c>
      <c r="J213" t="s">
        <v>402</v>
      </c>
      <c r="M213" t="s">
        <v>282</v>
      </c>
      <c r="N213" t="e" vm="22">
        <v>#VALUE!</v>
      </c>
      <c r="O213" t="str" cm="1">
        <f t="array" aca="1" ref="O213" ca="1">_FV(N213,"Name")</f>
        <v>Portugal</v>
      </c>
      <c r="R213" t="s">
        <v>776</v>
      </c>
      <c r="S213" s="1">
        <v>45991</v>
      </c>
      <c r="U213">
        <v>1</v>
      </c>
      <c r="V213">
        <v>0</v>
      </c>
      <c r="W213">
        <v>0</v>
      </c>
    </row>
    <row r="214" spans="1:23" x14ac:dyDescent="0.4">
      <c r="A214" t="s">
        <v>684</v>
      </c>
      <c r="C214" t="s">
        <v>686</v>
      </c>
      <c r="D214" s="1">
        <v>45981</v>
      </c>
      <c r="E214" t="s">
        <v>15</v>
      </c>
      <c r="I214" t="s">
        <v>96</v>
      </c>
      <c r="J214" t="s">
        <v>402</v>
      </c>
      <c r="M214" t="s">
        <v>685</v>
      </c>
      <c r="N214" t="e" vm="9">
        <v>#VALUE!</v>
      </c>
      <c r="O214" t="str" cm="1">
        <f t="array" aca="1" ref="O214" ca="1">_FV(N214,"Name")</f>
        <v>Germany</v>
      </c>
      <c r="R214" t="s">
        <v>776</v>
      </c>
      <c r="S214" s="1">
        <v>45985</v>
      </c>
      <c r="U214">
        <v>1</v>
      </c>
      <c r="V214">
        <v>0</v>
      </c>
      <c r="W214">
        <v>0</v>
      </c>
    </row>
    <row r="215" spans="1:23" x14ac:dyDescent="0.4">
      <c r="A215" t="s">
        <v>295</v>
      </c>
      <c r="D215" s="1">
        <v>45981</v>
      </c>
      <c r="E215" t="s">
        <v>15</v>
      </c>
      <c r="H215" s="2" t="s">
        <v>296</v>
      </c>
      <c r="I215" t="s">
        <v>96</v>
      </c>
      <c r="J215" t="s">
        <v>402</v>
      </c>
      <c r="M215" t="s">
        <v>294</v>
      </c>
      <c r="N215" t="e" vm="2">
        <v>#VALUE!</v>
      </c>
      <c r="O215" t="str" cm="1">
        <f t="array" aca="1" ref="O215" ca="1">_FV(N215,"Name")</f>
        <v>Spain</v>
      </c>
      <c r="P215" t="s">
        <v>11</v>
      </c>
      <c r="Q215" t="s">
        <v>64</v>
      </c>
      <c r="R215" t="s">
        <v>776</v>
      </c>
      <c r="S215" s="1">
        <v>45989</v>
      </c>
      <c r="U215">
        <v>1</v>
      </c>
      <c r="V215">
        <v>0</v>
      </c>
      <c r="W215">
        <v>0</v>
      </c>
    </row>
    <row r="216" spans="1:23" x14ac:dyDescent="0.4">
      <c r="A216" t="s">
        <v>375</v>
      </c>
      <c r="D216" s="1">
        <v>45981</v>
      </c>
      <c r="E216" t="s">
        <v>15</v>
      </c>
      <c r="G216">
        <v>1</v>
      </c>
      <c r="H216" t="s">
        <v>248</v>
      </c>
      <c r="I216" t="s">
        <v>96</v>
      </c>
      <c r="J216" t="s">
        <v>402</v>
      </c>
      <c r="M216" t="s">
        <v>247</v>
      </c>
      <c r="N216" t="e" vm="23">
        <v>#VALUE!</v>
      </c>
      <c r="O216" t="str" cm="1">
        <f t="array" aca="1" ref="O216" ca="1">_FV(N216,"Name")</f>
        <v>Finland</v>
      </c>
      <c r="P216" t="s">
        <v>11</v>
      </c>
      <c r="R216" t="s">
        <v>776</v>
      </c>
      <c r="S216" s="1">
        <v>46045</v>
      </c>
      <c r="U216">
        <v>1</v>
      </c>
      <c r="V216">
        <v>0</v>
      </c>
      <c r="W216">
        <v>0</v>
      </c>
    </row>
    <row r="217" spans="1:23" x14ac:dyDescent="0.4">
      <c r="A217" s="4" t="s">
        <v>728</v>
      </c>
      <c r="C217" t="s">
        <v>781</v>
      </c>
      <c r="D217" s="1">
        <v>45981</v>
      </c>
      <c r="E217" t="s">
        <v>729</v>
      </c>
      <c r="G217">
        <v>1</v>
      </c>
      <c r="H217" t="s">
        <v>782</v>
      </c>
      <c r="I217" t="s">
        <v>96</v>
      </c>
      <c r="J217" t="s">
        <v>402</v>
      </c>
      <c r="K217" t="s">
        <v>309</v>
      </c>
      <c r="L217" s="1">
        <v>45992</v>
      </c>
      <c r="M217" t="s">
        <v>730</v>
      </c>
      <c r="N217" t="e" vm="1">
        <v>#VALUE!</v>
      </c>
      <c r="O217" t="str" cm="1">
        <f t="array" aca="1" ref="O217" ca="1">_FV(N217,"Name")</f>
        <v>United States</v>
      </c>
      <c r="P217" t="s">
        <v>11</v>
      </c>
      <c r="R217" t="s">
        <v>776</v>
      </c>
      <c r="S217" s="1">
        <v>45991</v>
      </c>
      <c r="U217">
        <v>1</v>
      </c>
      <c r="V217">
        <v>0</v>
      </c>
      <c r="W217">
        <v>1</v>
      </c>
    </row>
    <row r="218" spans="1:23" x14ac:dyDescent="0.4">
      <c r="A218" t="s">
        <v>731</v>
      </c>
      <c r="C218" t="s">
        <v>734</v>
      </c>
      <c r="D218" s="1">
        <v>45981</v>
      </c>
      <c r="E218" t="s">
        <v>15</v>
      </c>
      <c r="F218" t="s">
        <v>733</v>
      </c>
      <c r="I218" t="s">
        <v>96</v>
      </c>
      <c r="J218" t="s">
        <v>402</v>
      </c>
      <c r="M218" s="2" t="s">
        <v>732</v>
      </c>
      <c r="N218" t="e" vm="9">
        <v>#VALUE!</v>
      </c>
      <c r="O218" t="str" cm="1">
        <f t="array" aca="1" ref="O218" ca="1">_FV(N218,"Name")</f>
        <v>Germany</v>
      </c>
      <c r="P218" t="s">
        <v>11</v>
      </c>
      <c r="R218" t="s">
        <v>776</v>
      </c>
      <c r="S218" s="1">
        <v>45987</v>
      </c>
      <c r="U218">
        <v>1</v>
      </c>
      <c r="V218">
        <v>1</v>
      </c>
      <c r="W218">
        <v>1</v>
      </c>
    </row>
    <row r="219" spans="1:23" x14ac:dyDescent="0.4">
      <c r="A219" t="s">
        <v>735</v>
      </c>
      <c r="C219" t="s">
        <v>738</v>
      </c>
      <c r="D219" s="1">
        <v>45981</v>
      </c>
      <c r="E219" t="s">
        <v>736</v>
      </c>
      <c r="I219" t="s">
        <v>96</v>
      </c>
      <c r="J219" t="s">
        <v>403</v>
      </c>
      <c r="M219" t="s">
        <v>737</v>
      </c>
      <c r="N219" t="e" vm="12">
        <v>#VALUE!</v>
      </c>
      <c r="O219" t="str" cm="1">
        <f t="array" aca="1" ref="O219" ca="1">_FV(N219,"Name")</f>
        <v>Italy</v>
      </c>
      <c r="R219" t="s">
        <v>776</v>
      </c>
      <c r="S219" s="1">
        <v>45985</v>
      </c>
      <c r="U219">
        <v>1</v>
      </c>
      <c r="V219">
        <v>1</v>
      </c>
      <c r="W219">
        <v>0</v>
      </c>
    </row>
    <row r="220" spans="1:23" x14ac:dyDescent="0.4">
      <c r="A220" t="s">
        <v>537</v>
      </c>
      <c r="D220" s="1">
        <v>45986</v>
      </c>
      <c r="E220" t="s">
        <v>40</v>
      </c>
      <c r="I220" t="s">
        <v>96</v>
      </c>
      <c r="J220" t="s">
        <v>402</v>
      </c>
      <c r="M220" t="s">
        <v>538</v>
      </c>
      <c r="N220" t="e" vm="1">
        <v>#VALUE!</v>
      </c>
      <c r="O220" t="str" cm="1">
        <f t="array" aca="1" ref="O220" ca="1">_FV(N220,"Name")</f>
        <v>United States</v>
      </c>
      <c r="P220" t="s">
        <v>11</v>
      </c>
      <c r="R220" t="s">
        <v>776</v>
      </c>
      <c r="S220" s="1">
        <v>46022</v>
      </c>
      <c r="U220">
        <v>1</v>
      </c>
      <c r="V220">
        <v>1</v>
      </c>
      <c r="W220">
        <v>1</v>
      </c>
    </row>
    <row r="221" spans="1:23" x14ac:dyDescent="0.4">
      <c r="A221" t="s">
        <v>717</v>
      </c>
      <c r="D221" s="1">
        <v>45986</v>
      </c>
      <c r="E221" t="s">
        <v>15</v>
      </c>
      <c r="I221" t="s">
        <v>96</v>
      </c>
      <c r="J221" t="s">
        <v>402</v>
      </c>
      <c r="K221" t="s">
        <v>309</v>
      </c>
      <c r="L221" s="1">
        <v>45992</v>
      </c>
      <c r="M221" t="s">
        <v>716</v>
      </c>
      <c r="N221" t="e" vm="2">
        <v>#VALUE!</v>
      </c>
      <c r="O221" t="str" cm="1">
        <f t="array" aca="1" ref="O221" ca="1">_FV(N221,"Name")</f>
        <v>Spain</v>
      </c>
      <c r="P221" t="s">
        <v>11</v>
      </c>
      <c r="R221" t="s">
        <v>776</v>
      </c>
      <c r="S221" s="1">
        <v>45992</v>
      </c>
      <c r="U221">
        <v>1</v>
      </c>
      <c r="V221">
        <v>0</v>
      </c>
      <c r="W221">
        <v>0</v>
      </c>
    </row>
    <row r="222" spans="1:23" x14ac:dyDescent="0.4">
      <c r="A222" t="s">
        <v>544</v>
      </c>
      <c r="D222" s="1">
        <v>45986</v>
      </c>
      <c r="E222" t="s">
        <v>543</v>
      </c>
      <c r="I222" t="s">
        <v>96</v>
      </c>
      <c r="J222" t="s">
        <v>402</v>
      </c>
      <c r="M222" t="s">
        <v>542</v>
      </c>
      <c r="N222" t="e" vm="1">
        <v>#VALUE!</v>
      </c>
      <c r="O222" t="str" cm="1">
        <f t="array" aca="1" ref="O222" ca="1">_FV(N222,"Name")</f>
        <v>United States</v>
      </c>
      <c r="P222" t="s">
        <v>11</v>
      </c>
      <c r="R222" t="s">
        <v>776</v>
      </c>
      <c r="S222" s="1">
        <v>45992</v>
      </c>
      <c r="U222">
        <v>1</v>
      </c>
      <c r="V222">
        <v>0</v>
      </c>
      <c r="W222">
        <v>0</v>
      </c>
    </row>
    <row r="223" spans="1:23" x14ac:dyDescent="0.4">
      <c r="A223" t="s">
        <v>521</v>
      </c>
      <c r="D223" s="1">
        <v>45986</v>
      </c>
      <c r="E223" t="s">
        <v>40</v>
      </c>
      <c r="I223" t="s">
        <v>96</v>
      </c>
      <c r="J223" t="s">
        <v>402</v>
      </c>
      <c r="M223" t="s">
        <v>520</v>
      </c>
      <c r="N223" t="e" vm="1">
        <v>#VALUE!</v>
      </c>
      <c r="O223" t="str" cm="1">
        <f t="array" aca="1" ref="O223" ca="1">_FV(N223,"Name")</f>
        <v>United States</v>
      </c>
      <c r="P223" t="s">
        <v>26</v>
      </c>
      <c r="R223" t="s">
        <v>776</v>
      </c>
      <c r="S223" s="1">
        <v>45991</v>
      </c>
      <c r="U223">
        <v>1</v>
      </c>
      <c r="V223">
        <v>1</v>
      </c>
      <c r="W223">
        <v>0</v>
      </c>
    </row>
    <row r="224" spans="1:23" x14ac:dyDescent="0.4">
      <c r="A224" s="4" t="s">
        <v>710</v>
      </c>
      <c r="C224" t="s">
        <v>711</v>
      </c>
      <c r="D224" s="1">
        <v>45986</v>
      </c>
      <c r="E224" t="s">
        <v>15</v>
      </c>
      <c r="I224" t="s">
        <v>96</v>
      </c>
      <c r="J224" t="s">
        <v>402</v>
      </c>
      <c r="K224" t="s">
        <v>309</v>
      </c>
      <c r="L224" s="1">
        <v>45992</v>
      </c>
      <c r="M224" t="s">
        <v>709</v>
      </c>
      <c r="N224" t="e" vm="2">
        <v>#VALUE!</v>
      </c>
      <c r="O224" t="str" cm="1">
        <f t="array" aca="1" ref="O224" ca="1">_FV(N224,"Name")</f>
        <v>Spain</v>
      </c>
      <c r="P224" t="s">
        <v>11</v>
      </c>
      <c r="R224" t="s">
        <v>776</v>
      </c>
      <c r="S224" s="1">
        <v>46006</v>
      </c>
      <c r="U224">
        <v>1</v>
      </c>
      <c r="V224">
        <v>0</v>
      </c>
      <c r="W224">
        <v>0</v>
      </c>
    </row>
    <row r="225" spans="1:23" x14ac:dyDescent="0.4">
      <c r="A225" t="s">
        <v>355</v>
      </c>
      <c r="D225" s="1">
        <v>45986</v>
      </c>
      <c r="E225" t="s">
        <v>357</v>
      </c>
      <c r="I225" t="s">
        <v>96</v>
      </c>
      <c r="J225" t="s">
        <v>402</v>
      </c>
      <c r="M225" t="s">
        <v>354</v>
      </c>
      <c r="N225" t="e" vm="1">
        <v>#VALUE!</v>
      </c>
      <c r="O225" t="str" cm="1">
        <f t="array" aca="1" ref="O225" ca="1">_FV(N225,"Name")</f>
        <v>United States</v>
      </c>
      <c r="P225" t="s">
        <v>11</v>
      </c>
      <c r="R225" t="s">
        <v>776</v>
      </c>
      <c r="S225" s="1">
        <v>46006</v>
      </c>
      <c r="U225">
        <v>1</v>
      </c>
      <c r="V225">
        <v>1</v>
      </c>
      <c r="W225">
        <v>1</v>
      </c>
    </row>
    <row r="226" spans="1:23" x14ac:dyDescent="0.4">
      <c r="A226" t="s">
        <v>744</v>
      </c>
      <c r="C226" t="s">
        <v>746</v>
      </c>
      <c r="D226" s="1">
        <v>45986</v>
      </c>
      <c r="E226" t="s">
        <v>743</v>
      </c>
      <c r="I226" t="s">
        <v>96</v>
      </c>
      <c r="J226" t="s">
        <v>402</v>
      </c>
      <c r="M226" t="s">
        <v>742</v>
      </c>
      <c r="N226" t="e" vm="9">
        <v>#VALUE!</v>
      </c>
      <c r="O226" t="str" cm="1">
        <f t="array" aca="1" ref="O226" ca="1">_FV(N226,"Name")</f>
        <v>Germany</v>
      </c>
      <c r="P226" t="s">
        <v>26</v>
      </c>
      <c r="R226" t="s">
        <v>776</v>
      </c>
      <c r="S226" s="1">
        <v>45992</v>
      </c>
      <c r="U226">
        <v>1</v>
      </c>
      <c r="V226">
        <v>0</v>
      </c>
      <c r="W226">
        <v>0</v>
      </c>
    </row>
    <row r="227" spans="1:23" x14ac:dyDescent="0.4">
      <c r="A227" t="s">
        <v>751</v>
      </c>
      <c r="D227" s="1">
        <v>45986</v>
      </c>
      <c r="E227" t="s">
        <v>15</v>
      </c>
      <c r="I227" t="s">
        <v>96</v>
      </c>
      <c r="J227" t="s">
        <v>402</v>
      </c>
      <c r="M227" t="s">
        <v>750</v>
      </c>
      <c r="N227" t="e" vm="15">
        <v>#VALUE!</v>
      </c>
      <c r="O227" t="str" cm="1">
        <f t="array" aca="1" ref="O227" ca="1">_FV(N227,"Name")</f>
        <v>Switzerland</v>
      </c>
      <c r="R227" t="s">
        <v>776</v>
      </c>
      <c r="S227" s="1">
        <v>46082</v>
      </c>
      <c r="U227">
        <v>1</v>
      </c>
      <c r="V227">
        <v>0</v>
      </c>
      <c r="W227">
        <v>1</v>
      </c>
    </row>
    <row r="228" spans="1:23" x14ac:dyDescent="0.4">
      <c r="A228" t="s">
        <v>752</v>
      </c>
      <c r="D228" s="1">
        <v>45986</v>
      </c>
      <c r="E228" t="s">
        <v>15</v>
      </c>
      <c r="I228" t="s">
        <v>96</v>
      </c>
      <c r="J228" t="s">
        <v>402</v>
      </c>
      <c r="M228" t="s">
        <v>753</v>
      </c>
      <c r="N228" t="e" vm="21">
        <v>#VALUE!</v>
      </c>
      <c r="O228" t="str" cm="1">
        <f t="array" aca="1" ref="O228" ca="1">_FV(N228,"Name")</f>
        <v>United Kingdom</v>
      </c>
      <c r="P228" t="s">
        <v>11</v>
      </c>
      <c r="R228" t="s">
        <v>776</v>
      </c>
      <c r="S228" s="1">
        <v>46053</v>
      </c>
      <c r="U228">
        <v>1</v>
      </c>
      <c r="V228">
        <v>0</v>
      </c>
      <c r="W228">
        <v>0</v>
      </c>
    </row>
    <row r="229" spans="1:23" x14ac:dyDescent="0.4">
      <c r="A229" s="4" t="s">
        <v>755</v>
      </c>
      <c r="C229" t="s">
        <v>764</v>
      </c>
      <c r="D229" s="1">
        <v>45986</v>
      </c>
      <c r="E229" t="s">
        <v>15</v>
      </c>
      <c r="G229">
        <v>1</v>
      </c>
      <c r="I229" t="s">
        <v>96</v>
      </c>
      <c r="J229" t="s">
        <v>402</v>
      </c>
      <c r="K229" t="s">
        <v>309</v>
      </c>
      <c r="L229" s="1">
        <v>45992</v>
      </c>
      <c r="M229" t="s">
        <v>754</v>
      </c>
      <c r="N229" t="e" vm="12">
        <v>#VALUE!</v>
      </c>
      <c r="O229" t="str" cm="1">
        <f t="array" aca="1" ref="O229" ca="1">_FV(N229,"Name")</f>
        <v>Italy</v>
      </c>
      <c r="P229" t="s">
        <v>26</v>
      </c>
      <c r="R229" t="s">
        <v>776</v>
      </c>
      <c r="S229" s="1">
        <v>46053</v>
      </c>
      <c r="U229">
        <v>1</v>
      </c>
      <c r="V229">
        <v>0</v>
      </c>
      <c r="W229">
        <v>0</v>
      </c>
    </row>
    <row r="230" spans="1:23" x14ac:dyDescent="0.4">
      <c r="A230" t="s">
        <v>756</v>
      </c>
      <c r="D230" s="1">
        <v>45986</v>
      </c>
      <c r="E230" t="s">
        <v>15</v>
      </c>
      <c r="I230" t="s">
        <v>96</v>
      </c>
      <c r="J230" t="s">
        <v>402</v>
      </c>
      <c r="M230" t="s">
        <v>757</v>
      </c>
      <c r="N230" t="e" vm="20">
        <v>#VALUE!</v>
      </c>
      <c r="O230" t="str" cm="1">
        <f t="array" aca="1" ref="O230" ca="1">_FV(N230,"Name")</f>
        <v>Denmark</v>
      </c>
      <c r="P230" t="s">
        <v>26</v>
      </c>
      <c r="R230" t="s">
        <v>776</v>
      </c>
      <c r="S230" s="1">
        <v>45991</v>
      </c>
      <c r="U230">
        <v>1</v>
      </c>
      <c r="V230">
        <v>0</v>
      </c>
      <c r="W230">
        <v>0</v>
      </c>
    </row>
    <row r="231" spans="1:23" x14ac:dyDescent="0.4">
      <c r="A231" s="4" t="s">
        <v>758</v>
      </c>
      <c r="D231" s="1">
        <v>45986</v>
      </c>
      <c r="E231" t="s">
        <v>15</v>
      </c>
      <c r="I231" t="s">
        <v>96</v>
      </c>
      <c r="J231" t="s">
        <v>402</v>
      </c>
      <c r="K231" t="s">
        <v>309</v>
      </c>
      <c r="L231" s="1">
        <v>45992</v>
      </c>
      <c r="M231" t="s">
        <v>759</v>
      </c>
      <c r="N231" t="e" vm="7">
        <v>#VALUE!</v>
      </c>
      <c r="O231" t="str" cm="1">
        <f t="array" aca="1" ref="O231" ca="1">_FV(N231,"Name")</f>
        <v>Australia</v>
      </c>
      <c r="P231" t="s">
        <v>11</v>
      </c>
      <c r="R231" t="s">
        <v>776</v>
      </c>
      <c r="S231" s="1">
        <v>46003</v>
      </c>
      <c r="U231">
        <v>1</v>
      </c>
      <c r="V231">
        <v>1</v>
      </c>
      <c r="W231">
        <v>1</v>
      </c>
    </row>
    <row r="232" spans="1:23" x14ac:dyDescent="0.4">
      <c r="A232" t="s">
        <v>760</v>
      </c>
      <c r="D232" s="1">
        <v>45986</v>
      </c>
      <c r="E232" t="s">
        <v>15</v>
      </c>
      <c r="I232" t="s">
        <v>96</v>
      </c>
      <c r="J232" t="s">
        <v>402</v>
      </c>
      <c r="M232" t="s">
        <v>761</v>
      </c>
      <c r="N232" t="e" vm="24">
        <v>#VALUE!</v>
      </c>
      <c r="O232" t="str" cm="1">
        <f t="array" aca="1" ref="O232" ca="1">_FV(N232,"Name")</f>
        <v>Norway</v>
      </c>
      <c r="P232" t="s">
        <v>26</v>
      </c>
      <c r="R232" t="s">
        <v>776</v>
      </c>
      <c r="S232" s="1">
        <v>45991</v>
      </c>
      <c r="U232">
        <v>1</v>
      </c>
      <c r="V232">
        <v>0</v>
      </c>
      <c r="W232">
        <v>0</v>
      </c>
    </row>
    <row r="233" spans="1:23" x14ac:dyDescent="0.4">
      <c r="A233" s="4" t="s">
        <v>763</v>
      </c>
      <c r="D233" s="1">
        <v>45986</v>
      </c>
      <c r="E233" t="s">
        <v>15</v>
      </c>
      <c r="I233" t="s">
        <v>96</v>
      </c>
      <c r="J233" t="s">
        <v>403</v>
      </c>
      <c r="K233" t="s">
        <v>309</v>
      </c>
      <c r="L233" s="1">
        <v>45992</v>
      </c>
      <c r="M233" t="s">
        <v>762</v>
      </c>
      <c r="N233" t="e" vm="26">
        <v>#VALUE!</v>
      </c>
      <c r="O233" t="str" cm="1">
        <f t="array" aca="1" ref="O233" ca="1">_FV(N233,"Name")</f>
        <v>Austria</v>
      </c>
      <c r="P233" t="s">
        <v>26</v>
      </c>
      <c r="R233" t="s">
        <v>776</v>
      </c>
      <c r="S233" s="1">
        <v>45993</v>
      </c>
      <c r="U233">
        <v>1</v>
      </c>
      <c r="V233">
        <v>0</v>
      </c>
      <c r="W233">
        <v>0</v>
      </c>
    </row>
    <row r="234" spans="1:23" x14ac:dyDescent="0.4">
      <c r="A234" s="4" t="s">
        <v>765</v>
      </c>
      <c r="D234" s="1">
        <v>45986</v>
      </c>
      <c r="E234" t="s">
        <v>15</v>
      </c>
      <c r="G234">
        <v>1</v>
      </c>
      <c r="I234" t="s">
        <v>96</v>
      </c>
      <c r="J234" t="s">
        <v>402</v>
      </c>
      <c r="K234" t="s">
        <v>309</v>
      </c>
      <c r="L234" s="1">
        <v>45992</v>
      </c>
      <c r="M234" t="s">
        <v>766</v>
      </c>
      <c r="N234" t="e" vm="32">
        <v>#VALUE!</v>
      </c>
      <c r="O234" t="str" cm="1">
        <f t="array" aca="1" ref="O234" ca="1">_FV(N234,"Name")</f>
        <v>Argentina</v>
      </c>
      <c r="P234" t="s">
        <v>11</v>
      </c>
      <c r="R234" t="s">
        <v>776</v>
      </c>
      <c r="S234" s="1">
        <v>45992</v>
      </c>
      <c r="U234">
        <v>1</v>
      </c>
      <c r="V234">
        <v>0</v>
      </c>
      <c r="W234">
        <v>0</v>
      </c>
    </row>
    <row r="235" spans="1:23" x14ac:dyDescent="0.4">
      <c r="A235" s="4" t="s">
        <v>767</v>
      </c>
      <c r="C235" t="s">
        <v>769</v>
      </c>
      <c r="D235" s="1">
        <v>45986</v>
      </c>
      <c r="E235" t="s">
        <v>15</v>
      </c>
      <c r="G235">
        <v>3</v>
      </c>
      <c r="H235" t="s">
        <v>768</v>
      </c>
      <c r="I235" t="s">
        <v>96</v>
      </c>
      <c r="J235" t="s">
        <v>404</v>
      </c>
      <c r="K235" t="s">
        <v>309</v>
      </c>
      <c r="L235" s="1">
        <v>45992</v>
      </c>
      <c r="M235" t="s">
        <v>291</v>
      </c>
      <c r="N235" t="e" vm="7">
        <v>#VALUE!</v>
      </c>
      <c r="O235" t="str" cm="1">
        <f t="array" aca="1" ref="O235" ca="1">_FV(N235,"Name")</f>
        <v>Australia</v>
      </c>
      <c r="P235" t="s">
        <v>26</v>
      </c>
      <c r="R235" t="s">
        <v>776</v>
      </c>
      <c r="S235" s="1">
        <v>45992</v>
      </c>
      <c r="U235">
        <v>1</v>
      </c>
      <c r="V235">
        <v>0</v>
      </c>
      <c r="W235">
        <v>0</v>
      </c>
    </row>
    <row r="236" spans="1:23" x14ac:dyDescent="0.4">
      <c r="A236" s="4" t="s">
        <v>771</v>
      </c>
      <c r="C236" t="s">
        <v>773</v>
      </c>
      <c r="D236" s="1">
        <v>45986</v>
      </c>
      <c r="E236" t="s">
        <v>15</v>
      </c>
      <c r="I236" t="s">
        <v>96</v>
      </c>
      <c r="J236" t="s">
        <v>402</v>
      </c>
      <c r="K236" t="s">
        <v>309</v>
      </c>
      <c r="L236" s="1">
        <v>45992</v>
      </c>
      <c r="M236" t="s">
        <v>772</v>
      </c>
      <c r="N236" t="e" vm="20">
        <v>#VALUE!</v>
      </c>
      <c r="O236" t="str" cm="1">
        <f t="array" aca="1" ref="O236" ca="1">_FV(N236,"Name")</f>
        <v>Denmark</v>
      </c>
      <c r="P236" t="s">
        <v>11</v>
      </c>
      <c r="R236" t="s">
        <v>776</v>
      </c>
      <c r="S236" s="1">
        <v>45989</v>
      </c>
      <c r="U236">
        <v>1</v>
      </c>
      <c r="V236">
        <v>0</v>
      </c>
      <c r="W236">
        <v>0</v>
      </c>
    </row>
    <row r="237" spans="1:23" x14ac:dyDescent="0.4">
      <c r="A237" t="s">
        <v>414</v>
      </c>
      <c r="D237" s="1">
        <v>45992</v>
      </c>
      <c r="E237" t="s">
        <v>40</v>
      </c>
      <c r="I237" t="s">
        <v>96</v>
      </c>
      <c r="J237" t="s">
        <v>402</v>
      </c>
      <c r="M237" t="s">
        <v>415</v>
      </c>
      <c r="N237" t="e" vm="1">
        <v>#VALUE!</v>
      </c>
      <c r="O237" t="str" cm="1">
        <f t="array" aca="1" ref="O237" ca="1">_FV(N237,"Name")</f>
        <v>United States</v>
      </c>
      <c r="P237" t="s">
        <v>26</v>
      </c>
      <c r="R237" t="s">
        <v>776</v>
      </c>
      <c r="S237" s="1">
        <v>45688</v>
      </c>
      <c r="U237">
        <v>1</v>
      </c>
      <c r="V237">
        <v>1</v>
      </c>
      <c r="W237">
        <v>0</v>
      </c>
    </row>
    <row r="238" spans="1:23" x14ac:dyDescent="0.4">
      <c r="A238" t="s">
        <v>655</v>
      </c>
      <c r="D238" s="1">
        <v>45992</v>
      </c>
      <c r="E238" t="s">
        <v>15</v>
      </c>
      <c r="I238" t="s">
        <v>96</v>
      </c>
      <c r="J238" t="s">
        <v>402</v>
      </c>
      <c r="M238" t="s">
        <v>654</v>
      </c>
      <c r="N238" t="e" vm="35">
        <v>#VALUE!</v>
      </c>
      <c r="O238" t="str" cm="1">
        <f t="array" aca="1" ref="O238" ca="1">_FV(N238,"Name")</f>
        <v>Turkey</v>
      </c>
      <c r="P238" t="s">
        <v>11</v>
      </c>
      <c r="R238" t="s">
        <v>776</v>
      </c>
      <c r="S238" s="1">
        <v>46006</v>
      </c>
      <c r="U238">
        <v>1</v>
      </c>
      <c r="V238">
        <v>0</v>
      </c>
      <c r="W238">
        <v>0</v>
      </c>
    </row>
    <row r="239" spans="1:23" x14ac:dyDescent="0.4">
      <c r="A239" t="s">
        <v>613</v>
      </c>
      <c r="D239" s="1">
        <v>45992</v>
      </c>
      <c r="E239" t="s">
        <v>15</v>
      </c>
      <c r="I239" t="s">
        <v>96</v>
      </c>
      <c r="J239" t="s">
        <v>402</v>
      </c>
      <c r="M239" t="s">
        <v>612</v>
      </c>
      <c r="N239" t="e" vm="35">
        <v>#VALUE!</v>
      </c>
      <c r="O239" t="str" cm="1">
        <f t="array" aca="1" ref="O239" ca="1">_FV(N239,"Name")</f>
        <v>Turkey</v>
      </c>
      <c r="P239" t="s">
        <v>11</v>
      </c>
      <c r="R239" t="s">
        <v>776</v>
      </c>
      <c r="S239" s="1">
        <v>46006</v>
      </c>
      <c r="U239">
        <v>1</v>
      </c>
      <c r="V239">
        <v>1</v>
      </c>
      <c r="W239">
        <v>1</v>
      </c>
    </row>
    <row r="240" spans="1:23" x14ac:dyDescent="0.4">
      <c r="A240" s="4" t="s">
        <v>714</v>
      </c>
      <c r="D240" s="1">
        <v>45992</v>
      </c>
      <c r="E240" t="s">
        <v>15</v>
      </c>
      <c r="F240" t="s">
        <v>713</v>
      </c>
      <c r="H240" s="2" t="s">
        <v>715</v>
      </c>
      <c r="I240" t="s">
        <v>96</v>
      </c>
      <c r="J240" t="s">
        <v>402</v>
      </c>
      <c r="M240" t="s">
        <v>712</v>
      </c>
      <c r="N240" t="e" vm="33">
        <v>#VALUE!</v>
      </c>
      <c r="O240" t="str" cm="1">
        <f t="array" aca="1" ref="O240" ca="1">_FV(N240,"Name")</f>
        <v>Czech Republic</v>
      </c>
      <c r="P240" t="s">
        <v>11</v>
      </c>
      <c r="R240" t="s">
        <v>776</v>
      </c>
      <c r="S240" s="1">
        <v>46040</v>
      </c>
      <c r="U240">
        <v>1</v>
      </c>
      <c r="V240">
        <v>0</v>
      </c>
      <c r="W240">
        <v>0</v>
      </c>
    </row>
    <row r="241" spans="1:23" x14ac:dyDescent="0.4">
      <c r="A241" t="s">
        <v>568</v>
      </c>
      <c r="D241" s="1">
        <v>45992</v>
      </c>
      <c r="E241" t="s">
        <v>569</v>
      </c>
      <c r="I241" t="s">
        <v>96</v>
      </c>
      <c r="J241" t="s">
        <v>403</v>
      </c>
      <c r="M241" t="s">
        <v>570</v>
      </c>
      <c r="N241" t="e" vm="1">
        <v>#VALUE!</v>
      </c>
      <c r="O241" t="str" cm="1">
        <f t="array" aca="1" ref="O241" ca="1">_FV(N241,"Name")</f>
        <v>United States</v>
      </c>
      <c r="R241" t="s">
        <v>776</v>
      </c>
      <c r="S241" s="1">
        <v>46053</v>
      </c>
      <c r="U241">
        <v>0</v>
      </c>
      <c r="V241">
        <v>0</v>
      </c>
      <c r="W241">
        <v>0</v>
      </c>
    </row>
    <row r="242" spans="1:23" x14ac:dyDescent="0.4">
      <c r="A242" t="s">
        <v>791</v>
      </c>
      <c r="D242" s="1">
        <v>45992</v>
      </c>
      <c r="E242" t="s">
        <v>15</v>
      </c>
      <c r="H242" t="s">
        <v>802</v>
      </c>
      <c r="I242" t="s">
        <v>96</v>
      </c>
      <c r="J242" t="s">
        <v>402</v>
      </c>
      <c r="M242" t="s">
        <v>185</v>
      </c>
      <c r="N242" t="e" vm="9">
        <v>#VALUE!</v>
      </c>
      <c r="O242" t="str" cm="1">
        <f t="array" aca="1" ref="O242" ca="1">_FV(N242,"Name")</f>
        <v>Germany</v>
      </c>
      <c r="P242" t="s">
        <v>26</v>
      </c>
      <c r="R242" t="s">
        <v>776</v>
      </c>
      <c r="S242" s="1">
        <v>46022</v>
      </c>
      <c r="U242">
        <v>1</v>
      </c>
      <c r="V242">
        <v>0</v>
      </c>
      <c r="W242">
        <v>0</v>
      </c>
    </row>
    <row r="243" spans="1:23" x14ac:dyDescent="0.4">
      <c r="A243" t="s">
        <v>792</v>
      </c>
      <c r="C243" t="s">
        <v>794</v>
      </c>
      <c r="D243" s="1">
        <v>45992</v>
      </c>
      <c r="E243" t="s">
        <v>15</v>
      </c>
      <c r="F243" s="2" t="s">
        <v>795</v>
      </c>
      <c r="I243" t="s">
        <v>96</v>
      </c>
      <c r="J243" t="s">
        <v>402</v>
      </c>
      <c r="M243" t="s">
        <v>793</v>
      </c>
      <c r="N243" t="e" vm="9">
        <v>#VALUE!</v>
      </c>
      <c r="O243" t="str" cm="1">
        <f t="array" aca="1" ref="O243" ca="1">_FV(N243,"Name")</f>
        <v>Germany</v>
      </c>
      <c r="P243" t="s">
        <v>26</v>
      </c>
      <c r="R243" t="s">
        <v>776</v>
      </c>
      <c r="S243" s="1">
        <v>46053</v>
      </c>
      <c r="U243">
        <v>1</v>
      </c>
      <c r="V243">
        <v>0</v>
      </c>
      <c r="W243">
        <v>0</v>
      </c>
    </row>
    <row r="244" spans="1:23" x14ac:dyDescent="0.4">
      <c r="A244" t="s">
        <v>796</v>
      </c>
      <c r="D244" s="1">
        <v>45992</v>
      </c>
      <c r="E244" t="s">
        <v>15</v>
      </c>
      <c r="H244" t="s">
        <v>797</v>
      </c>
      <c r="I244" t="s">
        <v>96</v>
      </c>
      <c r="J244" t="s">
        <v>402</v>
      </c>
      <c r="M244" t="s">
        <v>750</v>
      </c>
      <c r="N244" t="e" vm="15">
        <v>#VALUE!</v>
      </c>
      <c r="O244" t="str" cm="1">
        <f t="array" aca="1" ref="O244" ca="1">_FV(N244,"Name")</f>
        <v>Switzerland</v>
      </c>
      <c r="P244" t="s">
        <v>26</v>
      </c>
      <c r="R244" t="s">
        <v>776</v>
      </c>
      <c r="S244" s="1">
        <v>46054</v>
      </c>
      <c r="U244">
        <v>1</v>
      </c>
      <c r="V244">
        <v>0</v>
      </c>
      <c r="W244">
        <v>0</v>
      </c>
    </row>
    <row r="245" spans="1:23" x14ac:dyDescent="0.4">
      <c r="A245" t="s">
        <v>798</v>
      </c>
      <c r="C245" t="s">
        <v>800</v>
      </c>
      <c r="D245" s="1">
        <v>45992</v>
      </c>
      <c r="E245" t="s">
        <v>40</v>
      </c>
      <c r="I245" t="s">
        <v>96</v>
      </c>
      <c r="J245" t="s">
        <v>402</v>
      </c>
      <c r="M245" t="s">
        <v>799</v>
      </c>
      <c r="N245" t="e" vm="21">
        <v>#VALUE!</v>
      </c>
      <c r="O245" t="str" cm="1">
        <f t="array" aca="1" ref="O245" ca="1">_FV(N245,"Name")</f>
        <v>United Kingdom</v>
      </c>
      <c r="P245" t="s">
        <v>11</v>
      </c>
      <c r="R245" t="s">
        <v>776</v>
      </c>
      <c r="S245" s="1">
        <v>46026</v>
      </c>
      <c r="U245">
        <v>1</v>
      </c>
      <c r="V245">
        <v>0</v>
      </c>
      <c r="W245">
        <v>0</v>
      </c>
    </row>
    <row r="246" spans="1:23" x14ac:dyDescent="0.4">
      <c r="A246" t="s">
        <v>864</v>
      </c>
      <c r="D246" s="1">
        <v>45996</v>
      </c>
      <c r="E246" t="s">
        <v>15</v>
      </c>
      <c r="F246" s="2" t="s">
        <v>865</v>
      </c>
      <c r="I246" t="s">
        <v>96</v>
      </c>
      <c r="J246" t="s">
        <v>402</v>
      </c>
      <c r="M246" t="s">
        <v>720</v>
      </c>
      <c r="N246" t="e" vm="20">
        <v>#VALUE!</v>
      </c>
      <c r="O246" t="str" cm="1">
        <f t="array" aca="1" ref="O246" ca="1">_FV(N246,"Name")</f>
        <v>Denmark</v>
      </c>
      <c r="P246" t="s">
        <v>26</v>
      </c>
      <c r="R246" t="s">
        <v>776</v>
      </c>
      <c r="S246" s="1">
        <v>46005</v>
      </c>
      <c r="U246">
        <v>1</v>
      </c>
      <c r="V246">
        <v>0</v>
      </c>
      <c r="W246">
        <v>0</v>
      </c>
    </row>
    <row r="247" spans="1:23" x14ac:dyDescent="0.4">
      <c r="A247" t="s">
        <v>866</v>
      </c>
      <c r="D247" s="1">
        <v>45996</v>
      </c>
      <c r="E247" t="s">
        <v>15</v>
      </c>
      <c r="I247" t="s">
        <v>96</v>
      </c>
      <c r="J247" t="s">
        <v>402</v>
      </c>
      <c r="M247" t="s">
        <v>397</v>
      </c>
      <c r="N247" t="e" vm="15">
        <v>#VALUE!</v>
      </c>
      <c r="O247" t="str" cm="1">
        <f t="array" aca="1" ref="O247" ca="1">_FV(N247,"Name")</f>
        <v>Switzerland</v>
      </c>
      <c r="P247" t="s">
        <v>26</v>
      </c>
      <c r="R247" t="s">
        <v>776</v>
      </c>
      <c r="S247" s="1">
        <v>46001</v>
      </c>
      <c r="U247">
        <v>1</v>
      </c>
      <c r="V247">
        <v>0</v>
      </c>
      <c r="W247">
        <v>0</v>
      </c>
    </row>
    <row r="248" spans="1:23" x14ac:dyDescent="0.4">
      <c r="A248" t="s">
        <v>784</v>
      </c>
      <c r="D248" s="1">
        <v>46006</v>
      </c>
      <c r="E248" t="s">
        <v>40</v>
      </c>
      <c r="F248" t="s">
        <v>785</v>
      </c>
      <c r="I248" t="s">
        <v>96</v>
      </c>
      <c r="J248" t="s">
        <v>402</v>
      </c>
      <c r="K248" t="s">
        <v>244</v>
      </c>
      <c r="L248" s="1">
        <v>46027</v>
      </c>
      <c r="M248" t="s">
        <v>786</v>
      </c>
      <c r="N248" t="e" vm="1">
        <v>#VALUE!</v>
      </c>
      <c r="O248" t="str" cm="1">
        <f t="array" aca="1" ref="O248" ca="1">_FV(N248,"Name")</f>
        <v>United States</v>
      </c>
      <c r="P248" t="s">
        <v>26</v>
      </c>
      <c r="R248" t="s">
        <v>776</v>
      </c>
      <c r="S248" s="1">
        <v>46026</v>
      </c>
      <c r="U248">
        <v>1</v>
      </c>
      <c r="V248">
        <v>0</v>
      </c>
      <c r="W248">
        <v>0</v>
      </c>
    </row>
    <row r="249" spans="1:23" x14ac:dyDescent="0.4">
      <c r="A249" t="s">
        <v>838</v>
      </c>
      <c r="D249" s="1">
        <v>46006</v>
      </c>
      <c r="E249" t="s">
        <v>841</v>
      </c>
      <c r="H249" t="s">
        <v>839</v>
      </c>
      <c r="I249" t="s">
        <v>96</v>
      </c>
      <c r="J249" t="s">
        <v>402</v>
      </c>
      <c r="M249" t="s">
        <v>840</v>
      </c>
      <c r="N249" t="e" vm="14">
        <v>#VALUE!</v>
      </c>
      <c r="O249" t="str" cm="1">
        <f t="array" aca="1" ref="O249" ca="1">_FV(N249,"Name")</f>
        <v>Sweden</v>
      </c>
      <c r="P249" t="s">
        <v>26</v>
      </c>
      <c r="R249" t="s">
        <v>776</v>
      </c>
      <c r="S249" s="1">
        <v>46022</v>
      </c>
      <c r="U249">
        <v>1</v>
      </c>
      <c r="V249">
        <v>0</v>
      </c>
      <c r="W249">
        <v>0</v>
      </c>
    </row>
    <row r="250" spans="1:23" x14ac:dyDescent="0.4">
      <c r="A250" t="s">
        <v>662</v>
      </c>
      <c r="D250" s="1">
        <v>46011</v>
      </c>
      <c r="E250" t="s">
        <v>15</v>
      </c>
      <c r="H250" t="s">
        <v>664</v>
      </c>
      <c r="I250" t="s">
        <v>96</v>
      </c>
      <c r="J250" t="s">
        <v>402</v>
      </c>
      <c r="M250" t="s">
        <v>663</v>
      </c>
      <c r="N250" t="e" vm="12">
        <v>#VALUE!</v>
      </c>
      <c r="O250" t="str" cm="1">
        <f t="array" aca="1" ref="O250" ca="1">_FV(N250,"Name")</f>
        <v>Italy</v>
      </c>
      <c r="P250" t="s">
        <v>26</v>
      </c>
      <c r="R250" t="s">
        <v>776</v>
      </c>
      <c r="S250" s="1">
        <v>46037</v>
      </c>
      <c r="U250">
        <v>1</v>
      </c>
      <c r="V250">
        <v>0</v>
      </c>
      <c r="W250">
        <v>0</v>
      </c>
    </row>
    <row r="251" spans="1:23" x14ac:dyDescent="0.4">
      <c r="A251" t="s">
        <v>722</v>
      </c>
      <c r="C251" t="s">
        <v>723</v>
      </c>
      <c r="D251" s="1">
        <v>46016</v>
      </c>
      <c r="E251" t="s">
        <v>15</v>
      </c>
      <c r="F251" t="s">
        <v>721</v>
      </c>
      <c r="I251" t="s">
        <v>96</v>
      </c>
      <c r="J251" t="s">
        <v>402</v>
      </c>
      <c r="M251" t="s">
        <v>720</v>
      </c>
      <c r="N251" t="e" vm="20">
        <v>#VALUE!</v>
      </c>
      <c r="O251" t="str" cm="1">
        <f t="array" aca="1" ref="O251" ca="1">_FV(N251,"Name")</f>
        <v>Denmark</v>
      </c>
      <c r="P251" t="s">
        <v>26</v>
      </c>
      <c r="R251" t="s">
        <v>776</v>
      </c>
      <c r="S251" s="1">
        <v>45992</v>
      </c>
      <c r="U251">
        <v>1</v>
      </c>
      <c r="V251">
        <v>0</v>
      </c>
      <c r="W251">
        <v>0</v>
      </c>
    </row>
    <row r="252" spans="1:23" x14ac:dyDescent="0.4">
      <c r="A252" s="4" t="s">
        <v>719</v>
      </c>
      <c r="B252" s="19"/>
      <c r="C252" t="s">
        <v>783</v>
      </c>
      <c r="D252" s="1">
        <v>46016</v>
      </c>
      <c r="E252" t="s">
        <v>15</v>
      </c>
      <c r="G252">
        <v>3</v>
      </c>
      <c r="I252" t="s">
        <v>96</v>
      </c>
      <c r="J252" t="s">
        <v>402</v>
      </c>
      <c r="K252" t="s">
        <v>309</v>
      </c>
      <c r="L252" s="1">
        <v>45992</v>
      </c>
      <c r="M252" s="2" t="s">
        <v>718</v>
      </c>
      <c r="N252" t="e" vm="12">
        <v>#VALUE!</v>
      </c>
      <c r="O252" t="str" cm="1">
        <f t="array" aca="1" ref="O252" ca="1">_FV(N252,"Name")</f>
        <v>Italy</v>
      </c>
      <c r="P252" t="s">
        <v>11</v>
      </c>
      <c r="R252" t="s">
        <v>776</v>
      </c>
      <c r="S252" s="1">
        <v>45996</v>
      </c>
      <c r="U252">
        <v>1</v>
      </c>
      <c r="V252">
        <v>0</v>
      </c>
      <c r="W252">
        <v>0</v>
      </c>
    </row>
    <row r="253" spans="1:23" x14ac:dyDescent="0.4">
      <c r="A253" t="s">
        <v>787</v>
      </c>
      <c r="D253" s="1">
        <v>46016</v>
      </c>
      <c r="E253" t="s">
        <v>15</v>
      </c>
      <c r="I253" t="s">
        <v>96</v>
      </c>
      <c r="J253" t="s">
        <v>402</v>
      </c>
      <c r="M253" t="s">
        <v>788</v>
      </c>
      <c r="N253" t="e" vm="9">
        <v>#VALUE!</v>
      </c>
      <c r="O253" t="str" cm="1">
        <f t="array" aca="1" ref="O253" ca="1">_FV(N253,"Name")</f>
        <v>Germany</v>
      </c>
      <c r="R253" t="s">
        <v>776</v>
      </c>
      <c r="S253" s="1">
        <v>45992</v>
      </c>
      <c r="U253">
        <v>0</v>
      </c>
      <c r="V253">
        <v>0</v>
      </c>
      <c r="W253">
        <v>0</v>
      </c>
    </row>
    <row r="254" spans="1:23" x14ac:dyDescent="0.4">
      <c r="A254" t="s">
        <v>790</v>
      </c>
      <c r="D254" s="1">
        <v>46016</v>
      </c>
      <c r="E254" t="s">
        <v>15</v>
      </c>
      <c r="I254" t="s">
        <v>96</v>
      </c>
      <c r="J254" t="s">
        <v>402</v>
      </c>
      <c r="M254" t="s">
        <v>789</v>
      </c>
      <c r="N254" t="e" vm="22">
        <v>#VALUE!</v>
      </c>
      <c r="O254" t="str" cm="1">
        <f t="array" aca="1" ref="O254" ca="1">_FV(N254,"Name")</f>
        <v>Portugal</v>
      </c>
      <c r="P254" t="s">
        <v>11</v>
      </c>
      <c r="R254" t="s">
        <v>776</v>
      </c>
      <c r="S254" s="1">
        <v>45992</v>
      </c>
      <c r="U254">
        <v>1</v>
      </c>
      <c r="V254">
        <v>0</v>
      </c>
      <c r="W254">
        <v>0</v>
      </c>
    </row>
    <row r="255" spans="1:23" x14ac:dyDescent="0.4">
      <c r="A255" t="s">
        <v>528</v>
      </c>
      <c r="C255" t="s">
        <v>178</v>
      </c>
      <c r="D255" s="1">
        <v>46023</v>
      </c>
      <c r="E255" t="s">
        <v>529</v>
      </c>
      <c r="I255" t="s">
        <v>96</v>
      </c>
      <c r="J255" t="s">
        <v>402</v>
      </c>
      <c r="M255" t="s">
        <v>530</v>
      </c>
      <c r="N255" t="e" vm="1">
        <v>#VALUE!</v>
      </c>
      <c r="O255" t="str" cm="1">
        <f t="array" aca="1" ref="O255" ca="1">_FV(N255,"Name")</f>
        <v>United States</v>
      </c>
      <c r="P255" t="s">
        <v>19</v>
      </c>
      <c r="R255" t="s">
        <v>776</v>
      </c>
      <c r="S255" s="1">
        <v>46041</v>
      </c>
      <c r="U255">
        <v>1</v>
      </c>
      <c r="V255">
        <v>0</v>
      </c>
      <c r="W255">
        <v>1</v>
      </c>
    </row>
    <row r="256" spans="1:23" x14ac:dyDescent="0.4">
      <c r="A256" t="s">
        <v>564</v>
      </c>
      <c r="D256" s="1">
        <v>46023</v>
      </c>
      <c r="E256" t="s">
        <v>565</v>
      </c>
      <c r="I256" t="s">
        <v>96</v>
      </c>
      <c r="J256" t="s">
        <v>402</v>
      </c>
      <c r="M256" t="s">
        <v>566</v>
      </c>
      <c r="N256" t="e" vm="1">
        <v>#VALUE!</v>
      </c>
      <c r="O256" t="str" cm="1">
        <f t="array" aca="1" ref="O256" ca="1">_FV(N256,"Name")</f>
        <v>United States</v>
      </c>
      <c r="P256" t="s">
        <v>26</v>
      </c>
      <c r="R256" t="s">
        <v>776</v>
      </c>
      <c r="S256" s="1">
        <v>45664</v>
      </c>
      <c r="U256">
        <v>1</v>
      </c>
      <c r="V256">
        <v>0</v>
      </c>
      <c r="W256">
        <v>0</v>
      </c>
    </row>
    <row r="257" spans="1:23" x14ac:dyDescent="0.4">
      <c r="A257" t="s">
        <v>804</v>
      </c>
      <c r="D257" s="1">
        <v>46023</v>
      </c>
      <c r="E257" s="2" t="s">
        <v>803</v>
      </c>
      <c r="F257" s="2" t="s">
        <v>806</v>
      </c>
      <c r="I257" t="s">
        <v>96</v>
      </c>
      <c r="J257" t="s">
        <v>402</v>
      </c>
      <c r="M257" t="s">
        <v>805</v>
      </c>
      <c r="N257" t="e" vm="1">
        <v>#VALUE!</v>
      </c>
      <c r="O257" t="str" cm="1">
        <f t="array" aca="1" ref="O257" ca="1">_FV(N257,"Name")</f>
        <v>United States</v>
      </c>
      <c r="P257" t="s">
        <v>26</v>
      </c>
      <c r="R257" t="s">
        <v>776</v>
      </c>
      <c r="S257" s="1">
        <v>46038</v>
      </c>
      <c r="U257">
        <v>1</v>
      </c>
      <c r="V257">
        <v>0</v>
      </c>
      <c r="W257">
        <v>0</v>
      </c>
    </row>
    <row r="258" spans="1:23" x14ac:dyDescent="0.4">
      <c r="A258" t="s">
        <v>807</v>
      </c>
      <c r="D258" s="1">
        <v>46023</v>
      </c>
      <c r="E258" t="s">
        <v>15</v>
      </c>
      <c r="I258" t="s">
        <v>96</v>
      </c>
      <c r="J258" t="s">
        <v>402</v>
      </c>
      <c r="M258" t="s">
        <v>808</v>
      </c>
      <c r="N258" t="e" vm="4">
        <v>#VALUE!</v>
      </c>
      <c r="O258" t="str" cm="1">
        <f t="array" aca="1" ref="O258" ca="1">_FV(N258,"Name")</f>
        <v>France</v>
      </c>
      <c r="P258" t="s">
        <v>11</v>
      </c>
      <c r="R258" t="s">
        <v>776</v>
      </c>
      <c r="S258" s="1">
        <v>46052</v>
      </c>
      <c r="U258">
        <v>1</v>
      </c>
      <c r="V258">
        <v>0</v>
      </c>
      <c r="W258">
        <v>0</v>
      </c>
    </row>
    <row r="259" spans="1:23" x14ac:dyDescent="0.4">
      <c r="A259" t="s">
        <v>809</v>
      </c>
      <c r="C259" t="s">
        <v>812</v>
      </c>
      <c r="D259" s="1">
        <v>46023</v>
      </c>
      <c r="E259" t="s">
        <v>40</v>
      </c>
      <c r="F259" t="s">
        <v>811</v>
      </c>
      <c r="H259" t="s">
        <v>813</v>
      </c>
      <c r="I259" t="s">
        <v>96</v>
      </c>
      <c r="J259" t="s">
        <v>402</v>
      </c>
      <c r="M259" t="s">
        <v>810</v>
      </c>
      <c r="N259" t="e" vm="1">
        <v>#VALUE!</v>
      </c>
      <c r="O259" t="str" cm="1">
        <f t="array" aca="1" ref="O259" ca="1">_FV(N259,"Name")</f>
        <v>United States</v>
      </c>
      <c r="P259" t="s">
        <v>11</v>
      </c>
      <c r="R259" t="s">
        <v>776</v>
      </c>
      <c r="S259" s="1">
        <v>46037</v>
      </c>
      <c r="U259">
        <v>1</v>
      </c>
      <c r="V259">
        <v>0</v>
      </c>
      <c r="W259">
        <v>0</v>
      </c>
    </row>
    <row r="260" spans="1:23" x14ac:dyDescent="0.4">
      <c r="A260" t="s">
        <v>814</v>
      </c>
      <c r="D260" s="1">
        <v>46023</v>
      </c>
      <c r="E260" t="s">
        <v>40</v>
      </c>
      <c r="F260" s="2" t="s">
        <v>815</v>
      </c>
      <c r="I260" t="s">
        <v>96</v>
      </c>
      <c r="J260" t="s">
        <v>402</v>
      </c>
      <c r="M260" t="s">
        <v>816</v>
      </c>
      <c r="N260" t="e" vm="1">
        <v>#VALUE!</v>
      </c>
      <c r="O260" t="str" cm="1">
        <f t="array" aca="1" ref="O260" ca="1">_FV(N260,"Name")</f>
        <v>United States</v>
      </c>
      <c r="P260" t="s">
        <v>11</v>
      </c>
      <c r="R260" t="s">
        <v>776</v>
      </c>
      <c r="S260" s="1">
        <v>46066</v>
      </c>
      <c r="U260">
        <v>1</v>
      </c>
      <c r="V260">
        <v>0</v>
      </c>
      <c r="W260">
        <v>0</v>
      </c>
    </row>
    <row r="261" spans="1:23" x14ac:dyDescent="0.4">
      <c r="A261" t="s">
        <v>817</v>
      </c>
      <c r="D261" s="1">
        <v>46023</v>
      </c>
      <c r="E261" t="s">
        <v>40</v>
      </c>
      <c r="F261" t="s">
        <v>818</v>
      </c>
      <c r="I261" t="s">
        <v>96</v>
      </c>
      <c r="J261" t="s">
        <v>402</v>
      </c>
      <c r="M261" t="s">
        <v>819</v>
      </c>
      <c r="N261" t="e" vm="3">
        <v>#VALUE!</v>
      </c>
      <c r="O261" t="str" cm="1">
        <f t="array" aca="1" ref="O261" ca="1">_FV(N261,"Name")</f>
        <v>Japan</v>
      </c>
      <c r="P261" t="s">
        <v>11</v>
      </c>
      <c r="R261" t="s">
        <v>776</v>
      </c>
      <c r="S261" s="1">
        <v>46052</v>
      </c>
      <c r="U261">
        <v>1</v>
      </c>
      <c r="V261">
        <v>0</v>
      </c>
      <c r="W261">
        <v>0</v>
      </c>
    </row>
    <row r="262" spans="1:23" x14ac:dyDescent="0.4">
      <c r="A262" t="s">
        <v>821</v>
      </c>
      <c r="D262" s="1">
        <v>46023</v>
      </c>
      <c r="E262" t="s">
        <v>40</v>
      </c>
      <c r="F262" s="2" t="s">
        <v>822</v>
      </c>
      <c r="I262" t="s">
        <v>96</v>
      </c>
      <c r="J262" t="s">
        <v>402</v>
      </c>
      <c r="M262" t="s">
        <v>820</v>
      </c>
      <c r="N262" t="e" vm="1">
        <v>#VALUE!</v>
      </c>
      <c r="O262" t="str" cm="1">
        <f t="array" aca="1" ref="O262" ca="1">_FV(N262,"Name")</f>
        <v>United States</v>
      </c>
      <c r="P262" t="s">
        <v>11</v>
      </c>
      <c r="R262" t="s">
        <v>776</v>
      </c>
      <c r="S262" s="1">
        <v>46113</v>
      </c>
      <c r="U262">
        <v>1</v>
      </c>
      <c r="V262">
        <v>0</v>
      </c>
      <c r="W262">
        <v>0</v>
      </c>
    </row>
    <row r="263" spans="1:23" x14ac:dyDescent="0.4">
      <c r="A263" t="s">
        <v>823</v>
      </c>
      <c r="C263" t="s">
        <v>829</v>
      </c>
      <c r="D263" s="1">
        <v>46023</v>
      </c>
      <c r="E263" t="s">
        <v>40</v>
      </c>
      <c r="F263" s="2" t="s">
        <v>824</v>
      </c>
      <c r="I263" t="s">
        <v>96</v>
      </c>
      <c r="J263" t="s">
        <v>402</v>
      </c>
      <c r="M263" t="s">
        <v>825</v>
      </c>
      <c r="N263" t="e" vm="1">
        <v>#VALUE!</v>
      </c>
      <c r="O263" t="str" cm="1">
        <f t="array" aca="1" ref="O263" ca="1">_FV(N263,"Name")</f>
        <v>United States</v>
      </c>
      <c r="P263" t="s">
        <v>26</v>
      </c>
      <c r="R263" t="s">
        <v>776</v>
      </c>
      <c r="S263" s="1">
        <v>46038</v>
      </c>
      <c r="U263">
        <v>1</v>
      </c>
      <c r="V263">
        <v>0</v>
      </c>
      <c r="W263">
        <v>0</v>
      </c>
    </row>
    <row r="264" spans="1:23" x14ac:dyDescent="0.4">
      <c r="A264" t="s">
        <v>826</v>
      </c>
      <c r="C264" t="s">
        <v>828</v>
      </c>
      <c r="D264" s="1">
        <v>46023</v>
      </c>
      <c r="E264" t="s">
        <v>40</v>
      </c>
      <c r="F264" t="s">
        <v>830</v>
      </c>
      <c r="I264" t="s">
        <v>96</v>
      </c>
      <c r="J264" t="s">
        <v>402</v>
      </c>
      <c r="M264" t="s">
        <v>827</v>
      </c>
      <c r="N264" t="e" vm="1">
        <v>#VALUE!</v>
      </c>
      <c r="O264" t="str" cm="1">
        <f t="array" aca="1" ref="O264" ca="1">_FV(N264,"Name")</f>
        <v>United States</v>
      </c>
      <c r="P264" t="s">
        <v>11</v>
      </c>
      <c r="R264" t="s">
        <v>776</v>
      </c>
      <c r="S264" s="1">
        <v>46143</v>
      </c>
      <c r="U264">
        <v>1</v>
      </c>
      <c r="V264">
        <v>0</v>
      </c>
      <c r="W264">
        <v>0</v>
      </c>
    </row>
    <row r="265" spans="1:23" x14ac:dyDescent="0.4">
      <c r="A265" t="s">
        <v>831</v>
      </c>
      <c r="C265" t="s">
        <v>833</v>
      </c>
      <c r="D265" s="1">
        <v>46023</v>
      </c>
      <c r="E265" t="s">
        <v>40</v>
      </c>
      <c r="F265" s="2" t="s">
        <v>871</v>
      </c>
      <c r="I265" t="s">
        <v>96</v>
      </c>
      <c r="J265" t="s">
        <v>402</v>
      </c>
      <c r="M265" t="s">
        <v>832</v>
      </c>
      <c r="N265" t="e" vm="1">
        <v>#VALUE!</v>
      </c>
      <c r="O265" t="str" cm="1">
        <f t="array" aca="1" ref="O265" ca="1">_FV(N265,"Name")</f>
        <v>United States</v>
      </c>
      <c r="P265" t="s">
        <v>11</v>
      </c>
      <c r="R265" t="s">
        <v>776</v>
      </c>
      <c r="S265" s="1">
        <v>46027</v>
      </c>
      <c r="U265">
        <v>1</v>
      </c>
      <c r="V265">
        <v>0</v>
      </c>
      <c r="W265">
        <v>0</v>
      </c>
    </row>
    <row r="266" spans="1:23" x14ac:dyDescent="0.4">
      <c r="A266" t="s">
        <v>835</v>
      </c>
      <c r="D266" s="1">
        <v>46023</v>
      </c>
      <c r="E266" t="s">
        <v>836</v>
      </c>
      <c r="I266" t="s">
        <v>96</v>
      </c>
      <c r="J266" t="s">
        <v>402</v>
      </c>
      <c r="M266" t="s">
        <v>837</v>
      </c>
      <c r="N266" t="e" vm="1">
        <v>#VALUE!</v>
      </c>
      <c r="O266" t="str" cm="1">
        <f t="array" aca="1" ref="O266" ca="1">_FV(N266,"Name")</f>
        <v>United States</v>
      </c>
      <c r="P266" t="s">
        <v>11</v>
      </c>
      <c r="R266" t="s">
        <v>776</v>
      </c>
      <c r="U266">
        <v>1</v>
      </c>
      <c r="V266">
        <v>0</v>
      </c>
      <c r="W266">
        <v>0</v>
      </c>
    </row>
    <row r="267" spans="1:23" x14ac:dyDescent="0.4">
      <c r="A267" t="s">
        <v>842</v>
      </c>
      <c r="D267" s="1">
        <v>46023</v>
      </c>
      <c r="E267" t="s">
        <v>843</v>
      </c>
      <c r="I267" t="s">
        <v>152</v>
      </c>
      <c r="J267" t="s">
        <v>402</v>
      </c>
      <c r="M267" t="s">
        <v>844</v>
      </c>
      <c r="N267" t="e" vm="27">
        <v>#VALUE!</v>
      </c>
      <c r="O267" t="str" cm="1">
        <f t="array" aca="1" ref="O267" ca="1">_FV(N267,"Name")</f>
        <v>Russia</v>
      </c>
      <c r="P267" t="s">
        <v>11</v>
      </c>
      <c r="R267" t="s">
        <v>776</v>
      </c>
      <c r="S267" s="1">
        <v>46037</v>
      </c>
      <c r="U267">
        <v>1</v>
      </c>
      <c r="V267">
        <v>0</v>
      </c>
      <c r="W267">
        <v>0</v>
      </c>
    </row>
    <row r="268" spans="1:23" x14ac:dyDescent="0.4">
      <c r="A268" t="s">
        <v>845</v>
      </c>
      <c r="C268" t="s">
        <v>848</v>
      </c>
      <c r="D268" s="1">
        <v>46023</v>
      </c>
      <c r="E268" t="s">
        <v>847</v>
      </c>
      <c r="I268" t="s">
        <v>96</v>
      </c>
      <c r="J268" t="s">
        <v>402</v>
      </c>
      <c r="M268" t="s">
        <v>846</v>
      </c>
      <c r="N268" t="e" vm="1">
        <v>#VALUE!</v>
      </c>
      <c r="O268" t="str" cm="1">
        <f t="array" aca="1" ref="O268" ca="1">_FV(N268,"Name")</f>
        <v>United States</v>
      </c>
      <c r="P268" t="s">
        <v>26</v>
      </c>
      <c r="R268" t="s">
        <v>776</v>
      </c>
      <c r="S268" s="1">
        <v>46033</v>
      </c>
      <c r="U268">
        <v>1</v>
      </c>
      <c r="V268">
        <v>0</v>
      </c>
      <c r="W268">
        <v>0</v>
      </c>
    </row>
    <row r="269" spans="1:23" x14ac:dyDescent="0.4">
      <c r="A269" t="s">
        <v>850</v>
      </c>
      <c r="C269" t="s">
        <v>853</v>
      </c>
      <c r="D269" s="1">
        <v>46023</v>
      </c>
      <c r="E269" t="s">
        <v>40</v>
      </c>
      <c r="F269" t="s">
        <v>851</v>
      </c>
      <c r="I269" t="s">
        <v>96</v>
      </c>
      <c r="J269" t="s">
        <v>402</v>
      </c>
      <c r="M269" t="s">
        <v>852</v>
      </c>
      <c r="N269" t="e" vm="1">
        <v>#VALUE!</v>
      </c>
      <c r="O269" t="str" cm="1">
        <f t="array" aca="1" ref="O269" ca="1">_FV(N269,"Name")</f>
        <v>United States</v>
      </c>
      <c r="P269" t="s">
        <v>26</v>
      </c>
      <c r="R269" t="s">
        <v>776</v>
      </c>
      <c r="S269" s="1">
        <v>46173</v>
      </c>
      <c r="U269">
        <v>1</v>
      </c>
      <c r="V269">
        <v>0</v>
      </c>
      <c r="W269">
        <v>0</v>
      </c>
    </row>
    <row r="270" spans="1:23" x14ac:dyDescent="0.4">
      <c r="A270" t="s">
        <v>854</v>
      </c>
      <c r="D270" s="1">
        <v>46023</v>
      </c>
      <c r="E270" t="s">
        <v>40</v>
      </c>
      <c r="F270" t="s">
        <v>855</v>
      </c>
      <c r="I270" t="s">
        <v>96</v>
      </c>
      <c r="J270" t="s">
        <v>402</v>
      </c>
      <c r="M270" t="s">
        <v>493</v>
      </c>
      <c r="N270" t="e" vm="1">
        <v>#VALUE!</v>
      </c>
      <c r="O270" t="str" cm="1">
        <f t="array" aca="1" ref="O270" ca="1">_FV(N270,"Name")</f>
        <v>United States</v>
      </c>
      <c r="P270" t="s">
        <v>26</v>
      </c>
      <c r="R270" t="s">
        <v>776</v>
      </c>
      <c r="S270" s="1">
        <v>46028</v>
      </c>
      <c r="U270">
        <v>1</v>
      </c>
      <c r="V270">
        <v>0</v>
      </c>
      <c r="W270">
        <v>0</v>
      </c>
    </row>
    <row r="271" spans="1:23" x14ac:dyDescent="0.4">
      <c r="A271" t="s">
        <v>856</v>
      </c>
      <c r="D271" s="1">
        <v>46023</v>
      </c>
      <c r="E271" t="s">
        <v>15</v>
      </c>
      <c r="F271" s="2" t="s">
        <v>857</v>
      </c>
      <c r="H271" t="s">
        <v>859</v>
      </c>
      <c r="I271" t="s">
        <v>96</v>
      </c>
      <c r="J271" t="s">
        <v>402</v>
      </c>
      <c r="M271" t="s">
        <v>858</v>
      </c>
      <c r="N271" t="e" vm="21">
        <v>#VALUE!</v>
      </c>
      <c r="O271" t="str" cm="1">
        <f t="array" aca="1" ref="O271" ca="1">_FV(N271,"Name")</f>
        <v>United Kingdom</v>
      </c>
      <c r="P271" t="s">
        <v>11</v>
      </c>
      <c r="R271" t="s">
        <v>776</v>
      </c>
      <c r="S271" s="1">
        <v>46055</v>
      </c>
      <c r="U271">
        <v>1</v>
      </c>
      <c r="V271">
        <v>0</v>
      </c>
      <c r="W271">
        <v>0</v>
      </c>
    </row>
    <row r="272" spans="1:23" x14ac:dyDescent="0.4">
      <c r="A272" t="s">
        <v>860</v>
      </c>
      <c r="C272" t="s">
        <v>862</v>
      </c>
      <c r="D272" s="1">
        <v>46023</v>
      </c>
      <c r="E272" t="s">
        <v>15</v>
      </c>
      <c r="F272" s="2" t="s">
        <v>863</v>
      </c>
      <c r="I272" t="s">
        <v>23</v>
      </c>
      <c r="J272" t="s">
        <v>402</v>
      </c>
      <c r="M272" t="s">
        <v>861</v>
      </c>
      <c r="N272" t="e" vm="29">
        <v>#VALUE!</v>
      </c>
      <c r="O272" t="str" cm="1">
        <f t="array" aca="1" ref="O272" ca="1">_FV(N272,"Name")</f>
        <v>Belgium</v>
      </c>
      <c r="P272" t="s">
        <v>11</v>
      </c>
      <c r="R272" t="s">
        <v>776</v>
      </c>
      <c r="S272" s="1">
        <v>46026</v>
      </c>
      <c r="U272">
        <v>1</v>
      </c>
      <c r="V272">
        <v>0</v>
      </c>
      <c r="W272">
        <v>0</v>
      </c>
    </row>
    <row r="273" spans="1:23" x14ac:dyDescent="0.4">
      <c r="A273" t="s">
        <v>867</v>
      </c>
      <c r="D273" s="1">
        <v>46023</v>
      </c>
      <c r="E273" t="s">
        <v>15</v>
      </c>
      <c r="I273" t="s">
        <v>96</v>
      </c>
      <c r="J273" t="s">
        <v>402</v>
      </c>
      <c r="M273" t="s">
        <v>868</v>
      </c>
      <c r="N273" t="e" vm="36">
        <v>#VALUE!</v>
      </c>
      <c r="O273" t="str" cm="1">
        <f t="array" aca="1" ref="O273" ca="1">_FV(N273,"Name")</f>
        <v>Ukraine</v>
      </c>
      <c r="P273" t="s">
        <v>11</v>
      </c>
      <c r="R273" t="s">
        <v>776</v>
      </c>
      <c r="S273" s="1">
        <v>46036</v>
      </c>
      <c r="U273">
        <v>1</v>
      </c>
      <c r="V273">
        <v>0</v>
      </c>
      <c r="W273">
        <v>0</v>
      </c>
    </row>
    <row r="274" spans="1:23" x14ac:dyDescent="0.4">
      <c r="A274" t="s">
        <v>869</v>
      </c>
      <c r="D274" s="1">
        <v>46023</v>
      </c>
      <c r="E274" t="s">
        <v>15</v>
      </c>
      <c r="I274" t="s">
        <v>96</v>
      </c>
      <c r="J274" t="s">
        <v>402</v>
      </c>
      <c r="M274" t="s">
        <v>870</v>
      </c>
      <c r="N274" t="e" vm="32">
        <v>#VALUE!</v>
      </c>
      <c r="O274" t="str" cm="1">
        <f t="array" aca="1" ref="O274" ca="1">_FV(N274,"Name")</f>
        <v>Argentina</v>
      </c>
      <c r="P274" t="s">
        <v>11</v>
      </c>
      <c r="R274" t="s">
        <v>776</v>
      </c>
      <c r="S274" s="1">
        <v>46053</v>
      </c>
      <c r="U274">
        <v>1</v>
      </c>
      <c r="V274">
        <v>0</v>
      </c>
      <c r="W274">
        <v>0</v>
      </c>
    </row>
    <row r="275" spans="1:23" x14ac:dyDescent="0.4">
      <c r="A275" t="s">
        <v>872</v>
      </c>
      <c r="C275" t="s">
        <v>876</v>
      </c>
      <c r="D275" s="1">
        <v>46023</v>
      </c>
      <c r="E275" s="2" t="s">
        <v>875</v>
      </c>
      <c r="F275" t="s">
        <v>873</v>
      </c>
      <c r="I275" t="s">
        <v>96</v>
      </c>
      <c r="J275" t="s">
        <v>402</v>
      </c>
      <c r="M275" t="s">
        <v>874</v>
      </c>
      <c r="N275" t="e" vm="19">
        <v>#VALUE!</v>
      </c>
      <c r="O275" t="s">
        <v>879</v>
      </c>
      <c r="P275" t="s">
        <v>11</v>
      </c>
      <c r="R275" t="s">
        <v>776</v>
      </c>
      <c r="S275" s="1">
        <v>46034</v>
      </c>
      <c r="U275">
        <v>1</v>
      </c>
      <c r="V275">
        <v>0</v>
      </c>
      <c r="W275">
        <v>0</v>
      </c>
    </row>
    <row r="276" spans="1:23" x14ac:dyDescent="0.4">
      <c r="A276" t="s">
        <v>255</v>
      </c>
      <c r="E276" t="s">
        <v>15</v>
      </c>
      <c r="F276" s="2" t="s">
        <v>257</v>
      </c>
      <c r="I276" t="s">
        <v>96</v>
      </c>
      <c r="J276" t="s">
        <v>402</v>
      </c>
      <c r="M276" t="s">
        <v>256</v>
      </c>
      <c r="N276" t="e" vm="1">
        <v>#VALUE!</v>
      </c>
      <c r="O276" t="str" cm="1">
        <f t="array" aca="1" ref="O276" ca="1">_FV(N276,"Name")</f>
        <v>United States</v>
      </c>
      <c r="P276" t="s">
        <v>11</v>
      </c>
      <c r="R276" t="s">
        <v>776</v>
      </c>
      <c r="U276">
        <v>0</v>
      </c>
      <c r="V276">
        <v>0</v>
      </c>
      <c r="W276">
        <v>0</v>
      </c>
    </row>
  </sheetData>
  <autoFilter ref="A1:W267" xr:uid="{F7772053-9363-CA4A-A53F-040B7C700753}">
    <sortState xmlns:xlrd2="http://schemas.microsoft.com/office/spreadsheetml/2017/richdata2" ref="A2:W276">
      <sortCondition ref="D1:D267"/>
    </sortState>
  </autoFilter>
  <conditionalFormatting sqref="A1:B208 A210:B1048576">
    <cfRule type="duplicateValues" dxfId="227" priority="23"/>
  </conditionalFormatting>
  <conditionalFormatting sqref="A2:B22">
    <cfRule type="duplicateValues" dxfId="226" priority="24"/>
  </conditionalFormatting>
  <conditionalFormatting sqref="A61:B61">
    <cfRule type="duplicateValues" dxfId="225" priority="22"/>
  </conditionalFormatting>
  <conditionalFormatting sqref="I1:I1048576">
    <cfRule type="containsText" dxfId="224" priority="15" operator="containsText" text="closed">
      <formula>NOT(ISERROR(SEARCH("closed",I1)))</formula>
    </cfRule>
    <cfRule type="containsText" dxfId="223" priority="16" operator="containsText" text="abandoned">
      <formula>NOT(ISERROR(SEARCH("abandoned",I1)))</formula>
    </cfRule>
    <cfRule type="containsText" dxfId="222"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 R276 I1:J1">
    <cfRule type="containsText" dxfId="221" priority="21" operator="containsText" text="completed">
      <formula>NOT(ISERROR(SEARCH("completed",I1)))</formula>
    </cfRule>
  </conditionalFormatting>
  <conditionalFormatting sqref="J1:J1048576">
    <cfRule type="containsText" dxfId="220" priority="10" operator="containsText" text="no news">
      <formula>NOT(ISERROR(SEARCH("no news",J1)))</formula>
    </cfRule>
    <cfRule type="containsText" dxfId="219" priority="11" operator="containsText" text="offer">
      <formula>NOT(ISERROR(SEARCH("offer",J1)))</formula>
    </cfRule>
    <cfRule type="containsText" dxfId="218" priority="12" operator="containsText" text="fly out">
      <formula>NOT(ISERROR(SEARCH("fly out",J1)))</formula>
    </cfRule>
    <cfRule type="containsText" dxfId="217" priority="13" operator="containsText" text="interview">
      <formula>NOT(ISERROR(SEARCH("interview",J1)))</formula>
    </cfRule>
    <cfRule type="containsText" dxfId="216"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 R276">
    <cfRule type="containsText" dxfId="215" priority="19" operator="containsText" text="NO">
      <formula>NOT(ISERROR(SEARCH("NO",K1)))</formula>
    </cfRule>
    <cfRule type="containsText" dxfId="214" priority="20" operator="containsText" text="YES">
      <formula>NOT(ISERROR(SEARCH("YES",K1)))</formula>
    </cfRule>
  </conditionalFormatting>
  <conditionalFormatting sqref="P250:P267">
    <cfRule type="containsText" dxfId="213" priority="1" operator="containsText" text="NO">
      <formula>NOT(ISERROR(SEARCH("NO",P250)))</formula>
    </cfRule>
    <cfRule type="containsText" dxfId="212" priority="2" operator="containsText" text="YES">
      <formula>NOT(ISERROR(SEARCH("YES",P250)))</formula>
    </cfRule>
    <cfRule type="containsText" dxfId="211"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s>
  <pageMargins left="0.7" right="0.7" top="0.75" bottom="0.75" header="0.3" footer="0.3"/>
  <pageSetup orientation="portrait" horizontalDpi="300" verticalDpi="300"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09"/>
  <sheetViews>
    <sheetView topLeftCell="A297" zoomScale="208" workbookViewId="0">
      <selection activeCell="B309" sqref="B309"/>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row r="293" spans="1:3" x14ac:dyDescent="0.4">
      <c r="A293" s="1">
        <v>46001</v>
      </c>
      <c r="B293" t="s">
        <v>682</v>
      </c>
      <c r="C293" t="s">
        <v>403</v>
      </c>
    </row>
    <row r="294" spans="1:3" x14ac:dyDescent="0.4">
      <c r="A294" s="1">
        <v>46003</v>
      </c>
      <c r="B294" t="s">
        <v>784</v>
      </c>
      <c r="C294" t="s">
        <v>97</v>
      </c>
    </row>
    <row r="295" spans="1:3" x14ac:dyDescent="0.4">
      <c r="A295" s="1">
        <v>46003</v>
      </c>
      <c r="B295" t="s">
        <v>368</v>
      </c>
      <c r="C295" t="s">
        <v>403</v>
      </c>
    </row>
    <row r="296" spans="1:3" x14ac:dyDescent="0.4">
      <c r="A296" s="1">
        <v>46005</v>
      </c>
      <c r="B296" t="s">
        <v>835</v>
      </c>
      <c r="C296" t="s">
        <v>97</v>
      </c>
    </row>
    <row r="297" spans="1:3" x14ac:dyDescent="0.4">
      <c r="A297" s="1">
        <v>46005</v>
      </c>
      <c r="B297" t="s">
        <v>845</v>
      </c>
      <c r="C297" t="s">
        <v>97</v>
      </c>
    </row>
    <row r="298" spans="1:3" x14ac:dyDescent="0.4">
      <c r="A298" s="1">
        <v>46005</v>
      </c>
      <c r="B298" t="s">
        <v>850</v>
      </c>
      <c r="C298" t="s">
        <v>97</v>
      </c>
    </row>
    <row r="299" spans="1:3" x14ac:dyDescent="0.4">
      <c r="A299" s="1">
        <v>46005</v>
      </c>
      <c r="B299" t="s">
        <v>854</v>
      </c>
      <c r="C299" t="s">
        <v>97</v>
      </c>
    </row>
    <row r="300" spans="1:3" x14ac:dyDescent="0.4">
      <c r="A300" s="1">
        <v>46005</v>
      </c>
      <c r="B300" t="s">
        <v>856</v>
      </c>
      <c r="C300" t="s">
        <v>97</v>
      </c>
    </row>
    <row r="301" spans="1:3" x14ac:dyDescent="0.4">
      <c r="A301" s="1">
        <v>46005</v>
      </c>
      <c r="B301" t="s">
        <v>867</v>
      </c>
      <c r="C301" t="s">
        <v>97</v>
      </c>
    </row>
    <row r="302" spans="1:3" x14ac:dyDescent="0.4">
      <c r="A302" s="1">
        <v>46005</v>
      </c>
      <c r="B302" t="s">
        <v>869</v>
      </c>
      <c r="C302" t="s">
        <v>97</v>
      </c>
    </row>
    <row r="303" spans="1:3" x14ac:dyDescent="0.4">
      <c r="A303" s="1">
        <v>46005</v>
      </c>
      <c r="B303" t="s">
        <v>872</v>
      </c>
      <c r="C303" t="s">
        <v>97</v>
      </c>
    </row>
    <row r="304" spans="1:3" x14ac:dyDescent="0.4">
      <c r="A304" s="1">
        <v>46006</v>
      </c>
      <c r="B304" t="s">
        <v>301</v>
      </c>
      <c r="C304" t="s">
        <v>403</v>
      </c>
    </row>
    <row r="305" spans="1:3" x14ac:dyDescent="0.4">
      <c r="A305" s="1">
        <v>46007</v>
      </c>
      <c r="B305" t="s">
        <v>767</v>
      </c>
      <c r="C305" t="s">
        <v>405</v>
      </c>
    </row>
    <row r="306" spans="1:3" x14ac:dyDescent="0.4">
      <c r="A306" s="1">
        <v>46007</v>
      </c>
      <c r="B306" t="s">
        <v>564</v>
      </c>
      <c r="C306" t="s">
        <v>403</v>
      </c>
    </row>
    <row r="307" spans="1:3" x14ac:dyDescent="0.4">
      <c r="A307" s="1">
        <v>46010</v>
      </c>
      <c r="B307" t="s">
        <v>578</v>
      </c>
      <c r="C307" t="s">
        <v>403</v>
      </c>
    </row>
    <row r="308" spans="1:3" x14ac:dyDescent="0.4">
      <c r="A308" s="1">
        <v>46010</v>
      </c>
      <c r="B308" t="s">
        <v>763</v>
      </c>
      <c r="C308" t="s">
        <v>403</v>
      </c>
    </row>
    <row r="309" spans="1:3" x14ac:dyDescent="0.4">
      <c r="A309" s="1">
        <v>46010</v>
      </c>
      <c r="B309" t="s">
        <v>430</v>
      </c>
      <c r="C309" t="s">
        <v>403</v>
      </c>
    </row>
  </sheetData>
  <conditionalFormatting sqref="B5">
    <cfRule type="duplicateValues" dxfId="210" priority="218"/>
    <cfRule type="duplicateValues" dxfId="209" priority="219"/>
  </conditionalFormatting>
  <conditionalFormatting sqref="B10">
    <cfRule type="duplicateValues" dxfId="208" priority="217"/>
    <cfRule type="duplicateValues" dxfId="207" priority="216"/>
  </conditionalFormatting>
  <conditionalFormatting sqref="B11">
    <cfRule type="duplicateValues" dxfId="206" priority="215"/>
    <cfRule type="duplicateValues" dxfId="205" priority="214"/>
  </conditionalFormatting>
  <conditionalFormatting sqref="B12">
    <cfRule type="duplicateValues" dxfId="204" priority="213"/>
    <cfRule type="duplicateValues" dxfId="203" priority="212"/>
  </conditionalFormatting>
  <conditionalFormatting sqref="B15">
    <cfRule type="duplicateValues" dxfId="202" priority="211"/>
    <cfRule type="duplicateValues" dxfId="201" priority="210"/>
  </conditionalFormatting>
  <conditionalFormatting sqref="B16">
    <cfRule type="duplicateValues" dxfId="200" priority="209"/>
  </conditionalFormatting>
  <conditionalFormatting sqref="B17">
    <cfRule type="duplicateValues" dxfId="199" priority="208"/>
    <cfRule type="duplicateValues" dxfId="198" priority="207"/>
  </conditionalFormatting>
  <conditionalFormatting sqref="B18">
    <cfRule type="duplicateValues" dxfId="197" priority="206"/>
    <cfRule type="duplicateValues" dxfId="196" priority="205"/>
  </conditionalFormatting>
  <conditionalFormatting sqref="B19">
    <cfRule type="duplicateValues" dxfId="195" priority="204"/>
  </conditionalFormatting>
  <conditionalFormatting sqref="B22:B23">
    <cfRule type="duplicateValues" dxfId="194" priority="203"/>
    <cfRule type="duplicateValues" dxfId="193" priority="202"/>
  </conditionalFormatting>
  <conditionalFormatting sqref="B24">
    <cfRule type="duplicateValues" dxfId="192" priority="201"/>
    <cfRule type="duplicateValues" dxfId="191" priority="200"/>
  </conditionalFormatting>
  <conditionalFormatting sqref="B27">
    <cfRule type="duplicateValues" dxfId="190" priority="199"/>
    <cfRule type="duplicateValues" dxfId="189" priority="198"/>
  </conditionalFormatting>
  <conditionalFormatting sqref="B28">
    <cfRule type="duplicateValues" dxfId="188" priority="197"/>
  </conditionalFormatting>
  <conditionalFormatting sqref="B29">
    <cfRule type="duplicateValues" dxfId="187" priority="196"/>
    <cfRule type="duplicateValues" dxfId="186" priority="195"/>
  </conditionalFormatting>
  <conditionalFormatting sqref="B30">
    <cfRule type="duplicateValues" dxfId="185" priority="194"/>
  </conditionalFormatting>
  <conditionalFormatting sqref="B31">
    <cfRule type="duplicateValues" dxfId="184" priority="193"/>
  </conditionalFormatting>
  <conditionalFormatting sqref="B32">
    <cfRule type="duplicateValues" dxfId="183" priority="192"/>
  </conditionalFormatting>
  <conditionalFormatting sqref="B33">
    <cfRule type="duplicateValues" dxfId="182" priority="191"/>
  </conditionalFormatting>
  <conditionalFormatting sqref="B34">
    <cfRule type="duplicateValues" dxfId="181" priority="190"/>
  </conditionalFormatting>
  <conditionalFormatting sqref="B35">
    <cfRule type="duplicateValues" dxfId="180" priority="189"/>
  </conditionalFormatting>
  <conditionalFormatting sqref="B37">
    <cfRule type="duplicateValues" dxfId="179" priority="188"/>
  </conditionalFormatting>
  <conditionalFormatting sqref="B38">
    <cfRule type="duplicateValues" dxfId="178" priority="187"/>
  </conditionalFormatting>
  <conditionalFormatting sqref="B42">
    <cfRule type="duplicateValues" dxfId="177" priority="186"/>
  </conditionalFormatting>
  <conditionalFormatting sqref="B43">
    <cfRule type="duplicateValues" dxfId="176" priority="185"/>
  </conditionalFormatting>
  <conditionalFormatting sqref="B44:B45">
    <cfRule type="duplicateValues" dxfId="175" priority="184"/>
  </conditionalFormatting>
  <conditionalFormatting sqref="B46">
    <cfRule type="duplicateValues" dxfId="174" priority="183"/>
  </conditionalFormatting>
  <conditionalFormatting sqref="B48">
    <cfRule type="duplicateValues" dxfId="173" priority="182"/>
  </conditionalFormatting>
  <conditionalFormatting sqref="B49">
    <cfRule type="duplicateValues" dxfId="172" priority="181"/>
  </conditionalFormatting>
  <conditionalFormatting sqref="B51">
    <cfRule type="duplicateValues" dxfId="171" priority="180"/>
  </conditionalFormatting>
  <conditionalFormatting sqref="B52">
    <cfRule type="duplicateValues" dxfId="170" priority="179"/>
  </conditionalFormatting>
  <conditionalFormatting sqref="B58">
    <cfRule type="duplicateValues" dxfId="169" priority="177"/>
  </conditionalFormatting>
  <conditionalFormatting sqref="B59">
    <cfRule type="duplicateValues" dxfId="168" priority="175"/>
  </conditionalFormatting>
  <conditionalFormatting sqref="B63">
    <cfRule type="duplicateValues" dxfId="167" priority="174"/>
  </conditionalFormatting>
  <conditionalFormatting sqref="B64">
    <cfRule type="duplicateValues" dxfId="166" priority="172"/>
  </conditionalFormatting>
  <conditionalFormatting sqref="B66">
    <cfRule type="duplicateValues" dxfId="165" priority="171"/>
  </conditionalFormatting>
  <conditionalFormatting sqref="B67">
    <cfRule type="duplicateValues" dxfId="164" priority="169"/>
    <cfRule type="duplicateValues" dxfId="163" priority="170"/>
  </conditionalFormatting>
  <conditionalFormatting sqref="B68">
    <cfRule type="duplicateValues" dxfId="162" priority="168"/>
  </conditionalFormatting>
  <conditionalFormatting sqref="B69">
    <cfRule type="duplicateValues" dxfId="161" priority="167"/>
  </conditionalFormatting>
  <conditionalFormatting sqref="B70">
    <cfRule type="duplicateValues" dxfId="160" priority="165"/>
  </conditionalFormatting>
  <conditionalFormatting sqref="B72">
    <cfRule type="duplicateValues" dxfId="159" priority="164"/>
  </conditionalFormatting>
  <conditionalFormatting sqref="B73">
    <cfRule type="duplicateValues" dxfId="158" priority="162"/>
  </conditionalFormatting>
  <conditionalFormatting sqref="B74">
    <cfRule type="duplicateValues" dxfId="157" priority="161"/>
  </conditionalFormatting>
  <conditionalFormatting sqref="B75">
    <cfRule type="duplicateValues" dxfId="156" priority="160"/>
  </conditionalFormatting>
  <conditionalFormatting sqref="B76">
    <cfRule type="duplicateValues" dxfId="155" priority="159"/>
  </conditionalFormatting>
  <conditionalFormatting sqref="B77">
    <cfRule type="duplicateValues" dxfId="154" priority="157"/>
  </conditionalFormatting>
  <conditionalFormatting sqref="B78">
    <cfRule type="duplicateValues" dxfId="153" priority="156"/>
  </conditionalFormatting>
  <conditionalFormatting sqref="B83">
    <cfRule type="duplicateValues" dxfId="152" priority="155"/>
  </conditionalFormatting>
  <conditionalFormatting sqref="B84">
    <cfRule type="duplicateValues" dxfId="151" priority="154"/>
  </conditionalFormatting>
  <conditionalFormatting sqref="B85">
    <cfRule type="duplicateValues" dxfId="150" priority="153"/>
  </conditionalFormatting>
  <conditionalFormatting sqref="B87">
    <cfRule type="duplicateValues" dxfId="149" priority="152"/>
  </conditionalFormatting>
  <conditionalFormatting sqref="B88">
    <cfRule type="duplicateValues" dxfId="148" priority="151"/>
  </conditionalFormatting>
  <conditionalFormatting sqref="B89">
    <cfRule type="duplicateValues" dxfId="147" priority="150"/>
  </conditionalFormatting>
  <conditionalFormatting sqref="B90">
    <cfRule type="duplicateValues" dxfId="146" priority="149"/>
  </conditionalFormatting>
  <conditionalFormatting sqref="B91">
    <cfRule type="duplicateValues" dxfId="145" priority="148"/>
  </conditionalFormatting>
  <conditionalFormatting sqref="B92">
    <cfRule type="duplicateValues" dxfId="144" priority="147"/>
  </conditionalFormatting>
  <conditionalFormatting sqref="B93">
    <cfRule type="duplicateValues" dxfId="143" priority="146"/>
  </conditionalFormatting>
  <conditionalFormatting sqref="B94">
    <cfRule type="duplicateValues" dxfId="142" priority="145"/>
  </conditionalFormatting>
  <conditionalFormatting sqref="B95">
    <cfRule type="duplicateValues" dxfId="141" priority="144"/>
  </conditionalFormatting>
  <conditionalFormatting sqref="B96">
    <cfRule type="duplicateValues" dxfId="140" priority="143"/>
  </conditionalFormatting>
  <conditionalFormatting sqref="B97">
    <cfRule type="duplicateValues" dxfId="139" priority="142"/>
  </conditionalFormatting>
  <conditionalFormatting sqref="B98">
    <cfRule type="duplicateValues" dxfId="138" priority="141"/>
  </conditionalFormatting>
  <conditionalFormatting sqref="B99">
    <cfRule type="duplicateValues" dxfId="137" priority="140"/>
  </conditionalFormatting>
  <conditionalFormatting sqref="B100">
    <cfRule type="duplicateValues" dxfId="136" priority="139"/>
  </conditionalFormatting>
  <conditionalFormatting sqref="B101">
    <cfRule type="duplicateValues" dxfId="135" priority="138"/>
  </conditionalFormatting>
  <conditionalFormatting sqref="B104">
    <cfRule type="duplicateValues" dxfId="134" priority="137"/>
    <cfRule type="duplicateValues" dxfId="133" priority="136"/>
  </conditionalFormatting>
  <conditionalFormatting sqref="B105:B106">
    <cfRule type="duplicateValues" dxfId="132" priority="135"/>
  </conditionalFormatting>
  <conditionalFormatting sqref="B107">
    <cfRule type="duplicateValues" dxfId="131" priority="134"/>
  </conditionalFormatting>
  <conditionalFormatting sqref="B108">
    <cfRule type="duplicateValues" dxfId="130" priority="133"/>
  </conditionalFormatting>
  <conditionalFormatting sqref="B109">
    <cfRule type="duplicateValues" dxfId="129" priority="132"/>
  </conditionalFormatting>
  <conditionalFormatting sqref="B110">
    <cfRule type="duplicateValues" dxfId="128" priority="131"/>
  </conditionalFormatting>
  <conditionalFormatting sqref="B111">
    <cfRule type="duplicateValues" dxfId="127" priority="130"/>
  </conditionalFormatting>
  <conditionalFormatting sqref="B112">
    <cfRule type="duplicateValues" dxfId="126" priority="129"/>
  </conditionalFormatting>
  <conditionalFormatting sqref="B113">
    <cfRule type="duplicateValues" dxfId="125" priority="128"/>
  </conditionalFormatting>
  <conditionalFormatting sqref="B114">
    <cfRule type="duplicateValues" dxfId="124" priority="127"/>
  </conditionalFormatting>
  <conditionalFormatting sqref="B115">
    <cfRule type="duplicateValues" dxfId="123" priority="126"/>
  </conditionalFormatting>
  <conditionalFormatting sqref="B116">
    <cfRule type="duplicateValues" dxfId="122" priority="125"/>
  </conditionalFormatting>
  <conditionalFormatting sqref="B117">
    <cfRule type="duplicateValues" dxfId="121" priority="124"/>
  </conditionalFormatting>
  <conditionalFormatting sqref="B118">
    <cfRule type="duplicateValues" dxfId="120" priority="123"/>
  </conditionalFormatting>
  <conditionalFormatting sqref="B119">
    <cfRule type="duplicateValues" dxfId="119" priority="122"/>
  </conditionalFormatting>
  <conditionalFormatting sqref="B120">
    <cfRule type="duplicateValues" dxfId="118" priority="121"/>
  </conditionalFormatting>
  <conditionalFormatting sqref="B121">
    <cfRule type="duplicateValues" dxfId="117" priority="120"/>
  </conditionalFormatting>
  <conditionalFormatting sqref="B122">
    <cfRule type="duplicateValues" dxfId="116" priority="119"/>
  </conditionalFormatting>
  <conditionalFormatting sqref="B126">
    <cfRule type="duplicateValues" dxfId="115" priority="118"/>
  </conditionalFormatting>
  <conditionalFormatting sqref="B127">
    <cfRule type="duplicateValues" dxfId="114" priority="117"/>
  </conditionalFormatting>
  <conditionalFormatting sqref="B128">
    <cfRule type="duplicateValues" dxfId="113" priority="116"/>
  </conditionalFormatting>
  <conditionalFormatting sqref="B129">
    <cfRule type="duplicateValues" dxfId="112" priority="115"/>
  </conditionalFormatting>
  <conditionalFormatting sqref="B130">
    <cfRule type="duplicateValues" dxfId="111" priority="114"/>
  </conditionalFormatting>
  <conditionalFormatting sqref="B131">
    <cfRule type="duplicateValues" dxfId="110" priority="113"/>
  </conditionalFormatting>
  <conditionalFormatting sqref="B132">
    <cfRule type="duplicateValues" dxfId="109" priority="112"/>
  </conditionalFormatting>
  <conditionalFormatting sqref="B133">
    <cfRule type="duplicateValues" dxfId="108" priority="111"/>
  </conditionalFormatting>
  <conditionalFormatting sqref="B136">
    <cfRule type="duplicateValues" dxfId="107" priority="110"/>
  </conditionalFormatting>
  <conditionalFormatting sqref="B137">
    <cfRule type="duplicateValues" dxfId="106" priority="109"/>
  </conditionalFormatting>
  <conditionalFormatting sqref="B138">
    <cfRule type="duplicateValues" dxfId="105" priority="108"/>
  </conditionalFormatting>
  <conditionalFormatting sqref="B139">
    <cfRule type="duplicateValues" dxfId="104" priority="107"/>
  </conditionalFormatting>
  <conditionalFormatting sqref="B140">
    <cfRule type="duplicateValues" dxfId="103" priority="106"/>
  </conditionalFormatting>
  <conditionalFormatting sqref="B141">
    <cfRule type="duplicateValues" dxfId="102" priority="105"/>
  </conditionalFormatting>
  <conditionalFormatting sqref="B142">
    <cfRule type="duplicateValues" dxfId="101" priority="104"/>
  </conditionalFormatting>
  <conditionalFormatting sqref="B143">
    <cfRule type="duplicateValues" dxfId="100" priority="103"/>
  </conditionalFormatting>
  <conditionalFormatting sqref="B144">
    <cfRule type="duplicateValues" dxfId="99" priority="102"/>
  </conditionalFormatting>
  <conditionalFormatting sqref="B145">
    <cfRule type="duplicateValues" dxfId="98" priority="101"/>
  </conditionalFormatting>
  <conditionalFormatting sqref="B147">
    <cfRule type="duplicateValues" dxfId="97" priority="100"/>
  </conditionalFormatting>
  <conditionalFormatting sqref="B148">
    <cfRule type="duplicateValues" dxfId="96" priority="99"/>
  </conditionalFormatting>
  <conditionalFormatting sqref="B149">
    <cfRule type="duplicateValues" dxfId="95" priority="98"/>
  </conditionalFormatting>
  <conditionalFormatting sqref="B150">
    <cfRule type="duplicateValues" dxfId="94" priority="97"/>
  </conditionalFormatting>
  <conditionalFormatting sqref="B151">
    <cfRule type="duplicateValues" dxfId="93" priority="96"/>
  </conditionalFormatting>
  <conditionalFormatting sqref="B152">
    <cfRule type="duplicateValues" dxfId="92" priority="95"/>
  </conditionalFormatting>
  <conditionalFormatting sqref="B153">
    <cfRule type="duplicateValues" dxfId="91" priority="94"/>
  </conditionalFormatting>
  <conditionalFormatting sqref="B154">
    <cfRule type="duplicateValues" dxfId="90" priority="93"/>
  </conditionalFormatting>
  <conditionalFormatting sqref="B155">
    <cfRule type="duplicateValues" dxfId="89" priority="92"/>
  </conditionalFormatting>
  <conditionalFormatting sqref="B156">
    <cfRule type="duplicateValues" dxfId="88" priority="91"/>
  </conditionalFormatting>
  <conditionalFormatting sqref="B157">
    <cfRule type="duplicateValues" dxfId="87" priority="90"/>
  </conditionalFormatting>
  <conditionalFormatting sqref="B171">
    <cfRule type="duplicateValues" dxfId="86" priority="89"/>
  </conditionalFormatting>
  <conditionalFormatting sqref="B172">
    <cfRule type="duplicateValues" dxfId="85" priority="88"/>
  </conditionalFormatting>
  <conditionalFormatting sqref="B174">
    <cfRule type="duplicateValues" dxfId="84" priority="87"/>
  </conditionalFormatting>
  <conditionalFormatting sqref="B177:B178">
    <cfRule type="duplicateValues" dxfId="83" priority="86"/>
  </conditionalFormatting>
  <conditionalFormatting sqref="B181">
    <cfRule type="duplicateValues" dxfId="82" priority="85"/>
  </conditionalFormatting>
  <conditionalFormatting sqref="B182">
    <cfRule type="duplicateValues" dxfId="81" priority="84"/>
  </conditionalFormatting>
  <conditionalFormatting sqref="B183">
    <cfRule type="duplicateValues" dxfId="80" priority="83"/>
  </conditionalFormatting>
  <conditionalFormatting sqref="B184">
    <cfRule type="duplicateValues" dxfId="79" priority="82"/>
  </conditionalFormatting>
  <conditionalFormatting sqref="B185">
    <cfRule type="duplicateValues" dxfId="78" priority="81"/>
  </conditionalFormatting>
  <conditionalFormatting sqref="B186">
    <cfRule type="duplicateValues" dxfId="77" priority="80"/>
  </conditionalFormatting>
  <conditionalFormatting sqref="B188">
    <cfRule type="duplicateValues" dxfId="76" priority="79"/>
  </conditionalFormatting>
  <conditionalFormatting sqref="B189">
    <cfRule type="duplicateValues" dxfId="75" priority="78"/>
  </conditionalFormatting>
  <conditionalFormatting sqref="B190">
    <cfRule type="duplicateValues" dxfId="74" priority="77"/>
  </conditionalFormatting>
  <conditionalFormatting sqref="B191">
    <cfRule type="duplicateValues" dxfId="73" priority="76"/>
  </conditionalFormatting>
  <conditionalFormatting sqref="B192">
    <cfRule type="duplicateValues" dxfId="72" priority="75"/>
  </conditionalFormatting>
  <conditionalFormatting sqref="B193">
    <cfRule type="duplicateValues" dxfId="71" priority="74"/>
  </conditionalFormatting>
  <conditionalFormatting sqref="B195">
    <cfRule type="duplicateValues" dxfId="70" priority="73"/>
  </conditionalFormatting>
  <conditionalFormatting sqref="B196">
    <cfRule type="duplicateValues" dxfId="69" priority="72"/>
  </conditionalFormatting>
  <conditionalFormatting sqref="B197">
    <cfRule type="duplicateValues" dxfId="68" priority="71"/>
  </conditionalFormatting>
  <conditionalFormatting sqref="B198">
    <cfRule type="duplicateValues" dxfId="67" priority="70"/>
  </conditionalFormatting>
  <conditionalFormatting sqref="B199">
    <cfRule type="duplicateValues" dxfId="66" priority="69"/>
  </conditionalFormatting>
  <conditionalFormatting sqref="B200">
    <cfRule type="duplicateValues" dxfId="65" priority="68"/>
  </conditionalFormatting>
  <conditionalFormatting sqref="B201">
    <cfRule type="duplicateValues" dxfId="64" priority="67"/>
  </conditionalFormatting>
  <conditionalFormatting sqref="B202">
    <cfRule type="duplicateValues" dxfId="63" priority="66"/>
  </conditionalFormatting>
  <conditionalFormatting sqref="B203">
    <cfRule type="duplicateValues" dxfId="62" priority="65"/>
  </conditionalFormatting>
  <conditionalFormatting sqref="B204">
    <cfRule type="duplicateValues" dxfId="61" priority="64"/>
  </conditionalFormatting>
  <conditionalFormatting sqref="B205">
    <cfRule type="duplicateValues" dxfId="60" priority="63"/>
  </conditionalFormatting>
  <conditionalFormatting sqref="B206">
    <cfRule type="duplicateValues" dxfId="59" priority="62"/>
  </conditionalFormatting>
  <conditionalFormatting sqref="B207">
    <cfRule type="duplicateValues" dxfId="58" priority="61"/>
  </conditionalFormatting>
  <conditionalFormatting sqref="B215">
    <cfRule type="duplicateValues" dxfId="57" priority="60"/>
  </conditionalFormatting>
  <conditionalFormatting sqref="B218">
    <cfRule type="duplicateValues" dxfId="56" priority="59"/>
  </conditionalFormatting>
  <conditionalFormatting sqref="B220">
    <cfRule type="duplicateValues" dxfId="55" priority="58"/>
  </conditionalFormatting>
  <conditionalFormatting sqref="B222">
    <cfRule type="duplicateValues" dxfId="54" priority="57"/>
  </conditionalFormatting>
  <conditionalFormatting sqref="B223">
    <cfRule type="duplicateValues" dxfId="53" priority="56"/>
  </conditionalFormatting>
  <conditionalFormatting sqref="B224">
    <cfRule type="duplicateValues" dxfId="52" priority="55"/>
  </conditionalFormatting>
  <conditionalFormatting sqref="B225">
    <cfRule type="duplicateValues" dxfId="51" priority="54"/>
  </conditionalFormatting>
  <conditionalFormatting sqref="B227">
    <cfRule type="duplicateValues" dxfId="50" priority="53"/>
  </conditionalFormatting>
  <conditionalFormatting sqref="B229">
    <cfRule type="duplicateValues" dxfId="49" priority="52"/>
  </conditionalFormatting>
  <conditionalFormatting sqref="B230">
    <cfRule type="duplicateValues" dxfId="48" priority="51"/>
  </conditionalFormatting>
  <conditionalFormatting sqref="B232">
    <cfRule type="duplicateValues" dxfId="47" priority="50"/>
  </conditionalFormatting>
  <conditionalFormatting sqref="B233">
    <cfRule type="duplicateValues" dxfId="46" priority="49"/>
  </conditionalFormatting>
  <conditionalFormatting sqref="B234">
    <cfRule type="duplicateValues" dxfId="45" priority="48"/>
  </conditionalFormatting>
  <conditionalFormatting sqref="B235">
    <cfRule type="duplicateValues" dxfId="44" priority="47"/>
  </conditionalFormatting>
  <conditionalFormatting sqref="B236">
    <cfRule type="duplicateValues" dxfId="43" priority="46"/>
  </conditionalFormatting>
  <conditionalFormatting sqref="B237">
    <cfRule type="duplicateValues" dxfId="42" priority="45"/>
  </conditionalFormatting>
  <conditionalFormatting sqref="B239">
    <cfRule type="duplicateValues" dxfId="41" priority="43"/>
  </conditionalFormatting>
  <conditionalFormatting sqref="B240">
    <cfRule type="duplicateValues" dxfId="40" priority="42"/>
  </conditionalFormatting>
  <conditionalFormatting sqref="B241">
    <cfRule type="duplicateValues" dxfId="39" priority="41"/>
  </conditionalFormatting>
  <conditionalFormatting sqref="B242">
    <cfRule type="duplicateValues" dxfId="38" priority="40"/>
  </conditionalFormatting>
  <conditionalFormatting sqref="B243">
    <cfRule type="duplicateValues" dxfId="37" priority="39"/>
  </conditionalFormatting>
  <conditionalFormatting sqref="B250">
    <cfRule type="duplicateValues" dxfId="36" priority="38"/>
  </conditionalFormatting>
  <conditionalFormatting sqref="B251">
    <cfRule type="duplicateValues" dxfId="35" priority="37"/>
  </conditionalFormatting>
  <conditionalFormatting sqref="B253">
    <cfRule type="duplicateValues" dxfId="34" priority="36"/>
  </conditionalFormatting>
  <conditionalFormatting sqref="B255">
    <cfRule type="duplicateValues" dxfId="33" priority="35"/>
  </conditionalFormatting>
  <conditionalFormatting sqref="B258:B259">
    <cfRule type="duplicateValues" dxfId="32" priority="34"/>
  </conditionalFormatting>
  <conditionalFormatting sqref="B260">
    <cfRule type="duplicateValues" dxfId="31" priority="33"/>
  </conditionalFormatting>
  <conditionalFormatting sqref="B265:B267 B269">
    <cfRule type="duplicateValues" dxfId="30" priority="32"/>
  </conditionalFormatting>
  <conditionalFormatting sqref="B268">
    <cfRule type="duplicateValues" dxfId="29" priority="31"/>
  </conditionalFormatting>
  <conditionalFormatting sqref="B270">
    <cfRule type="duplicateValues" dxfId="28" priority="30"/>
  </conditionalFormatting>
  <conditionalFormatting sqref="B271">
    <cfRule type="duplicateValues" dxfId="27" priority="29"/>
  </conditionalFormatting>
  <conditionalFormatting sqref="B273">
    <cfRule type="duplicateValues" dxfId="26" priority="28"/>
  </conditionalFormatting>
  <conditionalFormatting sqref="B275">
    <cfRule type="duplicateValues" dxfId="25" priority="27"/>
  </conditionalFormatting>
  <conditionalFormatting sqref="B278">
    <cfRule type="duplicateValues" dxfId="24" priority="26"/>
  </conditionalFormatting>
  <conditionalFormatting sqref="B279">
    <cfRule type="duplicateValues" dxfId="23" priority="25"/>
  </conditionalFormatting>
  <conditionalFormatting sqref="B280">
    <cfRule type="duplicateValues" dxfId="22" priority="24"/>
  </conditionalFormatting>
  <conditionalFormatting sqref="B281">
    <cfRule type="duplicateValues" dxfId="21" priority="23"/>
  </conditionalFormatting>
  <conditionalFormatting sqref="B282">
    <cfRule type="duplicateValues" dxfId="20" priority="22"/>
  </conditionalFormatting>
  <conditionalFormatting sqref="B283">
    <cfRule type="duplicateValues" dxfId="19" priority="20"/>
  </conditionalFormatting>
  <conditionalFormatting sqref="B284:B286">
    <cfRule type="duplicateValues" dxfId="18" priority="19"/>
  </conditionalFormatting>
  <conditionalFormatting sqref="B287">
    <cfRule type="duplicateValues" dxfId="17" priority="18"/>
  </conditionalFormatting>
  <conditionalFormatting sqref="B288">
    <cfRule type="duplicateValues" dxfId="16" priority="17"/>
  </conditionalFormatting>
  <conditionalFormatting sqref="B291">
    <cfRule type="duplicateValues" dxfId="15" priority="16"/>
  </conditionalFormatting>
  <conditionalFormatting sqref="B292">
    <cfRule type="duplicateValues" dxfId="14" priority="15"/>
  </conditionalFormatting>
  <conditionalFormatting sqref="B293">
    <cfRule type="duplicateValues" dxfId="13" priority="14"/>
  </conditionalFormatting>
  <conditionalFormatting sqref="B294">
    <cfRule type="duplicateValues" dxfId="12" priority="13"/>
  </conditionalFormatting>
  <conditionalFormatting sqref="B295">
    <cfRule type="duplicateValues" dxfId="11" priority="12"/>
  </conditionalFormatting>
  <conditionalFormatting sqref="B296">
    <cfRule type="duplicateValues" dxfId="10" priority="11"/>
  </conditionalFormatting>
  <conditionalFormatting sqref="B297">
    <cfRule type="duplicateValues" dxfId="9" priority="10"/>
  </conditionalFormatting>
  <conditionalFormatting sqref="B298">
    <cfRule type="duplicateValues" dxfId="8" priority="9"/>
  </conditionalFormatting>
  <conditionalFormatting sqref="B299">
    <cfRule type="duplicateValues" dxfId="7" priority="8"/>
  </conditionalFormatting>
  <conditionalFormatting sqref="B300">
    <cfRule type="duplicateValues" dxfId="6" priority="7"/>
  </conditionalFormatting>
  <conditionalFormatting sqref="B301">
    <cfRule type="duplicateValues" dxfId="5" priority="6"/>
  </conditionalFormatting>
  <conditionalFormatting sqref="B302">
    <cfRule type="duplicateValues" dxfId="4" priority="5"/>
  </conditionalFormatting>
  <conditionalFormatting sqref="B303">
    <cfRule type="duplicateValues" dxfId="3" priority="4"/>
  </conditionalFormatting>
  <conditionalFormatting sqref="B304">
    <cfRule type="duplicateValues" dxfId="2" priority="3"/>
  </conditionalFormatting>
  <conditionalFormatting sqref="B306">
    <cfRule type="duplicateValues" dxfId="1" priority="2"/>
  </conditionalFormatting>
  <conditionalFormatting sqref="B309">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C7" sqref="C7"/>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275</v>
      </c>
      <c r="C1" s="22">
        <f>COUNTIF(sum!I:I, "completed")/(B1-COUNTIF(sum!I:I, "abandoned")-COUNTIF(sum!I:I, "late app"))</f>
        <v>0.99625468164794007</v>
      </c>
      <c r="D1" s="21">
        <f>COUNTIF(sum!I:I, "completed")</f>
        <v>266</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1</v>
      </c>
    </row>
    <row r="5" spans="1:4" ht="26" x14ac:dyDescent="0.6">
      <c r="A5" s="11" t="s">
        <v>401</v>
      </c>
      <c r="B5" s="15">
        <f>COUNTA(sum!J:J) -1</f>
        <v>275</v>
      </c>
      <c r="C5" s="14">
        <f>B5/B1</f>
        <v>1</v>
      </c>
    </row>
    <row r="6" spans="1:4" x14ac:dyDescent="0.4">
      <c r="A6" s="13" t="s">
        <v>402</v>
      </c>
      <c r="B6" s="16">
        <f>COUNTIFS(sum!J:J,"no news")</f>
        <v>252</v>
      </c>
      <c r="C6" s="10">
        <f>B6/$B$5</f>
        <v>0.91636363636363638</v>
      </c>
    </row>
    <row r="7" spans="1:4" x14ac:dyDescent="0.4">
      <c r="A7" s="13" t="s">
        <v>403</v>
      </c>
      <c r="B7" s="16">
        <f>COUNTIFS(sum!J:J,"rejected")</f>
        <v>18</v>
      </c>
      <c r="C7" s="10">
        <f t="shared" ref="C7:C10" si="0">B7/$B$5</f>
        <v>6.545454545454546E-2</v>
      </c>
    </row>
    <row r="8" spans="1:4" x14ac:dyDescent="0.4">
      <c r="A8" s="13" t="s">
        <v>404</v>
      </c>
      <c r="B8" s="16">
        <f>COUNTIFS(sum!J:J,"interview") + COUNTIFS(sum!J:J,"fly out") + COUNTIFS(sum!J:J,"offer")</f>
        <v>5</v>
      </c>
      <c r="C8" s="10">
        <f t="shared" si="0"/>
        <v>1.8181818181818181E-2</v>
      </c>
    </row>
    <row r="9" spans="1:4" x14ac:dyDescent="0.4">
      <c r="A9" s="18" t="s">
        <v>405</v>
      </c>
      <c r="B9" s="16">
        <f xml:space="preserve"> COUNTIFS(sum!J:J,"fly out") + COUNTIFS(sum!J:J,"offer")</f>
        <v>1</v>
      </c>
      <c r="C9" s="10">
        <f t="shared" si="0"/>
        <v>3.6363636363636364E-3</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2025-12-20T05:19:19Z</dcterms:modified>
</cp:coreProperties>
</file>