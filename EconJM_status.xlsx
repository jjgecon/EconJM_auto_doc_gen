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vie\Dropbox\Work\Job Search\2025 EconJM\"/>
    </mc:Choice>
  </mc:AlternateContent>
  <xr:revisionPtr revIDLastSave="0" documentId="13_ncr:1_{C0073BD6-B0F7-4D8C-953D-AEFAB13E4FEC}" xr6:coauthVersionLast="47" xr6:coauthVersionMax="47" xr10:uidLastSave="{00000000-0000-0000-0000-000000000000}"/>
  <bookViews>
    <workbookView xWindow="-110" yWindow="-110" windowWidth="25820" windowHeight="14620" activeTab="1" xr2:uid="{6FE48536-7E5C-BF4C-9490-2A6392576298}"/>
  </bookViews>
  <sheets>
    <sheet name="sum" sheetId="1" r:id="rId1"/>
    <sheet name="timeline" sheetId="2" r:id="rId2"/>
    <sheet name="stats" sheetId="3" r:id="rId3"/>
  </sheets>
  <definedNames>
    <definedName name="_xlnm._FilterDatabase" localSheetId="0" hidden="1">sum!$A$1:$W$267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7" i="1" l="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296" i="1" a="1"/>
  <c r="O296"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84" i="1" a="1"/>
  <c r="O284" i="1" s="1"/>
  <c r="O279" i="1" a="1"/>
  <c r="O279" i="1" s="1"/>
  <c r="O280" i="1" a="1"/>
  <c r="O280" i="1" s="1"/>
  <c r="O281" i="1" a="1"/>
  <c r="O281" i="1" s="1"/>
  <c r="O282" i="1" a="1"/>
  <c r="O282" i="1" s="1"/>
  <c r="O283" i="1" a="1"/>
  <c r="O283" i="1" s="1"/>
  <c r="O278" i="1" a="1"/>
  <c r="O278" i="1" s="1"/>
  <c r="O277" i="1" a="1"/>
  <c r="O277" i="1" s="1"/>
  <c r="B5" i="3"/>
  <c r="O122" i="1" a="1"/>
  <c r="O122" i="1" s="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3" i="1" a="1"/>
  <c r="O113" i="1" s="1"/>
  <c r="O114" i="1" a="1"/>
  <c r="O114" i="1" s="1"/>
  <c r="O115" i="1" a="1"/>
  <c r="O115" i="1" s="1"/>
  <c r="O116" i="1" a="1"/>
  <c r="O116" i="1" s="1"/>
  <c r="O117" i="1" a="1"/>
  <c r="O117" i="1" s="1"/>
  <c r="O118" i="1" a="1"/>
  <c r="O118" i="1" s="1"/>
  <c r="O119" i="1" a="1"/>
  <c r="O119" i="1" s="1"/>
  <c r="O121" i="1" a="1"/>
  <c r="O121"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6" i="1" a="1"/>
  <c r="O276" i="1" s="1"/>
  <c r="T3" i="1" a="1"/>
  <c r="T3" i="1" s="1"/>
  <c r="B9" i="3"/>
  <c r="B8" i="3"/>
  <c r="B10" i="3"/>
  <c r="D1" i="3"/>
  <c r="B6" i="3"/>
  <c r="B3" i="3"/>
  <c r="C3" i="3" s="1"/>
  <c r="B7" i="3"/>
  <c r="B2" i="3"/>
  <c r="C2" i="3" s="1"/>
  <c r="B1" i="3"/>
  <c r="C1" i="3" s="1"/>
  <c r="C8" i="3" l="1"/>
  <c r="C7" i="3"/>
  <c r="C10" i="3"/>
  <c r="C5" i="3"/>
  <c r="C6" i="3"/>
  <c r="C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7">
    <bk>
      <extLst>
        <ext uri="{3e2802c4-a4d2-4d8b-9148-e3be6c30e623}">
          <xlrd:rvb i="0"/>
        </ext>
      </extLst>
    </bk>
    <bk>
      <extLst>
        <ext uri="{3e2802c4-a4d2-4d8b-9148-e3be6c30e623}">
          <xlrd:rvb i="980"/>
        </ext>
      </extLst>
    </bk>
    <bk>
      <extLst>
        <ext uri="{3e2802c4-a4d2-4d8b-9148-e3be6c30e623}">
          <xlrd:rvb i="1051"/>
        </ext>
      </extLst>
    </bk>
    <bk>
      <extLst>
        <ext uri="{3e2802c4-a4d2-4d8b-9148-e3be6c30e623}">
          <xlrd:rvb i="1148"/>
        </ext>
      </extLst>
    </bk>
    <bk>
      <extLst>
        <ext uri="{3e2802c4-a4d2-4d8b-9148-e3be6c30e623}">
          <xlrd:rvb i="1225"/>
        </ext>
      </extLst>
    </bk>
    <bk>
      <extLst>
        <ext uri="{3e2802c4-a4d2-4d8b-9148-e3be6c30e623}">
          <xlrd:rvb i="1290"/>
        </ext>
      </extLst>
    </bk>
    <bk>
      <extLst>
        <ext uri="{3e2802c4-a4d2-4d8b-9148-e3be6c30e623}">
          <xlrd:rvb i="1345"/>
        </ext>
      </extLst>
    </bk>
    <bk>
      <extLst>
        <ext uri="{3e2802c4-a4d2-4d8b-9148-e3be6c30e623}">
          <xlrd:rvb i="1409"/>
        </ext>
      </extLst>
    </bk>
    <bk>
      <extLst>
        <ext uri="{3e2802c4-a4d2-4d8b-9148-e3be6c30e623}">
          <xlrd:rvb i="1420"/>
        </ext>
      </extLst>
    </bk>
    <bk>
      <extLst>
        <ext uri="{3e2802c4-a4d2-4d8b-9148-e3be6c30e623}">
          <xlrd:rvb i="1483"/>
        </ext>
      </extLst>
    </bk>
    <bk>
      <extLst>
        <ext uri="{3e2802c4-a4d2-4d8b-9148-e3be6c30e623}">
          <xlrd:rvb i="1550"/>
        </ext>
      </extLst>
    </bk>
    <bk>
      <extLst>
        <ext uri="{3e2802c4-a4d2-4d8b-9148-e3be6c30e623}">
          <xlrd:rvb i="1626"/>
        </ext>
      </extLst>
    </bk>
    <bk>
      <extLst>
        <ext uri="{3e2802c4-a4d2-4d8b-9148-e3be6c30e623}">
          <xlrd:rvb i="1154"/>
        </ext>
      </extLst>
    </bk>
    <bk>
      <extLst>
        <ext uri="{3e2802c4-a4d2-4d8b-9148-e3be6c30e623}">
          <xlrd:rvb i="1684"/>
        </ext>
      </extLst>
    </bk>
    <bk>
      <extLst>
        <ext uri="{3e2802c4-a4d2-4d8b-9148-e3be6c30e623}">
          <xlrd:rvb i="1754"/>
        </ext>
      </extLst>
    </bk>
    <bk>
      <extLst>
        <ext uri="{3e2802c4-a4d2-4d8b-9148-e3be6c30e623}">
          <xlrd:rvb i="1824"/>
        </ext>
      </extLst>
    </bk>
    <bk>
      <extLst>
        <ext uri="{3e2802c4-a4d2-4d8b-9148-e3be6c30e623}">
          <xlrd:rvb i="1894"/>
        </ext>
      </extLst>
    </bk>
    <bk>
      <extLst>
        <ext uri="{3e2802c4-a4d2-4d8b-9148-e3be6c30e623}">
          <xlrd:rvb i="1955"/>
        </ext>
      </extLst>
    </bk>
    <bk>
      <extLst>
        <ext uri="{3e2802c4-a4d2-4d8b-9148-e3be6c30e623}">
          <xlrd:rvb i="1991"/>
        </ext>
      </extLst>
    </bk>
    <bk>
      <extLst>
        <ext uri="{3e2802c4-a4d2-4d8b-9148-e3be6c30e623}">
          <xlrd:rvb i="2068"/>
        </ext>
      </extLst>
    </bk>
    <bk>
      <extLst>
        <ext uri="{3e2802c4-a4d2-4d8b-9148-e3be6c30e623}">
          <xlrd:rvb i="2110"/>
        </ext>
      </extLst>
    </bk>
    <bk>
      <extLst>
        <ext uri="{3e2802c4-a4d2-4d8b-9148-e3be6c30e623}">
          <xlrd:rvb i="2172"/>
        </ext>
      </extLst>
    </bk>
    <bk>
      <extLst>
        <ext uri="{3e2802c4-a4d2-4d8b-9148-e3be6c30e623}">
          <xlrd:rvb i="2232"/>
        </ext>
      </extLst>
    </bk>
    <bk>
      <extLst>
        <ext uri="{3e2802c4-a4d2-4d8b-9148-e3be6c30e623}">
          <xlrd:rvb i="2290"/>
        </ext>
      </extLst>
    </bk>
    <bk>
      <extLst>
        <ext uri="{3e2802c4-a4d2-4d8b-9148-e3be6c30e623}">
          <xlrd:rvb i="2344"/>
        </ext>
      </extLst>
    </bk>
    <bk>
      <extLst>
        <ext uri="{3e2802c4-a4d2-4d8b-9148-e3be6c30e623}">
          <xlrd:rvb i="2418"/>
        </ext>
      </extLst>
    </bk>
    <bk>
      <extLst>
        <ext uri="{3e2802c4-a4d2-4d8b-9148-e3be6c30e623}">
          <xlrd:rvb i="2472"/>
        </ext>
      </extLst>
    </bk>
    <bk>
      <extLst>
        <ext uri="{3e2802c4-a4d2-4d8b-9148-e3be6c30e623}">
          <xlrd:rvb i="2597"/>
        </ext>
      </extLst>
    </bk>
    <bk>
      <extLst>
        <ext uri="{3e2802c4-a4d2-4d8b-9148-e3be6c30e623}">
          <xlrd:rvb i="2649"/>
        </ext>
      </extLst>
    </bk>
    <bk>
      <extLst>
        <ext uri="{3e2802c4-a4d2-4d8b-9148-e3be6c30e623}">
          <xlrd:rvb i="2701"/>
        </ext>
      </extLst>
    </bk>
    <bk>
      <extLst>
        <ext uri="{3e2802c4-a4d2-4d8b-9148-e3be6c30e623}">
          <xlrd:rvb i="2712"/>
        </ext>
      </extLst>
    </bk>
    <bk>
      <extLst>
        <ext uri="{3e2802c4-a4d2-4d8b-9148-e3be6c30e623}">
          <xlrd:rvb i="2771"/>
        </ext>
      </extLst>
    </bk>
    <bk>
      <extLst>
        <ext uri="{3e2802c4-a4d2-4d8b-9148-e3be6c30e623}">
          <xlrd:rvb i="2835"/>
        </ext>
      </extLst>
    </bk>
    <bk>
      <extLst>
        <ext uri="{3e2802c4-a4d2-4d8b-9148-e3be6c30e623}">
          <xlrd:rvb i="2888"/>
        </ext>
      </extLst>
    </bk>
    <bk>
      <extLst>
        <ext uri="{3e2802c4-a4d2-4d8b-9148-e3be6c30e623}">
          <xlrd:rvb i="2933"/>
        </ext>
      </extLst>
    </bk>
    <bk>
      <extLst>
        <ext uri="{3e2802c4-a4d2-4d8b-9148-e3be6c30e623}">
          <xlrd:rvb i="3057"/>
        </ext>
      </extLst>
    </bk>
    <bk>
      <extLst>
        <ext uri="{3e2802c4-a4d2-4d8b-9148-e3be6c30e623}">
          <xlrd:rvb i="3123"/>
        </ext>
      </extLst>
    </bk>
  </futureMetadata>
  <futureMetadata name="XLDAPR" count="1">
    <bk>
      <extLst>
        <ext uri="{bdbb8cdc-fa1e-496e-a857-3c3f30c029c3}">
          <xda:dynamicArrayProperties fDynamic="1" fCollapsed="0"/>
        </ext>
      </extLst>
    </bk>
  </futureMetadata>
  <cellMetadata count="1">
    <bk>
      <rc t="2" v="0"/>
    </bk>
  </cellMetadata>
  <valueMetadata count="3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valueMetadata>
</metadata>
</file>

<file path=xl/sharedStrings.xml><?xml version="1.0" encoding="utf-8"?>
<sst xmlns="http://schemas.openxmlformats.org/spreadsheetml/2006/main" count="3272" uniqueCount="968">
  <si>
    <t>add_id</t>
  </si>
  <si>
    <t>app_status</t>
  </si>
  <si>
    <t>add_how_apply</t>
  </si>
  <si>
    <t>institution</t>
  </si>
  <si>
    <t>date</t>
  </si>
  <si>
    <t>app_id</t>
  </si>
  <si>
    <t>comment</t>
  </si>
  <si>
    <t>simon_frazer_1</t>
  </si>
  <si>
    <t>location</t>
  </si>
  <si>
    <t>deadline_target</t>
  </si>
  <si>
    <t>add_rank</t>
  </si>
  <si>
    <t>assistant</t>
  </si>
  <si>
    <t>add_field</t>
  </si>
  <si>
    <t>Simon Fraser University</t>
  </si>
  <si>
    <t>add_posting</t>
  </si>
  <si>
    <t>EJM</t>
  </si>
  <si>
    <t>McMaster University</t>
  </si>
  <si>
    <t>macmaster_1</t>
  </si>
  <si>
    <t>applied micro</t>
  </si>
  <si>
    <t>teaching</t>
  </si>
  <si>
    <t>need_cover_letter</t>
  </si>
  <si>
    <t>need_RS</t>
  </si>
  <si>
    <t>need_TS</t>
  </si>
  <si>
    <t>usydney_1</t>
  </si>
  <si>
    <t>University of Sydney</t>
  </si>
  <si>
    <t>postdoc</t>
  </si>
  <si>
    <t>culture</t>
  </si>
  <si>
    <t>good_match</t>
  </si>
  <si>
    <t>nova_lisboa_1</t>
  </si>
  <si>
    <t>University Nova Lisboa</t>
  </si>
  <si>
    <t>environmental</t>
  </si>
  <si>
    <t>Williams College</t>
  </si>
  <si>
    <t>will_college_1</t>
  </si>
  <si>
    <t>https://apply.interfolio.com/171825</t>
  </si>
  <si>
    <t>aist_1</t>
  </si>
  <si>
    <t>Institute For Advanced Study</t>
  </si>
  <si>
    <t>fellowship</t>
  </si>
  <si>
    <t>waseda_1</t>
  </si>
  <si>
    <t>Waseda University</t>
  </si>
  <si>
    <t>JOE</t>
  </si>
  <si>
    <t>https://www.wasedapse.jp/en/fpse2/eng_input.php</t>
  </si>
  <si>
    <t>other_link</t>
  </si>
  <si>
    <t>https://www.waseda.jp/fpse/pse/news-en/2025/08/05/24591/</t>
  </si>
  <si>
    <t>penn_state_1</t>
  </si>
  <si>
    <t>Pennsylvania State University</t>
  </si>
  <si>
    <t>https://psu.wd1.myworkdayjobs.com/en-US/PSU_Academic/details/Assistant-Professor-of-Economics_REQ_0000071571-1</t>
  </si>
  <si>
    <t>https://www.iast.fr/research-fellowships</t>
  </si>
  <si>
    <t>american_u_1</t>
  </si>
  <si>
    <t>American University</t>
  </si>
  <si>
    <t>development</t>
  </si>
  <si>
    <t>https://american.wd1.myworkdayjobs.com/en-US/AU/job/Assistant-Professor--Tenure-Track----Department-of-Environment--Development---Health_R2984</t>
  </si>
  <si>
    <t>american_u_2</t>
  </si>
  <si>
    <t>https://american.wd1.myworkdayjobs.com/AU/job/Main-Campus-Washington-DC/Assistant-Professor--Tenure-Track----Department-of-Politics--Governance---Economics_R2983-1</t>
  </si>
  <si>
    <t>analysis_1</t>
  </si>
  <si>
    <t>https://associatecareers-analysisgroup.icims.com/jobs/2388/associate---generalist-%28phd%29-%282026-start-date%29/job?mobile=false&amp;width=1150&amp;height=500&amp;bga=true&amp;needsRedirect=false&amp;jan1offset=-360&amp;jun1offset=-300</t>
  </si>
  <si>
    <t>analysis_2</t>
  </si>
  <si>
    <t>https://associatecareers-analysisgroup.icims.com/jobs/2760/associate---generalist---montreal---toronto-%282026-start-date%29/job</t>
  </si>
  <si>
    <t>Analysis Group</t>
  </si>
  <si>
    <t>babson_1</t>
  </si>
  <si>
    <t>Babson College</t>
  </si>
  <si>
    <t>adjunct</t>
  </si>
  <si>
    <t>https://babson.peopleadmin.com/postings/6541</t>
  </si>
  <si>
    <t>babson_2</t>
  </si>
  <si>
    <t>macroeconomics</t>
  </si>
  <si>
    <t>https://babson.peopleadmin.com/postings/6545</t>
  </si>
  <si>
    <t>bates_1</t>
  </si>
  <si>
    <t>Bates College</t>
  </si>
  <si>
    <t>https://apply.interfolio.com/173570</t>
  </si>
  <si>
    <t>gathering info from AEA JOE, stopped @ Bates College</t>
  </si>
  <si>
    <t>uc3_1</t>
  </si>
  <si>
    <t>Universidad Carlos III</t>
  </si>
  <si>
    <t>https://econjobmarket.org/positions/11791/1/0</t>
  </si>
  <si>
    <t>Texas A&amp;M</t>
  </si>
  <si>
    <t>tamu_1</t>
  </si>
  <si>
    <t>https://apply.interfolio.com/173294</t>
  </si>
  <si>
    <t>gathering the applications that I'm most interested in</t>
  </si>
  <si>
    <t>rovira_1</t>
  </si>
  <si>
    <t>Universitat Rovira i Virgili</t>
  </si>
  <si>
    <t>rfb_1</t>
  </si>
  <si>
    <t>Rockwool Foundation Berlin</t>
  </si>
  <si>
    <t>https://econjobmarket.org/positions/11901</t>
  </si>
  <si>
    <t>idb_1</t>
  </si>
  <si>
    <t>IDB</t>
  </si>
  <si>
    <t>https://jobs.iadb.org/job/Economics-Specialist/1922-en_US/</t>
  </si>
  <si>
    <t>touluse_1</t>
  </si>
  <si>
    <t>Université Toulouse Capitole</t>
  </si>
  <si>
    <t>stockholm_1</t>
  </si>
  <si>
    <t>Stockholm University</t>
  </si>
  <si>
    <t>grinnell_1</t>
  </si>
  <si>
    <t>Grinnell College</t>
  </si>
  <si>
    <t>https://apply.interfolio.com/174781</t>
  </si>
  <si>
    <t>economic history</t>
  </si>
  <si>
    <t>west_ontario_1</t>
  </si>
  <si>
    <t>University of Western Ontario</t>
  </si>
  <si>
    <t>https://economics.uwo.ca/about-us/instruction.html</t>
  </si>
  <si>
    <t>completed</t>
  </si>
  <si>
    <t>app sent</t>
  </si>
  <si>
    <t>Universidad Complutense de Madrid</t>
  </si>
  <si>
    <t>cum_madrid_1</t>
  </si>
  <si>
    <t>cum_madrid_2</t>
  </si>
  <si>
    <t>oecd_1</t>
  </si>
  <si>
    <t>OECD</t>
  </si>
  <si>
    <t>https://forms.office.com/Pages/ResponsePage.aspx?id=1MdBrGEfDUaw9PySWitHHPCJevCMDFdChZ_htgD0RItUN0NJUjcwQlFOQUhUU0dLSkdONVY3U1g3OS4u</t>
  </si>
  <si>
    <t>mathieu.miranda@oecd.org</t>
  </si>
  <si>
    <t>ecole</t>
  </si>
  <si>
    <t>École Normale Supérieure</t>
  </si>
  <si>
    <t>puc_cl_1</t>
  </si>
  <si>
    <t>Pontificia Universidad Catolica de Chile</t>
  </si>
  <si>
    <t>colgate_1</t>
  </si>
  <si>
    <t>Colgate University</t>
  </si>
  <si>
    <t>Haverford College</t>
  </si>
  <si>
    <t>haverford</t>
  </si>
  <si>
    <t>review_deadline</t>
  </si>
  <si>
    <t>recruitment_officer</t>
  </si>
  <si>
    <t>David Strömberg (david.stromberg@ne.su.se)</t>
  </si>
  <si>
    <t>sciencepo</t>
  </si>
  <si>
    <t>Science Po</t>
  </si>
  <si>
    <t>University of Melbourne</t>
  </si>
  <si>
    <t>melbourne</t>
  </si>
  <si>
    <t>https://unimelb.wd105.myworkdayjobs.com/en-US/UoM_External_Career/job/Senior-Lecturer-Associate-Professor---Econometrics_JR-004278-1</t>
  </si>
  <si>
    <t>applied for the Europe UniCredit Best Paper Award</t>
  </si>
  <si>
    <t>monash</t>
  </si>
  <si>
    <t>Monash University</t>
  </si>
  <si>
    <t>Arthur Campbell (arthur.campbell@monash.edu)</t>
  </si>
  <si>
    <t>pompeu_fabra</t>
  </si>
  <si>
    <t>Universitat Pompeu Fabra</t>
  </si>
  <si>
    <t>Ferran Mañé (e-mail: ferran.mane@urv.cat)</t>
  </si>
  <si>
    <t>late app</t>
  </si>
  <si>
    <t>cunef</t>
  </si>
  <si>
    <t>CUNEF</t>
  </si>
  <si>
    <t>CEMFI</t>
  </si>
  <si>
    <t>ie</t>
  </si>
  <si>
    <t>IE University</t>
  </si>
  <si>
    <t>https://apply.interfolio.com/175169</t>
  </si>
  <si>
    <t>queensland</t>
  </si>
  <si>
    <t>University of Quesnland</t>
  </si>
  <si>
    <t>Professor Claudio Mezzetti (c.mezzetti@uq.edu.au)</t>
  </si>
  <si>
    <t>tec</t>
  </si>
  <si>
    <t>Tecnológico de Monterrey</t>
  </si>
  <si>
    <t>itam</t>
  </si>
  <si>
    <t>ITAM</t>
  </si>
  <si>
    <t>u_chile_ig</t>
  </si>
  <si>
    <t>Universidad de Chile</t>
  </si>
  <si>
    <t>uandes_col</t>
  </si>
  <si>
    <t>Universidad de los Andes, Colombia</t>
  </si>
  <si>
    <t>Daniel Mejia dmejia@uniandes.edu.co</t>
  </si>
  <si>
    <t xml:space="preserve">Fashion Institute of Technology </t>
  </si>
  <si>
    <t>fashion</t>
  </si>
  <si>
    <t>https://fitnyc.interviewexchange.com/jobofferdetails.jsp?JOBID=190784</t>
  </si>
  <si>
    <t>https://apply.interfolio.com/174615</t>
  </si>
  <si>
    <t>https://apply.interfolio.com/171810</t>
  </si>
  <si>
    <t>abandoned</t>
  </si>
  <si>
    <t>cerdi</t>
  </si>
  <si>
    <t>CERDI (Centre d'Etude et de Recherches sur le Développement International)</t>
  </si>
  <si>
    <t>Pierre E. Biscaye (Université Clermont Auvergne)</t>
  </si>
  <si>
    <t>cemfi</t>
  </si>
  <si>
    <t>crese</t>
  </si>
  <si>
    <t>Centre de Recherche sur les Stratégies Economiques (CRESE)</t>
  </si>
  <si>
    <t>uab</t>
  </si>
  <si>
    <t>Universitat Autònoma de Barcelona</t>
  </si>
  <si>
    <t>cornell</t>
  </si>
  <si>
    <t>Cornell University</t>
  </si>
  <si>
    <t>https://academicjobsonline.org/ajo/jobs/30626.</t>
  </si>
  <si>
    <t>ucl</t>
  </si>
  <si>
    <t>University College London</t>
  </si>
  <si>
    <t>Prof Stephen Hansen stephen.hansen@ucl.ac.uk</t>
  </si>
  <si>
    <t>uc_davis</t>
  </si>
  <si>
    <t>UC Davis</t>
  </si>
  <si>
    <t>agriculture</t>
  </si>
  <si>
    <t>https://apptrkr.com/6572257</t>
  </si>
  <si>
    <t>vassar</t>
  </si>
  <si>
    <t>Vassar College</t>
  </si>
  <si>
    <t>Sarah Pearlman sapearlman@vassar.edu.</t>
  </si>
  <si>
    <t>gathered info for 11 postings and struggle with interfolio</t>
  </si>
  <si>
    <t>gathered info for postings</t>
  </si>
  <si>
    <t>utrecht</t>
  </si>
  <si>
    <t>Utrecht University</t>
  </si>
  <si>
    <t>lecturer</t>
  </si>
  <si>
    <t>Marcel Boumans m.j.boumans@uu.nl</t>
  </si>
  <si>
    <t>https://www.uu.nl/en/organisation/working-at-utrecht-university/jobs/lecturer-in-applied-economics</t>
  </si>
  <si>
    <t>mit</t>
  </si>
  <si>
    <t>Massachusetts Institute of Technology</t>
  </si>
  <si>
    <t>boston</t>
  </si>
  <si>
    <t>manheim</t>
  </si>
  <si>
    <t>University of Mannheim</t>
  </si>
  <si>
    <t>microeconomics</t>
  </si>
  <si>
    <t>stanford</t>
  </si>
  <si>
    <t>Stanford University</t>
  </si>
  <si>
    <t>bologna</t>
  </si>
  <si>
    <t>Università di Bologna</t>
  </si>
  <si>
    <t>u_virginia</t>
  </si>
  <si>
    <t>University of Virginia</t>
  </si>
  <si>
    <t>https://apply.interfolio.com/173878</t>
  </si>
  <si>
    <t xml:space="preserve">Lee Lockwood leelockwood@virginia.edu </t>
  </si>
  <si>
    <t>a_paris</t>
  </si>
  <si>
    <t>American University of Paris</t>
  </si>
  <si>
    <t>https://apply.interfolio.com/170082</t>
  </si>
  <si>
    <t>toronto</t>
  </si>
  <si>
    <t>University of Toronto</t>
  </si>
  <si>
    <t>Uppsala University</t>
  </si>
  <si>
    <t>uppsala</t>
  </si>
  <si>
    <t>idb_2</t>
  </si>
  <si>
    <t>https://jobs.iadb.org/job/Development-Effectiveness-and-Impact-Evaluation-Consultant/1937-en_US/</t>
  </si>
  <si>
    <t>cyberagent</t>
  </si>
  <si>
    <t>CyberAgent, Inc.</t>
  </si>
  <si>
    <t>Hiroshima University</t>
  </si>
  <si>
    <t>hiroshima</t>
  </si>
  <si>
    <t>Hitotsubashi University</t>
  </si>
  <si>
    <t>hito_jp</t>
  </si>
  <si>
    <t>Kobe University</t>
  </si>
  <si>
    <t>need the one of american history</t>
  </si>
  <si>
    <t>kobe</t>
  </si>
  <si>
    <t>Musashi University</t>
  </si>
  <si>
    <t>musashi</t>
  </si>
  <si>
    <t>The University of Osaka</t>
  </si>
  <si>
    <t>osaka</t>
  </si>
  <si>
    <t>https://ws.formzu.net/fgen/S39345518/</t>
  </si>
  <si>
    <t>https://jrecin.jst.go.jp/seek/SeekJorDetail?id=D125100024</t>
  </si>
  <si>
    <t>utokyo</t>
  </si>
  <si>
    <t>UTokyo Economic Consulting Inc.</t>
  </si>
  <si>
    <t>Baylor University</t>
  </si>
  <si>
    <t>baylor</t>
  </si>
  <si>
    <t>https://apply.interfolio.com/172650</t>
  </si>
  <si>
    <t>berry_1</t>
  </si>
  <si>
    <t>berry_2</t>
  </si>
  <si>
    <t>Data Analytics</t>
  </si>
  <si>
    <t>Economics</t>
  </si>
  <si>
    <t>https://berry.interviewexchange.com/static/clients/563BCM1/index.jsp;jsessionid=D6807F41311DBB7FA4BF3B5A2CEB7DC5</t>
  </si>
  <si>
    <t>https://berry.interviewexchange.com/static/clients/563BCM1/index.jsp</t>
  </si>
  <si>
    <t>Prof. E. Frank Stephenson at efstephenson@berry.edu</t>
  </si>
  <si>
    <t>Dr. Jamie Sharpe, at jsharpe@berry.edu</t>
  </si>
  <si>
    <t>Berry College</t>
  </si>
  <si>
    <t>Bowdoin College</t>
  </si>
  <si>
    <t>bowdoin</t>
  </si>
  <si>
    <t>https://careers.bowdoin.edu/postings/16678</t>
  </si>
  <si>
    <t>gathered 10 postings from JOE stoped at Bowdoin</t>
  </si>
  <si>
    <t>outcome</t>
  </si>
  <si>
    <t>uandes_cl</t>
  </si>
  <si>
    <t>Universidad de Los Andes, Chile</t>
  </si>
  <si>
    <t>https://www.aeaweb.org/joe/listing.php?JOE_ID=2025-02_111476357</t>
  </si>
  <si>
    <t>waiting for recs</t>
  </si>
  <si>
    <t>went over cover letter</t>
  </si>
  <si>
    <t>network email</t>
  </si>
  <si>
    <t>NO</t>
  </si>
  <si>
    <t>geneve</t>
  </si>
  <si>
    <t>Université de Genève</t>
  </si>
  <si>
    <t>Aalto University</t>
  </si>
  <si>
    <t>Professors Prottoy Akbar (Aalto), Victor Couture (Toronto), Gilles Duranton (Wharton), Adam Storeygard (Tufts), Pablo Warnes (Aalto), and Dr. Morgan Ubeda (INRAE)</t>
  </si>
  <si>
    <t xml:space="preserve">Stellenbosch University </t>
  </si>
  <si>
    <t>safrica</t>
  </si>
  <si>
    <r>
      <t>Prof Johan Fourie</t>
    </r>
    <r>
      <rPr>
        <sz val="12"/>
        <color theme="1"/>
        <rFont val="Aptos Narrow"/>
        <family val="2"/>
        <scheme val="minor"/>
      </rPr>
      <t xml:space="preserve"> at </t>
    </r>
    <r>
      <rPr>
        <b/>
        <sz val="12"/>
        <color theme="1"/>
        <rFont val="Aptos Narrow"/>
        <family val="2"/>
        <scheme val="minor"/>
      </rPr>
      <t>johanf@sun.ac.za</t>
    </r>
    <r>
      <rPr>
        <sz val="12"/>
        <color theme="1"/>
        <rFont val="Aptos Narrow"/>
        <family val="2"/>
        <scheme val="minor"/>
      </rPr>
      <t>.</t>
    </r>
  </si>
  <si>
    <t>Boston College</t>
  </si>
  <si>
    <t xml:space="preserve">Universidad Torcuato Di Tella </t>
  </si>
  <si>
    <t>ditella</t>
  </si>
  <si>
    <t>columbia</t>
  </si>
  <si>
    <t>Columbia University</t>
  </si>
  <si>
    <t>https://apply.interfolio.com/175578</t>
  </si>
  <si>
    <t>Institut des Politiques Publiques</t>
  </si>
  <si>
    <t>politiques</t>
  </si>
  <si>
    <t>kdi</t>
  </si>
  <si>
    <t>Korea Development Institute</t>
  </si>
  <si>
    <t>Dr. Hyungtai KIM (Chief Management Officer): +82 44-550-4704 / jhtkim@kdi.re.kr, Dr. Daehee JEONG(Chief Research Officer): +82 44-550-4211 / dhjeong@kdi.re.kr</t>
  </si>
  <si>
    <t>darthmouth</t>
  </si>
  <si>
    <t xml:space="preserve"> Dartmouth College</t>
  </si>
  <si>
    <t>University of Stavanger</t>
  </si>
  <si>
    <t>stavanger</t>
  </si>
  <si>
    <t>cergeei</t>
  </si>
  <si>
    <t>Center for Economic Research and Graduate Education – Economics Institute</t>
  </si>
  <si>
    <t>added more than 10 posting from EJM stopped @ prague posting</t>
  </si>
  <si>
    <t>Stockholm School of Economics</t>
  </si>
  <si>
    <t>stockholm_2</t>
  </si>
  <si>
    <t>uab_applied</t>
  </si>
  <si>
    <t>Manuel Flores manuel.flores@uab.cat</t>
  </si>
  <si>
    <t>mention Rosella Nicolini in cover letter</t>
  </si>
  <si>
    <t>app_notes</t>
  </si>
  <si>
    <t>toronto_2</t>
  </si>
  <si>
    <t>University of British Columbia</t>
  </si>
  <si>
    <t>vancouver</t>
  </si>
  <si>
    <t>add development to the insterests</t>
  </si>
  <si>
    <t>make CL teaching focused</t>
  </si>
  <si>
    <t>bank_port</t>
  </si>
  <si>
    <t>Banco de Portugal</t>
  </si>
  <si>
    <t>bank_slovakia</t>
  </si>
  <si>
    <t>Bank of Slovakia</t>
  </si>
  <si>
    <t>Ca' Foscari University Venice</t>
  </si>
  <si>
    <t>cafoscari</t>
  </si>
  <si>
    <t>University of Oslo</t>
  </si>
  <si>
    <t>oslo</t>
  </si>
  <si>
    <t>manchester</t>
  </si>
  <si>
    <t>University of Manchester</t>
  </si>
  <si>
    <t>University of New South Wales</t>
  </si>
  <si>
    <t>usnw</t>
  </si>
  <si>
    <t>Isabella Dobrescu at dobrescu@unsw.edu.au</t>
  </si>
  <si>
    <t>Universidad de Alicante</t>
  </si>
  <si>
    <t>alicante</t>
  </si>
  <si>
    <t>Prof. Ivan Paya at ivanpaya@ua.es.</t>
  </si>
  <si>
    <t>BI Norwegian Business Schoo</t>
  </si>
  <si>
    <t>bi</t>
  </si>
  <si>
    <t>Associate Professor Simon Galle at simon.galle@bi.no.</t>
  </si>
  <si>
    <t>Helsinki Graduate School of Economics</t>
  </si>
  <si>
    <t>hgse</t>
  </si>
  <si>
    <t>lse</t>
  </si>
  <si>
    <t>London School of Economics</t>
  </si>
  <si>
    <t xml:space="preserve"> https://jobs.lse.ac.uk</t>
  </si>
  <si>
    <t>Hanken School of Economics</t>
  </si>
  <si>
    <t>hanken</t>
  </si>
  <si>
    <t>Professor Ari Hyytinen (ari.hyytinen@hanken.fi)</t>
  </si>
  <si>
    <t>added 10 posting from EJM stoped @ Hanken School of Economics</t>
  </si>
  <si>
    <t>YES</t>
  </si>
  <si>
    <t>University of Amsterdam</t>
  </si>
  <si>
    <t>amsterdam</t>
  </si>
  <si>
    <t>Professor Frank Kleibergen (F.R.Kleibergen@uva.l), head of the Econometrics research group.</t>
  </si>
  <si>
    <t>Università di Roma Tor Vergata</t>
  </si>
  <si>
    <t>vergata</t>
  </si>
  <si>
    <t>lots of media people, which I should emphasize</t>
  </si>
  <si>
    <t>Institut Polytechnique de Paris</t>
  </si>
  <si>
    <t>polytech</t>
  </si>
  <si>
    <t>puc_rio</t>
  </si>
  <si>
    <t>Fundação Getulio Vargas</t>
  </si>
  <si>
    <t>fgv</t>
  </si>
  <si>
    <t>University of Montreal</t>
  </si>
  <si>
    <t>montreal</t>
  </si>
  <si>
    <t>Marcelin Joanis, Department chair</t>
  </si>
  <si>
    <t>idb_3</t>
  </si>
  <si>
    <t>https://jobs.iadb.org/job/Research-Economist-%28Sr-SpecialistSpecialist%29/1978-en_US/</t>
  </si>
  <si>
    <t>Lund University</t>
  </si>
  <si>
    <t>lund</t>
  </si>
  <si>
    <t>Einaudi Institute for Economics and Finance</t>
  </si>
  <si>
    <t>eief</t>
  </si>
  <si>
    <t>Institute for Evaluation of Labour Market and Education Policy</t>
  </si>
  <si>
    <t>ifau</t>
  </si>
  <si>
    <t>Martin Söderström, Director General, +46 18-471 60 53, martin.soderstrom@ifau.uu.se</t>
  </si>
  <si>
    <t>Institute for International Economic Studies</t>
  </si>
  <si>
    <t>iiestud</t>
  </si>
  <si>
    <t>Professor Tessa Bold e-mail: tessa.bold@iies.su.se, Associate Professor Timo Boppart, e-mail: timo.boppart@iies.su.se or Professor Peter Nilsson, e-mail: peter.nilsson@iies.su.se.</t>
  </si>
  <si>
    <t>added 10 posting from EJM no new ones (for now)</t>
  </si>
  <si>
    <t>when?</t>
  </si>
  <si>
    <t>colegio_mx</t>
  </si>
  <si>
    <t>El Colegio de México</t>
  </si>
  <si>
    <t>Andersen Institute for Finance and Economics</t>
  </si>
  <si>
    <t>andersen</t>
  </si>
  <si>
    <t>berlinse</t>
  </si>
  <si>
    <t>Berlin School of Economics</t>
  </si>
  <si>
    <t>https://berlinschoolofeconomics.de/programs/research-associates-program/application</t>
  </si>
  <si>
    <t>https://berlinschoolofeconomics.de/programs/research-associates-program/application/call-for-applications-2026</t>
  </si>
  <si>
    <t>they want someone in media economics, which is ME!</t>
  </si>
  <si>
    <t>Peter Haan (peter.haan@fu-berlin.de)</t>
  </si>
  <si>
    <t>cal_state</t>
  </si>
  <si>
    <t>California State University, Long Beach</t>
  </si>
  <si>
    <t>https://careers.pageuppeople.com/873/lb/en-us/job/551178/assistant-professor-of-economics-applied-microeconomics-and-environmentalnatural-resource-economics</t>
  </si>
  <si>
    <t>mix first part of CL + teaching + diversity</t>
  </si>
  <si>
    <t>Carleton College</t>
  </si>
  <si>
    <t>carleton</t>
  </si>
  <si>
    <t>Carnegie Mellon University</t>
  </si>
  <si>
    <t>carnie_melon_1</t>
  </si>
  <si>
    <t>carnie_melon_2</t>
  </si>
  <si>
    <t>https://apply.interfolio.com/175370</t>
  </si>
  <si>
    <t>apply.interfolio.com/175137</t>
  </si>
  <si>
    <t>Catolica Lisbon School Business and Economics</t>
  </si>
  <si>
    <t>cat_lisbon</t>
  </si>
  <si>
    <t>add some teaching to the fit in cover letter</t>
  </si>
  <si>
    <t>Christopher Newport University</t>
  </si>
  <si>
    <t>chrisnew</t>
  </si>
  <si>
    <t>https://jobs.cnu.edu/postings/19812</t>
  </si>
  <si>
    <t>colby</t>
  </si>
  <si>
    <t xml:space="preserve">Colby College </t>
  </si>
  <si>
    <t>https://apply.interfolio.com/174598</t>
  </si>
  <si>
    <t>colorado_col</t>
  </si>
  <si>
    <t>Colorado College</t>
  </si>
  <si>
    <t>https://jobs.coloradocollege.edu/jobs/assistant-professor-of-economics-and-business-on-campus-colorado-united-states</t>
  </si>
  <si>
    <t>Creighton University</t>
  </si>
  <si>
    <t>creighton</t>
  </si>
  <si>
    <t>https://apply.interfolio.com/174123</t>
  </si>
  <si>
    <t>it's in applied econ</t>
  </si>
  <si>
    <t>aalto_postdoc</t>
  </si>
  <si>
    <t>Leibniz Centre for European Economic Research</t>
  </si>
  <si>
    <t>leibniz</t>
  </si>
  <si>
    <t>https://jobs.zew.de/jobposting/a3948eae149a2cbb2b0ad5ebef942223e49bfbe40</t>
  </si>
  <si>
    <t>Ludwig-Maximilians-Universitat München</t>
  </si>
  <si>
    <t>lmu</t>
  </si>
  <si>
    <t>added 10 postings from JOE and stragelers from EJM</t>
  </si>
  <si>
    <t>norway_bank</t>
  </si>
  <si>
    <t>Bank of Norway</t>
  </si>
  <si>
    <t>ucl_2</t>
  </si>
  <si>
    <t>highligh inequality here</t>
  </si>
  <si>
    <t xml:space="preserve">Copenhagen Business School </t>
  </si>
  <si>
    <t>coppen</t>
  </si>
  <si>
    <t>ifo</t>
  </si>
  <si>
    <t>The ifo Institute</t>
  </si>
  <si>
    <t>this is the big data one</t>
  </si>
  <si>
    <t>https://hanken.rekrytointi.com/paikat/index.php?jid=362&amp;key=&amp;o=A_RJ&amp;rspvt=23exjhd0z7r40c8488gs848coc4s8wc</t>
  </si>
  <si>
    <t>teaching portfolio + CL with research statement and fit with the department with Service in the fit AND apply in the extra website</t>
  </si>
  <si>
    <t>bank_spain</t>
  </si>
  <si>
    <t>Bank of Spain</t>
  </si>
  <si>
    <t>PUC rio</t>
  </si>
  <si>
    <t>zurich</t>
  </si>
  <si>
    <t>University of Zurich</t>
  </si>
  <si>
    <t>Florian Scheuer by email (florian.scheuer@uzh.ch)</t>
  </si>
  <si>
    <t>Total apps</t>
  </si>
  <si>
    <t>good match</t>
  </si>
  <si>
    <t>Outcomes</t>
  </si>
  <si>
    <t>no news</t>
  </si>
  <si>
    <t>rejected</t>
  </si>
  <si>
    <t>interview</t>
  </si>
  <si>
    <t>fly out</t>
  </si>
  <si>
    <t>offer</t>
  </si>
  <si>
    <t>julia cage as a potential network</t>
  </si>
  <si>
    <t>puc_gob</t>
  </si>
  <si>
    <t>https://airtable.com/appXAkqceBTdmqmoL/pagkrGoMDVnPvz2vD/form</t>
  </si>
  <si>
    <t>https://gobierno.uc.cl/noticias/call-for-applications-2-full-time-academic-positions-preference-for-assistant-professor-level/</t>
  </si>
  <si>
    <t>Diego Gil,</t>
  </si>
  <si>
    <t>oecd_2</t>
  </si>
  <si>
    <t>https://jobs.smartrecruiters.com/OECD/744000089248695-data-analyst-on-international-trade-and-business-statistics</t>
  </si>
  <si>
    <t>yale_cadmy</t>
  </si>
  <si>
    <t>Yale</t>
  </si>
  <si>
    <t>will_mary</t>
  </si>
  <si>
    <t>https://go.wm.edu/VphZB3</t>
  </si>
  <si>
    <t>William and Mary</t>
  </si>
  <si>
    <t>job number JR10004781</t>
  </si>
  <si>
    <t>https://jobs.wisc.edu/jobs/assistant-professor-in-agricultural-and-applied-economics-madison-wisconsin-united-states</t>
  </si>
  <si>
    <t>uw_1</t>
  </si>
  <si>
    <t>Universty at Wisconsin-Maddison</t>
  </si>
  <si>
    <t>uw_2</t>
  </si>
  <si>
    <t>The Job ID is JR10003883</t>
  </si>
  <si>
    <t>https://wisconsin.wd1.myworkdayjobs.com/UW_Comprehensives/job/Whitewater-WI/Assistant-Professor--Tenure-Track---Economics_JR10003883</t>
  </si>
  <si>
    <t>Universty at Wisconsin-Whitewater</t>
  </si>
  <si>
    <t>uw_3</t>
  </si>
  <si>
    <t>https://wisconsin.wd1.myworkdayjobs.com/en-US/UW_Comprehensives/details/Assistant-Professor-Economics_JR10004642?Institution=5adf054562b610142325c7d9ca9e0000</t>
  </si>
  <si>
    <t>Universty at Wisconsin-Stevenson</t>
  </si>
  <si>
    <t>thema</t>
  </si>
  <si>
    <t>THEMA</t>
  </si>
  <si>
    <t>warwik</t>
  </si>
  <si>
    <t>https://warwick-careers.tal.net/vx/lang-en-GB/mobile-0/appcentre-1/brand-4/user-11595/xf-96f0ebc693de/candidate/so/pm/1/pl/3/opp/3445-Assistant-Professor-Economics-x2-30212-1025/en-GB</t>
  </si>
  <si>
    <t>need to apply to EJM AND to the warwik site</t>
  </si>
  <si>
    <t>University of Warwik</t>
  </si>
  <si>
    <t>purdue</t>
  </si>
  <si>
    <t>https://careers.purdue.edu/job/AssistantAssociate-Tenure-Track-Professor%2C-Agricultural%2C-Food-and-Applied-Economics/39067-en_US/</t>
  </si>
  <si>
    <t>Purdue University</t>
  </si>
  <si>
    <t>need to apply to EJM AND another site</t>
  </si>
  <si>
    <t>added some more info on posts</t>
  </si>
  <si>
    <t>utah</t>
  </si>
  <si>
    <t>https://utah.peopleadmin.com/postings/188619</t>
  </si>
  <si>
    <t>The University of Utah</t>
  </si>
  <si>
    <t>south_main</t>
  </si>
  <si>
    <t>https://fa-ewca-saasfaprod1.fa.ocs.oraclecloud.com/hcmUI/CandidateExperience/en/sites/CX_1/job/1521?lastSelectedFacet=ORGANIZATIONS&amp;mode=location&amp;selectedOrganizationsFacet=300000014113625</t>
  </si>
  <si>
    <t>University of Southern Maine</t>
  </si>
  <si>
    <t>make it teaching focused</t>
  </si>
  <si>
    <t>south_florida</t>
  </si>
  <si>
    <t>http://employment.usf.edu</t>
  </si>
  <si>
    <t>joe + other place</t>
  </si>
  <si>
    <t>University of South Florida</t>
  </si>
  <si>
    <t>south_carolina</t>
  </si>
  <si>
    <t>https://uscjobs.sc.edu/postings/195192</t>
  </si>
  <si>
    <t>University of South Carolina</t>
  </si>
  <si>
    <t>about artificial inteligence</t>
  </si>
  <si>
    <t>pittsburg</t>
  </si>
  <si>
    <t>University of Pittsburgh</t>
  </si>
  <si>
    <t>richmond</t>
  </si>
  <si>
    <t>https://robins.richmond.edu/undergraduate/departments/economics/career-opportunities.html</t>
  </si>
  <si>
    <t>University of Richmond</t>
  </si>
  <si>
    <t>oklahoma</t>
  </si>
  <si>
    <t>University of Oklahoma</t>
  </si>
  <si>
    <t>https://apply.interfolio.com/174522</t>
  </si>
  <si>
    <t>notredame</t>
  </si>
  <si>
    <t>https://apply.interfolio.com/173340</t>
  </si>
  <si>
    <t>University of Notre Dame</t>
  </si>
  <si>
    <t>n_iowa</t>
  </si>
  <si>
    <t>https://uni.wd5.myworkdayjobs.com/en-US/UNI/details/Assistant-or-Associate-Professor-of-Economics--Applied-Microeconomics-_JR816?jobFamilyGroup=12b49c095378100522815b04f3340001</t>
  </si>
  <si>
    <t>University of Northern Iowa</t>
  </si>
  <si>
    <t>iowa</t>
  </si>
  <si>
    <t>added 10 JOE</t>
  </si>
  <si>
    <t>misurri_col</t>
  </si>
  <si>
    <t>https://erecruit.umsystem.edu/psc/tamext/COLUM/HRMS/c/HRS_HRAM_FL.HRS_CG_SEARCH_FL.GBL?Page=HRS_APP_SCHJOB_FL&amp;Action=U</t>
  </si>
  <si>
    <t>University of Missouri-Columbia</t>
  </si>
  <si>
    <t>chapel_hill</t>
  </si>
  <si>
    <t>https://unc.peopleadmin.com/postings/307461</t>
  </si>
  <si>
    <t>University of North Carolina at Chapel Hill</t>
  </si>
  <si>
    <t>Gettysburg College</t>
  </si>
  <si>
    <t>getty</t>
  </si>
  <si>
    <t>https://gettysburg.peopleadmin.com/postings/6014</t>
  </si>
  <si>
    <t>miami</t>
  </si>
  <si>
    <t>https://careers.miami.edu/us/en/job/R100081474/MHBS-Assistant-Associate-Full-Professor,</t>
  </si>
  <si>
    <t>University of Miami</t>
  </si>
  <si>
    <t>University of Massachusetts Boston</t>
  </si>
  <si>
    <t>umass</t>
  </si>
  <si>
    <t>visiting</t>
  </si>
  <si>
    <t>https://employmentopportunities.umb.edu/boston/en-us/job/527945/assistant-professor-economics</t>
  </si>
  <si>
    <t>umass_a</t>
  </si>
  <si>
    <t>UMass Amherst</t>
  </si>
  <si>
    <t>https://careers.umass.edu/en-us/job/527367/assistant-professor-of-department-of-economics-commonwealth-honors-college</t>
  </si>
  <si>
    <t>CL needs to be addressed to Professor Patrick Mason, Chair, Department of Economics, (Crotty Hall, 412 North Pleasant Street, Amherst, MA 01002 USA)</t>
  </si>
  <si>
    <t>urbana</t>
  </si>
  <si>
    <t>University of Illinois Urbana-Champaign</t>
  </si>
  <si>
    <t>https://illinois.csod.com/ux/ats/careersite/1/home/requisition/15225?c=illinois&amp;sq=1032897</t>
  </si>
  <si>
    <t>urbana_2</t>
  </si>
  <si>
    <t>https://illinois.csod.com/ux/ats/careersite/1/home/requisition/14762?c=illinois&amp;sq=1031846&amp;referralToken=MX8lYTz4-EapwaM-jNL-bA</t>
  </si>
  <si>
    <t>houston</t>
  </si>
  <si>
    <t>https://careers.uh.edu/jobs/associate-or-full-professor-american-state-urban-politics-and-policy-houston-texas-united-states</t>
  </si>
  <si>
    <t>Universty of Houston</t>
  </si>
  <si>
    <t>u_chile</t>
  </si>
  <si>
    <t>Uuniversidad de Chile</t>
  </si>
  <si>
    <t>added 10 joe</t>
  </si>
  <si>
    <t>Cindy Graf
Department of Economics
University of Pittsburgh
cmg134@pitt.edu</t>
  </si>
  <si>
    <t>https://aprecruit.berkeley.edu/JPF05045</t>
  </si>
  <si>
    <t>University of California, Berkeley</t>
  </si>
  <si>
    <t>berkeley</t>
  </si>
  <si>
    <t>utax</t>
  </si>
  <si>
    <t>https://jobs.lever.co/uaustin/637081c9-3e9b-4540-a3e3-f07ecdba2cb4</t>
  </si>
  <si>
    <t>University of Austin</t>
  </si>
  <si>
    <t>arkansas</t>
  </si>
  <si>
    <t>https://uasys.wd5.myworkdayjobs.com/UAF_External_Career_Site/job/Fayetteville/Assistant--Associate-or-Full-Professor-of-Economics--Open-Rank-_R0076907</t>
  </si>
  <si>
    <t>reference letter on JOE</t>
  </si>
  <si>
    <t>University of Arkansas</t>
  </si>
  <si>
    <t>send teaching dossier</t>
  </si>
  <si>
    <t>albany</t>
  </si>
  <si>
    <t>https://albany.interviewexchange.com/jobofferdetails.jsp;jsessionid=6CE240ADA4E80C56493FC4687C497687?JOBID=193393</t>
  </si>
  <si>
    <t>University at Albany</t>
  </si>
  <si>
    <t>Universidad de Montevideo</t>
  </si>
  <si>
    <t>montevideo</t>
  </si>
  <si>
    <t>Joint Initiative for Latin American Experimental Economics (JILAEE)</t>
  </si>
  <si>
    <t>jilaee</t>
  </si>
  <si>
    <t>tulane</t>
  </si>
  <si>
    <t>https://apply.interfolio.com/172687</t>
  </si>
  <si>
    <t>Tulane University</t>
  </si>
  <si>
    <t>tufs</t>
  </si>
  <si>
    <t>https://apply.interfolio.com/172770.</t>
  </si>
  <si>
    <t>Tufs University</t>
  </si>
  <si>
    <t>vermont</t>
  </si>
  <si>
    <t>https://www.uvmjobs.com/</t>
  </si>
  <si>
    <t>University of Vermont</t>
  </si>
  <si>
    <t>toledo</t>
  </si>
  <si>
    <t>teaching focused</t>
  </si>
  <si>
    <t>https://careers.utoledo.edu/cw/en-us/job/499976/assistant-professor-economics</t>
  </si>
  <si>
    <t>University of Toledo</t>
  </si>
  <si>
    <t>gatehred 10 more from JOE</t>
  </si>
  <si>
    <t>gatehred 10 more from JOE, trying to make up for 31st</t>
  </si>
  <si>
    <t>uta</t>
  </si>
  <si>
    <t>UT Austin</t>
  </si>
  <si>
    <t>The University of Tennessee at Chattanooga</t>
  </si>
  <si>
    <t>https://apply.interfolio.com/172616</t>
  </si>
  <si>
    <t>tennessee</t>
  </si>
  <si>
    <t>The University of Tennessee</t>
  </si>
  <si>
    <t>https://apply.interfolio.com/172749</t>
  </si>
  <si>
    <t>knoxville</t>
  </si>
  <si>
    <t>The University of Iowa</t>
  </si>
  <si>
    <t>https://jobs.uiowa.edu/faculty/view/75674</t>
  </si>
  <si>
    <t>u_chicago</t>
  </si>
  <si>
    <t>https://apply.interfolio.com/172477</t>
  </si>
  <si>
    <t>University of Chicago</t>
  </si>
  <si>
    <t>The University of Akron</t>
  </si>
  <si>
    <t>akron</t>
  </si>
  <si>
    <t>do two apps JOE + extra) mephasize data collection</t>
  </si>
  <si>
    <t>https://uakron.wd1.myworkdayjobs.com/en-US/UACareers</t>
  </si>
  <si>
    <t>https://osu.wd1.myworkdayjobs.com/OSUCareers/job/Columbus-Campus/Post-Doctoral-Scholar-in-Economics-Labor--STEM-Education--and-Household-Finance_R138239-1</t>
  </si>
  <si>
    <t>ohio_state</t>
  </si>
  <si>
    <t>The Ohio State University</t>
  </si>
  <si>
    <t>moscow</t>
  </si>
  <si>
    <t>The New Economic School</t>
  </si>
  <si>
    <t>The College of Wooster</t>
  </si>
  <si>
    <t>wooster</t>
  </si>
  <si>
    <t>texas_state</t>
  </si>
  <si>
    <t>https://jobs.hr.txstate.edu/postings/54208</t>
  </si>
  <si>
    <t>Texas State University</t>
  </si>
  <si>
    <t>john_hopkins</t>
  </si>
  <si>
    <t>interfolio</t>
  </si>
  <si>
    <t>Johns Hopkins University</t>
  </si>
  <si>
    <t>Professors Marian Vidal-Fernandez and Jordi Vidal-Robert (University of Sydney), and Professors Michele Battisti and Sayantan Ghosal (University of Glasgow).</t>
  </si>
  <si>
    <t>givewell</t>
  </si>
  <si>
    <t>https://job-boards.greenhouse.io/givewell/jobs/4253692008</t>
  </si>
  <si>
    <t>GiveWell</t>
  </si>
  <si>
    <t>High Point University</t>
  </si>
  <si>
    <t>high_point</t>
  </si>
  <si>
    <t>tcu</t>
  </si>
  <si>
    <t>https://jobs.tcu.edu/jobs/assistant-or-associate-professor-of-economics-tcu-main-campus-texas-united-states</t>
  </si>
  <si>
    <t>Texas Christian University</t>
  </si>
  <si>
    <t>ref. letter in JOE app in another site</t>
  </si>
  <si>
    <t>Technical University of Denmark</t>
  </si>
  <si>
    <t>tu_denmark</t>
  </si>
  <si>
    <t>https://efzu.fa.em2.oraclecloud.com/hcmUI/CandidateExperience/en/sites/CX_2001/job/6107/?utm_medium=jobshare&amp;utm_source=External+Job+Share</t>
  </si>
  <si>
    <t>https://apply.interfolio.com/174241</t>
  </si>
  <si>
    <t>Swarthmore College</t>
  </si>
  <si>
    <t>stony</t>
  </si>
  <si>
    <t>https://apply.interfolio.com/171290</t>
  </si>
  <si>
    <t>Stony Brook University</t>
  </si>
  <si>
    <t>plus diversity</t>
  </si>
  <si>
    <t>St. John Fisher University</t>
  </si>
  <si>
    <t>st_john</t>
  </si>
  <si>
    <t>https://jobs.sjf.edu/postings/4029</t>
  </si>
  <si>
    <t>st_lawrence</t>
  </si>
  <si>
    <t>https://employment.stlawu.edu/postings/4333</t>
  </si>
  <si>
    <t>St. Lawrence University</t>
  </si>
  <si>
    <t>use both links to apply</t>
  </si>
  <si>
    <t>Skidmore College</t>
  </si>
  <si>
    <t>skidmore</t>
  </si>
  <si>
    <t>https://eodq.fa.us6.oraclecloud.com/hcmUI/CandidateExperience/en/sites/CX/job/3039/?utm_medium=jobshare&amp;utm_source=External+Job+Share</t>
  </si>
  <si>
    <t>added 10 more JOE posting!</t>
  </si>
  <si>
    <t>Rhodes College</t>
  </si>
  <si>
    <t>https://rhodes.wd5.myworkdayjobs.com/Rhodes_Careers/job/Memphis-Tennessee/Assistant-Professor-of-Economics_JR-739</t>
  </si>
  <si>
    <t>rhodes</t>
  </si>
  <si>
    <t>revelio</t>
  </si>
  <si>
    <t>Revelio Labs</t>
  </si>
  <si>
    <t>send resume</t>
  </si>
  <si>
    <t>recruiting@reveliolabs.com</t>
  </si>
  <si>
    <t>puc_cl_2</t>
  </si>
  <si>
    <t>Pomona College</t>
  </si>
  <si>
    <t>pomona</t>
  </si>
  <si>
    <t>https://academicjobsonline.org/ajo/jobs/30847</t>
  </si>
  <si>
    <t>tell Omer for Emilio?</t>
  </si>
  <si>
    <t>Palm Beach Atlantic University</t>
  </si>
  <si>
    <t>https://www.paycomonline.net/v4/ats/web.php/jobs/ViewJobDetails?job=248982&amp;clientkey=85B0677EE5F565F7218786A34C475495</t>
  </si>
  <si>
    <t>palm_beach</t>
  </si>
  <si>
    <t>Ozyegin University</t>
  </si>
  <si>
    <t>ozyegin</t>
  </si>
  <si>
    <t>New College of Florida</t>
  </si>
  <si>
    <t>https://www.schooljobs.com/careers/ncfl/jobs/5083691/applied-microeconomics-faculty-tenure-track?keywords=economic%20development%20manager&amp;pagetype=jobOpportunitiesJobs</t>
  </si>
  <si>
    <t>new_florida</t>
  </si>
  <si>
    <t>National University of Singapore</t>
  </si>
  <si>
    <t>singapore</t>
  </si>
  <si>
    <t>Middle Tennessee State University</t>
  </si>
  <si>
    <t>middle_ten</t>
  </si>
  <si>
    <t>https://careers.mtsu.edu/en-us/job/498375/economics-and-finance-economics-tenuretrack-faculty</t>
  </si>
  <si>
    <t>miami_ohio</t>
  </si>
  <si>
    <t>https://miamioh.wd5.myworkdayjobs.com/miamioh-faculty/job/Farmer-School-of-Business/Assistant-Teaching-Professor---Economics_JR103178</t>
  </si>
  <si>
    <t>both JOE + ohio</t>
  </si>
  <si>
    <t>Miami University</t>
  </si>
  <si>
    <t>ithaca</t>
  </si>
  <si>
    <t>https://ehwy.fa.us2.oraclecloud.com/hcmUI/CandidateExperience/en/sites/CX_1/job/3310</t>
  </si>
  <si>
    <t>Ithaca College</t>
  </si>
  <si>
    <t>hope</t>
  </si>
  <si>
    <t>Hope College</t>
  </si>
  <si>
    <t>https://jobs.hope.edu/postings/4833</t>
  </si>
  <si>
    <t xml:space="preserve"> Satoru Takahashi (ecsst@nus.edu.sg), Chair of the Junior Search Committee,</t>
  </si>
  <si>
    <t>send email to the visitor</t>
  </si>
  <si>
    <t>finish adding some stragelers from JOE</t>
  </si>
  <si>
    <t>swarthmore</t>
  </si>
  <si>
    <t>ppp</t>
  </si>
  <si>
    <t>https://apply.interfolio.com/175034</t>
  </si>
  <si>
    <t>Center for Philosophy, Politics, and Economics at Brown University (PPE Center)</t>
  </si>
  <si>
    <t>CL must fit vission of the center and mix politics and econ</t>
  </si>
  <si>
    <t>Singapore University of Technology and Design</t>
  </si>
  <si>
    <t>add teaching dossier</t>
  </si>
  <si>
    <t>sutd</t>
  </si>
  <si>
    <t>https://careers.sutd.edu.sg/job/Singapore-Lecturer-in-Economics-%28Humanities%2C-Arts-and-Social-Sciences%29-138682/48335944/</t>
  </si>
  <si>
    <t>rbbecon</t>
  </si>
  <si>
    <t>https://cezanneondemand.intervieweb.it/rbbecon/jobs/2526-economist-phd-level-58340/en/</t>
  </si>
  <si>
    <t>RBB Economics</t>
  </si>
  <si>
    <t>send JMP to valentina.ruocco@rbbecon.com</t>
  </si>
  <si>
    <t>cna</t>
  </si>
  <si>
    <t>bank_mx</t>
  </si>
  <si>
    <t>https://jobs.dayforcehcm.com/en-US/cna/CANDIDATEPORTAL/jobs/6202</t>
  </si>
  <si>
    <t>CAN</t>
  </si>
  <si>
    <t>Bank of Mexico</t>
  </si>
  <si>
    <t>emphasize that you command spanish for research</t>
  </si>
  <si>
    <t>Sabanci University</t>
  </si>
  <si>
    <t>sabanci</t>
  </si>
  <si>
    <t>Erasmus University Rotterdam</t>
  </si>
  <si>
    <t>rotterdam</t>
  </si>
  <si>
    <t>swiss_data</t>
  </si>
  <si>
    <t>mention my proficiency is use of LLM both through API or local deployment  open source models</t>
  </si>
  <si>
    <t>Prof. Elliott Ash</t>
  </si>
  <si>
    <t>ETH Zurich</t>
  </si>
  <si>
    <t>bologna_2</t>
  </si>
  <si>
    <t>University of Bologna</t>
  </si>
  <si>
    <t>Prof. Alessandro Tavoni: alessandro.tavoni@unibo.it</t>
  </si>
  <si>
    <t>kiep</t>
  </si>
  <si>
    <t>Korea Institute for International Economic Policy</t>
  </si>
  <si>
    <t>added 10 more from EJM</t>
  </si>
  <si>
    <t>University College Dublin</t>
  </si>
  <si>
    <t>https://my.corehr.com/pls/ucdrecruit/erq_search_package.search_form?p_company=1&amp;p_internal_external=E#</t>
  </si>
  <si>
    <t>ucd_1</t>
  </si>
  <si>
    <t>ucd_2</t>
  </si>
  <si>
    <t>jib ref (019094) and china application</t>
  </si>
  <si>
    <t>job ref (019090)</t>
  </si>
  <si>
    <t>Professor Benjamin Elsner</t>
  </si>
  <si>
    <t>aix</t>
  </si>
  <si>
    <t>Aix-Marseille Université</t>
  </si>
  <si>
    <t>oslo_post</t>
  </si>
  <si>
    <t>cl must match a project</t>
  </si>
  <si>
    <t>laval</t>
  </si>
  <si>
    <t>Université Laval</t>
  </si>
  <si>
    <t>Stephen Gordon, Chair</t>
  </si>
  <si>
    <t>sacro</t>
  </si>
  <si>
    <t>Università Cattolica del Sacro Cuore</t>
  </si>
  <si>
    <t>bank_alemania</t>
  </si>
  <si>
    <t>Deutsche Bundesbank</t>
  </si>
  <si>
    <t>specify the preference of topics (AI effect on finance and macrofinance)</t>
  </si>
  <si>
    <t>luis_guido</t>
  </si>
  <si>
    <t>LUISS Guido Carli</t>
  </si>
  <si>
    <t>Paris School of Economics (PSE)</t>
  </si>
  <si>
    <t>pse</t>
  </si>
  <si>
    <t>https://www.parisschoolofeconomics.eu/en/job-opportunities/assistant-professor/</t>
  </si>
  <si>
    <t>finished adding EJM</t>
  </si>
  <si>
    <t>vienna</t>
  </si>
  <si>
    <t>University of Vienna</t>
  </si>
  <si>
    <t>specify that I want to do applied micro, but have good synergy with behavioral group</t>
  </si>
  <si>
    <t>obrero</t>
  </si>
  <si>
    <t>Örebro University</t>
  </si>
  <si>
    <t>vienna_econ</t>
  </si>
  <si>
    <t>online recruitment system (ID 2601)</t>
  </si>
  <si>
    <t>Vienna University of Economics and Business</t>
  </si>
  <si>
    <t>data science focus</t>
  </si>
  <si>
    <t>s</t>
  </si>
  <si>
    <t>ruben durante</t>
  </si>
  <si>
    <t>https://my.corehr.com/pls/ucdrecruit/core_document_api_2.view_erecruit_document?p_key_1=215BFF4861A4B952AA405B1ABBCB6EAA7B9FAEC5FAF34F60B75385D25F265B8B3A76E605D3729A3546459E8B5E9AAC49B8342A0436E5E8901BD5372C48631CF931C96AD669964E9DEFE50D0B48FCDF201EB69016718BA161F7CDDD905E4FE0121C13D4702060D1874D06C4141170113F5C34EA159610394F9F3A17E3A4DEF90796ABA5C2509295F08F188493660576A0EA8E52DABB978E1186C08C266BAD13465F6EF6796F442650491F920DE17F9B2DBDC810C1179B759A9792E7E44083647F&amp;p_key_2=B3BAFFFED78F9AFA99937CAFCCAF4EC8DD9F74FD7FB0107B771A05D0EBEA027333961EA385C18CCE06D55CEAF1AFA9FCBDCA3CE35F7CEF502B7763D5DFA6DDDA8F6D5A448CEABE781F1DA910CE935229883C55E72278A7F57528ECCE5E490B25999F0D10F5E9411A924C37A181CFE8507B5D13AEDC1510177933385DF6A68C7478C1CB42A2CD8D2A1DE71D0915255FF689155D51671A208E2CF36F9DDB806AC278033A6E025243329BD38D8118D8DE9EDF10FBAFB87478F1059873B4BB0432AE</t>
  </si>
  <si>
    <t>Université Libre de Bruxelles</t>
  </si>
  <si>
    <t>add that I worked on a experimental project</t>
  </si>
  <si>
    <t>free_belgium</t>
  </si>
  <si>
    <t>dulbea@ulb.be</t>
  </si>
  <si>
    <t>Universitat de les Illes Balears</t>
  </si>
  <si>
    <t>illes</t>
  </si>
  <si>
    <t>emphasize that you command spanish to teach</t>
  </si>
  <si>
    <t>Masaryk University</t>
  </si>
  <si>
    <t>https://www.muni.cz/en/about-us/careers/vacancies/79969</t>
  </si>
  <si>
    <t>masaryk</t>
  </si>
  <si>
    <t>Ondřej Krčál, at ondrej.krcal@econ.muni.cz</t>
  </si>
  <si>
    <t>Universitat de Barcelona</t>
  </si>
  <si>
    <t>ubse</t>
  </si>
  <si>
    <t>Collegio Carlo Alberto</t>
  </si>
  <si>
    <t>carlo_alberto</t>
  </si>
  <si>
    <t>Copenhagen Business School</t>
  </si>
  <si>
    <t>https://www.cbs.dk/en/about-cbs/jobs-cbs/vacant-positions/postdoc-in-behavioral-and-applied-microeconomics</t>
  </si>
  <si>
    <t>coppen_postdoc</t>
  </si>
  <si>
    <t>the letter ust emphasize strongs</t>
  </si>
  <si>
    <t>new_mex</t>
  </si>
  <si>
    <t>https://unm.csod.com/ux/ats/careersite/18/home/requisition/34206?c=unm&amp;sq=req34206</t>
  </si>
  <si>
    <t>University of New Mexico</t>
  </si>
  <si>
    <t>comment that I can do development economics</t>
  </si>
  <si>
    <t>texas_tech</t>
  </si>
  <si>
    <t>https://sjobs.brassring.com/TGnewUI/Search/home/HomeWithPreLoad?partnerid=25898&amp;siteid=5637&amp;PageType=JobDetails&amp;jobid=898044#jobDetails=898044_5637</t>
  </si>
  <si>
    <t>Texas Tech University</t>
  </si>
  <si>
    <t>magdeburg</t>
  </si>
  <si>
    <t>University Magdeburg</t>
  </si>
  <si>
    <t>https://jobs.iwh-halle.de/jobposting/f68ad3674ed550f84f3788057ee64c1f8943ff400</t>
  </si>
  <si>
    <t>just apply in the link - in JOE and EJM doesn’t let you</t>
  </si>
  <si>
    <t>bank_itl</t>
  </si>
  <si>
    <t>https://www.bancaditalia.it/chi-siamo/lavorare-bi/borse-ricerca-economisti/index.html?com.dotmarketing.htmlpage.language=1</t>
  </si>
  <si>
    <t>Bank of Italy</t>
  </si>
  <si>
    <t>tell Mykia to send letters to personale.fellowship@bancaditalia.it</t>
  </si>
  <si>
    <t>gigas</t>
  </si>
  <si>
    <t>https://www.giga-hamburg.de/en/career/postdoctoral-research-fellow-m-f-d-development-economics</t>
  </si>
  <si>
    <t>GIGA</t>
  </si>
  <si>
    <t>CLICCS</t>
  </si>
  <si>
    <t>https://www.giga-hamburg.de/en/career/postdoctoral-research-fellow-m-f-d-in-economics-or-political-science</t>
  </si>
  <si>
    <t>cliccs</t>
  </si>
  <si>
    <t>fill application form -(SEE DETAILS TO SEND THE LETTERS) letters to jobs-25-09@giga-hamburg.de</t>
  </si>
  <si>
    <t>fill application form -(SEE DETAILS TO SEND THE LETTERS)  letters to jobs-25-10@giga-hamburg.de</t>
  </si>
  <si>
    <t>arizona_state</t>
  </si>
  <si>
    <t>Arizona State University</t>
  </si>
  <si>
    <t>https://apply.interfolio.com/176044</t>
  </si>
  <si>
    <t>UniDistance</t>
  </si>
  <si>
    <t>unidistance</t>
  </si>
  <si>
    <t>surrey</t>
  </si>
  <si>
    <t>University of Surrey</t>
  </si>
  <si>
    <t>Università degli Studi di Torino</t>
  </si>
  <si>
    <t>torino</t>
  </si>
  <si>
    <t>aarhus</t>
  </si>
  <si>
    <t>Aarhus University</t>
  </si>
  <si>
    <t>uwa</t>
  </si>
  <si>
    <t>University of Western Australia</t>
  </si>
  <si>
    <t>nse</t>
  </si>
  <si>
    <t>Norwegian School of Economics</t>
  </si>
  <si>
    <t>Institute for Advanced Studies Vienna</t>
  </si>
  <si>
    <t>ias_vienna</t>
  </si>
  <si>
    <t>they want people with cool datasets</t>
  </si>
  <si>
    <t>ditella_gov</t>
  </si>
  <si>
    <t>Universidad Torcuato Di Tella</t>
  </si>
  <si>
    <t>unsw_post</t>
  </si>
  <si>
    <t>Professor Pauline Grosjean (UNSW) and in collaboration with Victoria Baranov (University of Melbourne), Ralph De Haas (EBRD), and Ieda Matavelli (CERGE-EI)</t>
  </si>
  <si>
    <t>research of masculinity norms!</t>
  </si>
  <si>
    <t>added some more info on EJM</t>
  </si>
  <si>
    <t>coppen_2</t>
  </si>
  <si>
    <t>University of Copenhagen</t>
  </si>
  <si>
    <t>Faculty of Social Sciences</t>
  </si>
  <si>
    <t>emails</t>
  </si>
  <si>
    <t>add_category</t>
  </si>
  <si>
    <t>research</t>
  </si>
  <si>
    <t>need people with AI</t>
  </si>
  <si>
    <t>something about the ML with Python</t>
  </si>
  <si>
    <t>Add that you work on AI and can teach labor</t>
  </si>
  <si>
    <t>confirmation number is 7Bujxrta</t>
  </si>
  <si>
    <t>AI for the finance department</t>
  </si>
  <si>
    <t>Dr. Inmyung Choi, Search Committee Chair at inmyung.choi@ttu.edu</t>
  </si>
  <si>
    <t>great fit with the department? (a bunch of new PhD have graduated with media + AI)</t>
  </si>
  <si>
    <t>dartmouth_post</t>
  </si>
  <si>
    <t>https://apply.interfolio.com/176743</t>
  </si>
  <si>
    <t>Dartmouth</t>
  </si>
  <si>
    <t>eca</t>
  </si>
  <si>
    <t>E.CA Economics</t>
  </si>
  <si>
    <t>Lisbon School of Economics and Management</t>
  </si>
  <si>
    <t>iseg</t>
  </si>
  <si>
    <t>manhaeim</t>
  </si>
  <si>
    <t>escp</t>
  </si>
  <si>
    <t>ESCP Business School</t>
  </si>
  <si>
    <t>submit CV to https://tinyurl.com/BerlinESCPEcon</t>
  </si>
  <si>
    <t>https://tinyurl.com/BerlinESCPEcon</t>
  </si>
  <si>
    <t>unidistance_post</t>
  </si>
  <si>
    <t>Michael Kurschilgen: michael.kurschilgen@unidistance.ch</t>
  </si>
  <si>
    <t>kings</t>
  </si>
  <si>
    <t>Kings College</t>
  </si>
  <si>
    <t>historical econ</t>
  </si>
  <si>
    <t>added some info of stragelers in EJM and JOE</t>
  </si>
  <si>
    <t>Prof. Philipp Ager philipp.ager@uni-mannheim.de</t>
  </si>
  <si>
    <t>https://postdocs.northwestern.edu/announcements/positions-at-northwestern/2025/postdoctoral-research-opportunity-global-llm-values-benchmarking-working-group.html</t>
  </si>
  <si>
    <t>llm_nwest</t>
  </si>
  <si>
    <t>Northwestern University</t>
  </si>
  <si>
    <t>Yingdan Lu. </t>
  </si>
  <si>
    <t>hec_paris</t>
  </si>
  <si>
    <t>HEC Paris</t>
  </si>
  <si>
    <t>virginia_common</t>
  </si>
  <si>
    <t>Virginia Commonwealth University</t>
  </si>
  <si>
    <t>https://vcujobs.com/jobs/assistant-professor-economics-vcu-main-campus-virginia-united-states</t>
  </si>
  <si>
    <t>apply in JOE + internal wb</t>
  </si>
  <si>
    <t>Christopher Herrington   herringtoncm@vcu.edu</t>
  </si>
  <si>
    <t>bowling_state</t>
  </si>
  <si>
    <t>https://www.schooljobs.com/careers/bgsu/faculty/jobs/5151499/assistant-teaching-professor-of-economics?pagetype=jobOpportunitiesJobs</t>
  </si>
  <si>
    <t>Bowling Green State University</t>
  </si>
  <si>
    <t>osaka_micro</t>
  </si>
  <si>
    <t>https://www.econ.osaka-u.ac.jp/en/en-news/3377/</t>
  </si>
  <si>
    <t>Osaka University</t>
  </si>
  <si>
    <t>Duquesne University</t>
  </si>
  <si>
    <t>duquesne</t>
  </si>
  <si>
    <t>https://apply.interfolio.com/178305</t>
  </si>
  <si>
    <t>rochester</t>
  </si>
  <si>
    <t>c.massaro@rochester.edu</t>
  </si>
  <si>
    <t>University of Rochester</t>
  </si>
  <si>
    <t>uncarolina</t>
  </si>
  <si>
    <t>The University of North Carolina, Charlotte</t>
  </si>
  <si>
    <t>email rec letters to econsearch@charlotte.edu</t>
  </si>
  <si>
    <t>send to email + letter of rec</t>
  </si>
  <si>
    <t>https://jobs.charlotte.edu/postings/65111</t>
  </si>
  <si>
    <t>fiu</t>
  </si>
  <si>
    <t>Florida International University</t>
  </si>
  <si>
    <t>Job Opening ID 536413</t>
  </si>
  <si>
    <t>added some stragelers from JOE and EJM</t>
  </si>
  <si>
    <t>rio_grande</t>
  </si>
  <si>
    <t>https://careers.utrgv.edu/postings/49492</t>
  </si>
  <si>
    <t>U Texas Rio Grande Valey</t>
  </si>
  <si>
    <t>lund_post</t>
  </si>
  <si>
    <t>Professor Jutta Bolt</t>
  </si>
  <si>
    <t>University of Lund</t>
  </si>
  <si>
    <t>https://lu.varbi.com/en/what:job/jobID:875828/type:job/where:4/apply:1</t>
  </si>
  <si>
    <t>hse</t>
  </si>
  <si>
    <t>https://iri.hse.ru/announcements/876324879.html</t>
  </si>
  <si>
    <t>National Research University Higher School of Economics</t>
  </si>
  <si>
    <t>warthon_media</t>
  </si>
  <si>
    <t>University of Pennsylvania</t>
  </si>
  <si>
    <t>https://infodem.upenn.edu/wharton-postdoc/</t>
  </si>
  <si>
    <t>about media effects and LLMs</t>
  </si>
  <si>
    <t>added a few more stragelers</t>
  </si>
  <si>
    <t>sloan</t>
  </si>
  <si>
    <t>https://sloan.org/about/careers</t>
  </si>
  <si>
    <t>Alfred P. Sloan Foundation</t>
  </si>
  <si>
    <t xml:space="preserve">cover letter and resume/CV via email to HR@sloan.org with “LAST NAME – Program Associate, Economics” </t>
  </si>
  <si>
    <t>urbana_champ_post</t>
  </si>
  <si>
    <t>https://illinois.csod.com/ux/ats/careersite/1/home/requisition/15669?c=illinois</t>
  </si>
  <si>
    <t>st_andrews</t>
  </si>
  <si>
    <t>https://www.vacancies.st-andrews.ac.uk/Vacancies/W/4445/0/461020/889/senior-lecturer-or-reader-in-economics-microeconomics-ac2400</t>
  </si>
  <si>
    <t>University of St Andrews</t>
  </si>
  <si>
    <t>Professor Conny Wollbrant, Head of Department (conny.wollbrant@st-andrews.ac.uk) or Professor Mark Brewer, Dean of the Business School (BSchoolDean@st-andrews.ac.uk).</t>
  </si>
  <si>
    <t>namur</t>
  </si>
  <si>
    <t>University of Namur</t>
  </si>
  <si>
    <t>app form (https://www.unamur.be/en/university/work/forms)</t>
  </si>
  <si>
    <t>https://jobs.unamur.be/emploi.2025-12-02.1636013715</t>
  </si>
  <si>
    <t>coppen_post2</t>
  </si>
  <si>
    <t>https://candidate.hr-manager.net/ApplicationForm/SinglePageApplicationForm.aspx?cid=3010&amp;departmentId=19853&amp;ProjectId=152721&amp;MediaId=5105</t>
  </si>
  <si>
    <t>zurich_dev</t>
  </si>
  <si>
    <t>kyev</t>
  </si>
  <si>
    <t>Kyiv School of Economics</t>
  </si>
  <si>
    <t>san_andres</t>
  </si>
  <si>
    <t>Universidad de San Andrés</t>
  </si>
  <si>
    <t>https://careers.fiu.edu/</t>
  </si>
  <si>
    <t>tcd</t>
  </si>
  <si>
    <t>https://my.corehr.com/pls/trrecruit/core_document_api_2.view_erecruit_document?p_key_1=CB26AA2AFD844E702E8300F71615FD485BC43D74A5AAB9780031AD7075E81C90E6513048715BC22461A36B1EAA3E023D296A2289F631CA529DC264DD0ECF30E82908B43DC4E26E11669B19E4D2CD6D7937CD3A1F455C59A346519CA6ED25DF0A5AEA55F0F331F97B5557E15631AFFE70CD24F8C6261254157EBBFFD246B9731DBA2290C8462798283678FF3109A886FFDF736969AD17D9A049C27A7220C3D37C95ED008CF3A070DA8E957B2F39BC1ABF732359DABCE73E2E2E49E25099B8C67A&amp;p_key_2=AD3492EFB843B061088195B195E18CA2DECEAE63982E0CF4EF78491D2E81D188036665B4BD789DCF29AB94C2B6FDBC9CEE0FDF25F2739474708FD4658CD450D6FD856FC916740D29CBABFA1D4EDD51A15B7B5839C2FAD157A56CEAFF96CCBFCF1A845B3B27F3D720B67471703936D8D3BBCC8A5C1941C9B03054BD685B589B3A137E92E7C53CD7322B2E2A33F7EBBFB47E150C53669CF6F6ACFAA17C2AD0168A4EA8F1785CA53DB1673DC6ECFD2764A3F908FB0AE85025BF4C938FE465D44654</t>
  </si>
  <si>
    <t>Trinity College Dublin</t>
  </si>
  <si>
    <t>http://jobs.tcd.ie</t>
  </si>
  <si>
    <t>search for the econ AP position</t>
  </si>
  <si>
    <t>country</t>
  </si>
  <si>
    <t>United Kingdom</t>
  </si>
  <si>
    <t>Ireland</t>
  </si>
  <si>
    <t>purdue_post_sloan</t>
  </si>
  <si>
    <t>https://careers.purdue.edu/job/Postdoc-Research-AssocSloan-Fdn/40467-en_US/</t>
  </si>
  <si>
    <t>northwestern_cssi</t>
  </si>
  <si>
    <t>https://www.kellogg.northwestern.edu/academics-research/science-of-science/faculty-and-contributors/join-the-community/</t>
  </si>
  <si>
    <t>utrecht_2</t>
  </si>
  <si>
    <t>torino_post</t>
  </si>
  <si>
    <t>University of Turin</t>
  </si>
  <si>
    <t>st_luis</t>
  </si>
  <si>
    <t>Washington University in St. Louis</t>
  </si>
  <si>
    <t>boston_2</t>
  </si>
  <si>
    <t>zurich_post_dig</t>
  </si>
  <si>
    <t>andres_bello</t>
  </si>
  <si>
    <t>https://www.aeaweb.org/joe/listing.php?JOE_ID=2026-01_111477201&amp;q=eNplj1EKwkAMRO-Sb4Uq6EcPIAjeYYm7sa7GbEm2lVwi3t0oFgT_wpvMJPOAQ7aapbNd0Ru0D8gSMNY8ErTQwAKuNN2LpmCEGs8OnRn5RhFoZWBewIV4HrPZ8Haum_V22ax8t2jusiDv_5RYBqk6BaXuXCfMcKQUToUTqc0woqScsFKwqHg7Ms2KUiSpoQhPM-Jvo-Bvk4ajC_Dx9sWqZ6Pf5r53unkX7LH7pj2fL5LLXFyZ</t>
  </si>
  <si>
    <t>Universidad Andres Bello</t>
  </si>
  <si>
    <t>hec_ine</t>
  </si>
  <si>
    <t>wheterall</t>
  </si>
  <si>
    <t>Queens University</t>
  </si>
  <si>
    <t>porto</t>
  </si>
  <si>
    <t>University of Porto</t>
  </si>
  <si>
    <t>lyon_post</t>
  </si>
  <si>
    <t>École Normale Superieure de Lyon</t>
  </si>
  <si>
    <t>uciii_post</t>
  </si>
  <si>
    <t xml:space="preserve">Carlos III </t>
  </si>
  <si>
    <t>added some other job postings</t>
  </si>
  <si>
    <t>*may be not updated because I forgot to update the "sum" page. See timeline for accurate status of applications</t>
  </si>
  <si>
    <t>fiu_teaching</t>
  </si>
  <si>
    <t>https://search.careers.fiu.edu/?q=536746</t>
  </si>
  <si>
    <t>reading</t>
  </si>
  <si>
    <t>University of Reading</t>
  </si>
  <si>
    <t>Simonetta Longhi (s.longhi@reading.ac.uk)</t>
  </si>
  <si>
    <t>https://jobs.reading.ac.uk/Job/JobDetail?JobId=25073</t>
  </si>
  <si>
    <t>n_iowa_teaching</t>
  </si>
  <si>
    <t>https://uni.wd5.myworkdayjobs.com/en-US/UNI/job/Assistant-Professor-of-Instruction-or-Practice---Economics_JR1009</t>
  </si>
  <si>
    <t>University of North Iowa</t>
  </si>
  <si>
    <t>toronto_limited</t>
  </si>
  <si>
    <t>https://jobs.utoronto.ca/job/Toronto-Assistant-Professor-Contractually-Limited-Term-Appointment-%28CLTA%29-EconomicsApplied-Economics-ON/599485817/</t>
  </si>
  <si>
    <t>north_western</t>
  </si>
  <si>
    <t>https://www.nwciowa.edu/employment/openings/402/visiting-faculty---economics</t>
  </si>
  <si>
    <t>Northwestern College</t>
  </si>
  <si>
    <t>tilurg_postdoc</t>
  </si>
  <si>
    <t>Tilurg University</t>
  </si>
  <si>
    <t>south_denmark</t>
  </si>
  <si>
    <t>https://fa-eosd-saasfaprod1.fa.ocs.oraclecloud.com/hcmUI/CandidateExperience/en/sites/CX_1001/job/3205</t>
  </si>
  <si>
    <t>Danish Institute for Advanced Study</t>
  </si>
  <si>
    <t>full</t>
  </si>
  <si>
    <t>thisnis for a full professorship but I applied nonetheless</t>
  </si>
  <si>
    <t>denison</t>
  </si>
  <si>
    <t>Denison University</t>
  </si>
  <si>
    <t>https://apply.interfolio.com/180665</t>
  </si>
  <si>
    <t>wilfrid</t>
  </si>
  <si>
    <t>Wilfrid Laurier University</t>
  </si>
  <si>
    <t>https://www.aeaweb.org/joe/listing.php?JOE_ID=2026-01_111477276&amp;</t>
  </si>
  <si>
    <t>wake_forest</t>
  </si>
  <si>
    <t>https://apply.interfolio.com/181254</t>
  </si>
  <si>
    <t>Wake Forest University</t>
  </si>
  <si>
    <t>hiroshima_2</t>
  </si>
  <si>
    <t>https://www.hiroshima-u.ac.jp/en/employment/kyoinkobo/ningen</t>
  </si>
  <si>
    <t>There is one applied econometrics and a micro economtrics (do these together! Need to send applications via email</t>
  </si>
  <si>
    <t>puget</t>
  </si>
  <si>
    <t>https://apptrkr.com/6895610</t>
  </si>
  <si>
    <t>University of Puget Sound</t>
  </si>
  <si>
    <t>compiling more job post to apply</t>
  </si>
  <si>
    <t>eria</t>
  </si>
  <si>
    <t>for senior data analyst</t>
  </si>
  <si>
    <t>https://www.eria.org/about-us/career-opportunities</t>
  </si>
  <si>
    <t>Economic Research Institute for ASEAN and East Asia(ERIA)</t>
  </si>
  <si>
    <t>data analyst</t>
  </si>
  <si>
    <t>u_barcelona</t>
  </si>
  <si>
    <t>https://seu.ub.edu/ofertaPublicaCategoriaPublic/listPublicacionsAmbCategoria?categoria.id=854740</t>
  </si>
  <si>
    <t>would jneed to dive deep into how to apply</t>
  </si>
  <si>
    <t>edinburg</t>
  </si>
  <si>
    <t>Universitad de Barcelona</t>
  </si>
  <si>
    <t>University of Edinburgh</t>
  </si>
  <si>
    <t>leibniz_digital</t>
  </si>
  <si>
    <t>https://jobs.zew.de/jobposting/3f77f7ab4c309cc0acb22cf7c49d1f933b1a9b780</t>
  </si>
  <si>
    <t>Leibniz Centre for European Economic Research in Mannheim</t>
  </si>
  <si>
    <t>socium</t>
  </si>
  <si>
    <t>send email to edda.boehning@uni-bremen.de</t>
  </si>
  <si>
    <t>cover letter, resume including list of publications, certificates in one PDF</t>
  </si>
  <si>
    <t>SOCIUM Research Center on Inequality and Social Policy</t>
  </si>
  <si>
    <t>sao_paulo</t>
  </si>
  <si>
    <t>https://uspdigital.usp.br/gr/admissao</t>
  </si>
  <si>
    <t>University of São Paulo</t>
  </si>
  <si>
    <t>need to look for it on the page search for economia + might need to create an account</t>
  </si>
  <si>
    <t>Aix-Marseille School of Economics</t>
  </si>
  <si>
    <t>aix_marseille_post</t>
  </si>
  <si>
    <t>brown_post_2</t>
  </si>
  <si>
    <t>Brown University</t>
  </si>
  <si>
    <t>viena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</si>
</sst>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u/>
      <sz val="12"/>
      <color theme="10"/>
      <name val="Aptos Narrow"/>
      <family val="2"/>
      <scheme val="minor"/>
    </font>
    <font>
      <b/>
      <sz val="16"/>
      <color theme="1"/>
      <name val="Aptos Narrow"/>
      <scheme val="minor"/>
    </font>
    <font>
      <b/>
      <sz val="12"/>
      <color theme="1"/>
      <name val="Aptos Narrow"/>
      <family val="2"/>
      <scheme val="minor"/>
    </font>
    <font>
      <sz val="12"/>
      <color rgb="FF000000"/>
      <name val="Aptos Narrow"/>
      <family val="2"/>
      <scheme val="minor"/>
    </font>
    <font>
      <sz val="12"/>
      <name val="Aptos Narrow"/>
      <family val="2"/>
      <scheme val="minor"/>
    </font>
    <font>
      <sz val="12"/>
      <color theme="1"/>
      <name val="Aptos Narrow"/>
      <family val="2"/>
      <scheme val="minor"/>
    </font>
    <font>
      <sz val="20"/>
      <color theme="1"/>
      <name val="Aptos Narrow"/>
      <family val="2"/>
      <scheme val="minor"/>
    </font>
    <font>
      <i/>
      <sz val="12"/>
      <color theme="1"/>
      <name val="Aptos Narrow"/>
      <scheme val="minor"/>
    </font>
    <font>
      <i/>
      <sz val="12"/>
      <color theme="1"/>
      <name val="Aptos Narrow"/>
      <family val="2"/>
      <scheme val="minor"/>
    </font>
    <font>
      <sz val="8"/>
      <color theme="1"/>
      <name val="Aptos Narrow"/>
      <family val="2"/>
      <scheme val="minor"/>
    </font>
    <font>
      <sz val="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00B0F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14" fontId="0" fillId="0" borderId="0" xfId="0" applyNumberFormat="1"/>
    <xf numFmtId="0" fontId="1" fillId="0" borderId="0" xfId="1"/>
    <xf numFmtId="0" fontId="2" fillId="0" borderId="0" xfId="0" applyFont="1" applyAlignment="1">
      <alignment horizontal="center"/>
    </xf>
    <xf numFmtId="0" fontId="0" fillId="2" borderId="0" xfId="0" applyFill="1"/>
    <xf numFmtId="0" fontId="4" fillId="0" borderId="0" xfId="0" applyFont="1"/>
    <xf numFmtId="0" fontId="5" fillId="0" borderId="0" xfId="0" applyFont="1"/>
    <xf numFmtId="0" fontId="1" fillId="0" borderId="0" xfId="1" applyAlignment="1"/>
    <xf numFmtId="0" fontId="3" fillId="0" borderId="0" xfId="0" applyFont="1"/>
    <xf numFmtId="0" fontId="6" fillId="0" borderId="0" xfId="1" applyFont="1" applyFill="1"/>
    <xf numFmtId="9" fontId="0" fillId="0" borderId="0" xfId="2" applyFont="1" applyAlignment="1">
      <alignment horizontal="center" vertical="center"/>
    </xf>
    <xf numFmtId="0" fontId="7" fillId="0" borderId="0" xfId="0" applyFont="1" applyAlignment="1">
      <alignment horizontal="right"/>
    </xf>
    <xf numFmtId="0" fontId="0" fillId="0" borderId="0" xfId="0" applyAlignment="1">
      <alignment horizontal="right"/>
    </xf>
    <xf numFmtId="0" fontId="8" fillId="0" borderId="0" xfId="0" applyFont="1" applyAlignment="1">
      <alignment horizontal="right"/>
    </xf>
    <xf numFmtId="9" fontId="7" fillId="0" borderId="0" xfId="2" applyFont="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xf numFmtId="0" fontId="9" fillId="0" borderId="0" xfId="0" applyFont="1" applyAlignment="1">
      <alignment horizontal="right"/>
    </xf>
    <xf numFmtId="0" fontId="0" fillId="3" borderId="0" xfId="0" applyFill="1"/>
    <xf numFmtId="0" fontId="0" fillId="4" borderId="0" xfId="0" applyFill="1"/>
    <xf numFmtId="0" fontId="10" fillId="0" borderId="0" xfId="0" applyFont="1" applyAlignment="1">
      <alignment horizontal="left"/>
    </xf>
    <xf numFmtId="10" fontId="7" fillId="0" borderId="0" xfId="2" applyNumberFormat="1" applyFont="1" applyAlignment="1">
      <alignment horizontal="center" vertical="center"/>
    </xf>
    <xf numFmtId="0" fontId="11" fillId="0" borderId="0" xfId="0" applyFont="1" applyAlignment="1">
      <alignment horizontal="left" vertical="top"/>
    </xf>
  </cellXfs>
  <cellStyles count="3">
    <cellStyle name="Hyperlink" xfId="1" builtinId="8"/>
    <cellStyle name="Normal" xfId="0" builtinId="0"/>
    <cellStyle name="Percent" xfId="2" builtinId="5"/>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strike val="0"/>
        <color theme="8" tint="-0.24994659260841701"/>
      </font>
      <fill>
        <patternFill patternType="none">
          <bgColor auto="1"/>
        </patternFill>
      </fill>
    </dxf>
    <dxf>
      <font>
        <color theme="8" tint="-0.24994659260841701"/>
      </font>
    </dxf>
    <dxf>
      <font>
        <color theme="0"/>
      </font>
      <fill>
        <patternFill>
          <bgColor theme="3" tint="0.24994659260841701"/>
        </patternFill>
      </fill>
      <border>
        <left style="hair">
          <color auto="1"/>
        </left>
        <right style="hair">
          <color auto="1"/>
        </right>
        <top style="hair">
          <color auto="1"/>
        </top>
        <bottom style="hair">
          <color auto="1"/>
        </bottom>
        <vertical/>
        <horizontal/>
      </border>
    </dxf>
    <dxf>
      <font>
        <color theme="2" tint="-0.24994659260841701"/>
      </font>
      <fill>
        <patternFill patternType="none">
          <bgColor auto="1"/>
        </patternFill>
      </fill>
    </dxf>
    <dxf>
      <font>
        <color rgb="FF006100"/>
      </font>
      <fill>
        <patternFill>
          <bgColor rgb="FFC6EFCE"/>
        </patternFill>
      </fill>
    </dxf>
    <dxf>
      <font>
        <b val="0"/>
        <i/>
        <color theme="0" tint="-0.24994659260841701"/>
      </font>
    </dxf>
    <dxf>
      <font>
        <color theme="5" tint="0.79998168889431442"/>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7ea08d999100e33f03f970c4c3a5b798&amp;qlt=95" TargetMode="External"/><Relationship Id="rId21" Type="http://schemas.openxmlformats.org/officeDocument/2006/relationships/hyperlink" Target="https://www.bing.com/th?id=OSK.25a374587d56b5b92ef759ecb4ca433e&amp;qlt=95" TargetMode="External"/><Relationship Id="rId42" Type="http://schemas.openxmlformats.org/officeDocument/2006/relationships/hyperlink" Target="https://www.bing.com/images/search?form=xlimg&amp;q=North%20Carolina" TargetMode="External"/><Relationship Id="rId63" Type="http://schemas.openxmlformats.org/officeDocument/2006/relationships/hyperlink" Target="https://www.bing.com/th?id=OSK.gwa-EN4TFCH7Z0dxE6E8LbA5EynvrRp4OgLZO4hNrQY&amp;qlt=95" TargetMode="External"/><Relationship Id="rId84" Type="http://schemas.openxmlformats.org/officeDocument/2006/relationships/hyperlink" Target="https://www.bing.com/images/search?form=xlimg&amp;q=Paris" TargetMode="External"/><Relationship Id="rId138" Type="http://schemas.openxmlformats.org/officeDocument/2006/relationships/hyperlink" Target="https://www.bing.com/images/search?form=xlimg&amp;q=Norway" TargetMode="External"/><Relationship Id="rId159" Type="http://schemas.openxmlformats.org/officeDocument/2006/relationships/hyperlink" Target="https://www.bing.com/th?id=OSK.Lyl-JouTRWRssx4jovmxrAVxTNeaqjtAn6Q5VMiWsvs&amp;qlt=95" TargetMode="External"/><Relationship Id="rId170" Type="http://schemas.openxmlformats.org/officeDocument/2006/relationships/hyperlink" Target="https://www.bing.com/images/search?form=xlimg&amp;q=Indonesia" TargetMode="External"/><Relationship Id="rId107" Type="http://schemas.openxmlformats.org/officeDocument/2006/relationships/hyperlink" Target="https://www.bing.com/th?id=OSK.YyStd3n6FeCyDWZVKn54i8IqezKRsFpq7XThd1PUiDk&amp;qlt=95" TargetMode="External"/><Relationship Id="rId11" Type="http://schemas.openxmlformats.org/officeDocument/2006/relationships/hyperlink" Target="https://www.bing.com/th?id=OSK.00be164b931c0a9427c0a2ebdae3e140&amp;qlt=95" TargetMode="External"/><Relationship Id="rId32" Type="http://schemas.openxmlformats.org/officeDocument/2006/relationships/hyperlink" Target="https://www.bing.com/images/search?form=xlimg&amp;q=Minnesota" TargetMode="External"/><Relationship Id="rId53" Type="http://schemas.openxmlformats.org/officeDocument/2006/relationships/hyperlink" Target="https://www.bing.com/th?id=OSK.64a722b3d40292398291610dc8c47d2c&amp;qlt=95" TargetMode="External"/><Relationship Id="rId74" Type="http://schemas.openxmlformats.org/officeDocument/2006/relationships/hyperlink" Target="https://www.bing.com/images/search?form=xlimg&amp;q=Spain" TargetMode="External"/><Relationship Id="rId128" Type="http://schemas.openxmlformats.org/officeDocument/2006/relationships/hyperlink" Target="https://www.bing.com/images/search?form=xlimg&amp;q=United%20Kingdom" TargetMode="External"/><Relationship Id="rId149" Type="http://schemas.openxmlformats.org/officeDocument/2006/relationships/hyperlink" Target="https://www.bing.com/th?id=OSK.dQRnOlTKTXrhKm9OaxUUVBGNjKK1hL9mKy8jDit9INI&amp;qlt=95" TargetMode="External"/><Relationship Id="rId5" Type="http://schemas.openxmlformats.org/officeDocument/2006/relationships/hyperlink" Target="https://www.bing.com/th?id=OSK.YtMhN6HhvG5MEe3503eBpt0x5dUEQecJSHfTztAgl0U&amp;qlt=95" TargetMode="External"/><Relationship Id="rId95" Type="http://schemas.openxmlformats.org/officeDocument/2006/relationships/hyperlink" Target="https://www.bing.com/th?id=OSK.da9f1ba81b537e79571230c8ed6cac8a&amp;qlt=95" TargetMode="External"/><Relationship Id="rId160" Type="http://schemas.openxmlformats.org/officeDocument/2006/relationships/hyperlink" Target="https://www.bing.com/images/search?form=xlimg&amp;q=Czech%20Republic" TargetMode="External"/><Relationship Id="rId22" Type="http://schemas.openxmlformats.org/officeDocument/2006/relationships/hyperlink" Target="https://www.bing.com/images/search?form=xlimg&amp;q=Illinois" TargetMode="External"/><Relationship Id="rId43" Type="http://schemas.openxmlformats.org/officeDocument/2006/relationships/hyperlink" Target="https://www.bing.com/th?id=OSK.c7564e2587d2574bf5d87241964f6496&amp;qlt=95" TargetMode="External"/><Relationship Id="rId64" Type="http://schemas.openxmlformats.org/officeDocument/2006/relationships/hyperlink" Target="https://www.bing.com/images/search?form=xlimg&amp;q=Chicago" TargetMode="External"/><Relationship Id="rId118" Type="http://schemas.openxmlformats.org/officeDocument/2006/relationships/hyperlink" Target="https://www.bing.com/images/search?form=xlimg&amp;q=Uruguay" TargetMode="External"/><Relationship Id="rId139" Type="http://schemas.openxmlformats.org/officeDocument/2006/relationships/hyperlink" Target="https://www.bing.com/th?id=OSK.cf17e786b97fde4860ff0b98a404701f&amp;qlt=95" TargetMode="External"/><Relationship Id="rId85" Type="http://schemas.openxmlformats.org/officeDocument/2006/relationships/hyperlink" Target="https://www.bing.com/th?id=OSK.79dcfcb50bb489b9abd805e3a32b4d69&amp;qlt=95" TargetMode="External"/><Relationship Id="rId150" Type="http://schemas.openxmlformats.org/officeDocument/2006/relationships/hyperlink" Target="https://www.bing.com/images/search?form=xlimg&amp;q=Belgium" TargetMode="External"/><Relationship Id="rId12" Type="http://schemas.openxmlformats.org/officeDocument/2006/relationships/hyperlink" Target="https://www.bing.com/images/search?form=xlimg&amp;q=California" TargetMode="External"/><Relationship Id="rId33" Type="http://schemas.openxmlformats.org/officeDocument/2006/relationships/hyperlink" Target="https://www.bing.com/th?id=OSK.1cd4f85af3824efb5042b916ad3717a9&amp;qlt=95" TargetMode="External"/><Relationship Id="rId108" Type="http://schemas.openxmlformats.org/officeDocument/2006/relationships/hyperlink" Target="https://www.bing.com/images/search?form=xlimg&amp;q=Italy" TargetMode="External"/><Relationship Id="rId129" Type="http://schemas.openxmlformats.org/officeDocument/2006/relationships/hyperlink" Target="https://www.bing.com/th?id=OSK.3666846595b7a7ef3fd0663d5b9791f3&amp;qlt=95" TargetMode="External"/><Relationship Id="rId54" Type="http://schemas.openxmlformats.org/officeDocument/2006/relationships/hyperlink" Target="https://www.bing.com/images/search?form=xlimg&amp;q=Texas" TargetMode="External"/><Relationship Id="rId70" Type="http://schemas.openxmlformats.org/officeDocument/2006/relationships/hyperlink" Target="https://www.bing.com/images/search?form=xlimg&amp;q=Houston" TargetMode="External"/><Relationship Id="rId75" Type="http://schemas.openxmlformats.org/officeDocument/2006/relationships/hyperlink" Target="https://www.bing.com/th?id=OSK.12f7533dca5f011065a431e87678062b&amp;qlt=95" TargetMode="External"/><Relationship Id="rId91" Type="http://schemas.openxmlformats.org/officeDocument/2006/relationships/hyperlink" Target="https://www.bing.com/th?id=OSK.bed9fc3690f3414a4850855fee332f1c&amp;qlt=95" TargetMode="External"/><Relationship Id="rId96" Type="http://schemas.openxmlformats.org/officeDocument/2006/relationships/hyperlink" Target="https://www.bing.com/images/search?form=xlimg&amp;q=Barcelona" TargetMode="External"/><Relationship Id="rId140" Type="http://schemas.openxmlformats.org/officeDocument/2006/relationships/hyperlink" Target="https://www.bing.com/images/search?form=xlimg&amp;q=Mexico" TargetMode="External"/><Relationship Id="rId145" Type="http://schemas.openxmlformats.org/officeDocument/2006/relationships/hyperlink" Target="https://www.bing.com/th?id=OSK.-vv9GBngWnUSPvi3oyl0yHQjBgdeoIaih8KMBshpXcM&amp;qlt=95" TargetMode="External"/><Relationship Id="rId161" Type="http://schemas.openxmlformats.org/officeDocument/2006/relationships/hyperlink" Target="https://www.bing.com/th?id=OSK.20b781e13bc391ce9e66ee42c5e9c504&amp;qlt=95" TargetMode="External"/><Relationship Id="rId166" Type="http://schemas.openxmlformats.org/officeDocument/2006/relationships/hyperlink" Target="https://www.bing.com/images/search?form=xlimg&amp;q=Turkey" TargetMode="External"/><Relationship Id="rId1" Type="http://schemas.openxmlformats.org/officeDocument/2006/relationships/hyperlink" Target="https://www.bing.com/th?id=OSK.08d481ce2e6378c8b3492a5438438208&amp;qlt=95" TargetMode="External"/><Relationship Id="rId6" Type="http://schemas.openxmlformats.org/officeDocument/2006/relationships/hyperlink" Target="https://www.bing.com/images/search?form=xlimg&amp;q=New%20York%20City" TargetMode="External"/><Relationship Id="rId23" Type="http://schemas.openxmlformats.org/officeDocument/2006/relationships/hyperlink" Target="https://www.bing.com/th?id=OSK.153231065b610cb99cb3435b59eccac2&amp;qlt=95" TargetMode="External"/><Relationship Id="rId28" Type="http://schemas.openxmlformats.org/officeDocument/2006/relationships/hyperlink" Target="https://www.bing.com/images/search?form=xlimg&amp;q=Massachusetts" TargetMode="External"/><Relationship Id="rId49" Type="http://schemas.openxmlformats.org/officeDocument/2006/relationships/hyperlink" Target="https://www.bing.com/th?id=OSK.f57f7916e76fc47c2a83efc3859d6379&amp;qlt=95" TargetMode="External"/><Relationship Id="rId114" Type="http://schemas.openxmlformats.org/officeDocument/2006/relationships/hyperlink" Target="https://www.bing.com/images/search?form=xlimg&amp;q=Switzerland" TargetMode="External"/><Relationship Id="rId119" Type="http://schemas.openxmlformats.org/officeDocument/2006/relationships/hyperlink" Target="https://www.bing.com/th?id=OSK.57eddb9e5c586f93ebb1965e3a27908b&amp;qlt=95" TargetMode="External"/><Relationship Id="rId44" Type="http://schemas.openxmlformats.org/officeDocument/2006/relationships/hyperlink" Target="https://www.bing.com/images/search?form=xlimg&amp;q=Ohio" TargetMode="External"/><Relationship Id="rId60" Type="http://schemas.openxmlformats.org/officeDocument/2006/relationships/hyperlink" Target="https://www.bing.com/images/search?form=xlimg&amp;q=Virginia" TargetMode="External"/><Relationship Id="rId65" Type="http://schemas.openxmlformats.org/officeDocument/2006/relationships/hyperlink" Target="https://www.bing.com/th?id=OSK.75566aa5e1e18385639b494fd140ff6e&amp;qlt=95" TargetMode="External"/><Relationship Id="rId81" Type="http://schemas.openxmlformats.org/officeDocument/2006/relationships/hyperlink" Target="https://www.bing.com/th?id=OSK.IJoB2IAflCzjheZJfaz5mfzEWw5jRcoWEgDQz1yU2Yk&amp;qlt=95" TargetMode="External"/><Relationship Id="rId86" Type="http://schemas.openxmlformats.org/officeDocument/2006/relationships/hyperlink" Target="https://www.bing.com/images/search?form=xlimg&amp;q=Chile" TargetMode="External"/><Relationship Id="rId130" Type="http://schemas.openxmlformats.org/officeDocument/2006/relationships/hyperlink" Target="https://www.bing.com/images/search?form=xlimg&amp;q=London" TargetMode="External"/><Relationship Id="rId135" Type="http://schemas.openxmlformats.org/officeDocument/2006/relationships/hyperlink" Target="https://www.bing.com/th?id=OSK.ea703288926093d94f3ee0ae48dc323c&amp;qlt=95" TargetMode="External"/><Relationship Id="rId151" Type="http://schemas.openxmlformats.org/officeDocument/2006/relationships/hyperlink" Target="https://www.bing.com/th?id=OSK.8298887f55c96dfd2e0e36ede7906de8&amp;qlt=95" TargetMode="External"/><Relationship Id="rId156" Type="http://schemas.openxmlformats.org/officeDocument/2006/relationships/hyperlink" Target="https://www.bing.com/images/search?form=xlimg&amp;q=South%20Korea" TargetMode="External"/><Relationship Id="rId13" Type="http://schemas.openxmlformats.org/officeDocument/2006/relationships/hyperlink" Target="https://www.bing.com/th?id=OSK.e3cff3492e954506af4fb2c8552f6135&amp;qlt=95" TargetMode="External"/><Relationship Id="rId18" Type="http://schemas.openxmlformats.org/officeDocument/2006/relationships/hyperlink" Target="https://www.bing.com/images/search?form=xlimg&amp;q=Florida" TargetMode="External"/><Relationship Id="rId39" Type="http://schemas.openxmlformats.org/officeDocument/2006/relationships/hyperlink" Target="https://www.bing.com/th?id=OSK.cba7f275842a20f49b98d704e1366fd5&amp;qlt=95" TargetMode="External"/><Relationship Id="rId109" Type="http://schemas.openxmlformats.org/officeDocument/2006/relationships/hyperlink" Target="https://www.bing.com/th?id=OSK.66c2ebf9a8cace2226269d70b1d3b0fc&amp;qlt=95" TargetMode="External"/><Relationship Id="rId34" Type="http://schemas.openxmlformats.org/officeDocument/2006/relationships/hyperlink" Target="https://www.bing.com/images/search?form=xlimg&amp;q=Missouri" TargetMode="External"/><Relationship Id="rId50" Type="http://schemas.openxmlformats.org/officeDocument/2006/relationships/hyperlink" Target="https://www.bing.com/images/search?form=xlimg&amp;q=South%20Carolina" TargetMode="External"/><Relationship Id="rId55" Type="http://schemas.openxmlformats.org/officeDocument/2006/relationships/hyperlink" Target="https://www.bing.com/th?id=OSK.1973703d864373b47ab825b2a978ab2d&amp;qlt=95" TargetMode="External"/><Relationship Id="rId76" Type="http://schemas.openxmlformats.org/officeDocument/2006/relationships/hyperlink" Target="https://www.bing.com/images/search?form=xlimg&amp;q=Madrid" TargetMode="External"/><Relationship Id="rId97" Type="http://schemas.openxmlformats.org/officeDocument/2006/relationships/hyperlink" Target="https://www.bing.com/th?id=OSK.7_iYqjXftHmThTCYlh51zbqPoNnoe4Qk7UaH59Ba1Z0&amp;qlt=95" TargetMode="External"/><Relationship Id="rId104" Type="http://schemas.openxmlformats.org/officeDocument/2006/relationships/hyperlink" Target="https://www.bing.com/images/search?form=xlimg&amp;q=Ontario" TargetMode="External"/><Relationship Id="rId120" Type="http://schemas.openxmlformats.org/officeDocument/2006/relationships/hyperlink" Target="https://www.bing.com/images/search?form=xlimg&amp;q=Singapore" TargetMode="External"/><Relationship Id="rId125" Type="http://schemas.openxmlformats.org/officeDocument/2006/relationships/hyperlink" Target="https://www.bing.com/th?id=OSK.9131f9cc50427b26d6b4964a5feb9d7e&amp;qlt=95" TargetMode="External"/><Relationship Id="rId141" Type="http://schemas.openxmlformats.org/officeDocument/2006/relationships/hyperlink" Target="https://www.bing.com/th?id=OSK.K6cXOoQ3uq-EC3cRugPlGaZZFMyWOrULs9oxwlrZw8A&amp;qlt=95" TargetMode="External"/><Relationship Id="rId146" Type="http://schemas.openxmlformats.org/officeDocument/2006/relationships/hyperlink" Target="https://www.bing.com/images/search?form=xlimg&amp;q=Russia" TargetMode="External"/><Relationship Id="rId167" Type="http://schemas.openxmlformats.org/officeDocument/2006/relationships/hyperlink" Target="https://www.bing.com/th?id=OSK.gYPtm5v9C4-FDIvBrAif23Q85Oul0ZWNE0uP7Z6D2gc&amp;qlt=95" TargetMode="External"/><Relationship Id="rId7" Type="http://schemas.openxmlformats.org/officeDocument/2006/relationships/hyperlink" Target="https://www.bing.com/th?id=OSK.0641697055dc04237b54e70519cef566&amp;qlt=95" TargetMode="External"/><Relationship Id="rId71" Type="http://schemas.openxmlformats.org/officeDocument/2006/relationships/hyperlink" Target="https://www.bing.com/th?id=OSK.aa77111f4bd33218be847893f0d58cbf&amp;qlt=95" TargetMode="External"/><Relationship Id="rId92" Type="http://schemas.openxmlformats.org/officeDocument/2006/relationships/hyperlink" Target="https://www.bing.com/images/search?form=xlimg&amp;q=Australia" TargetMode="External"/><Relationship Id="rId162" Type="http://schemas.openxmlformats.org/officeDocument/2006/relationships/hyperlink" Target="https://www.bing.com/images/search?form=xlimg&amp;q=Prague" TargetMode="External"/><Relationship Id="rId2" Type="http://schemas.openxmlformats.org/officeDocument/2006/relationships/hyperlink" Target="https://www.bing.com/images/search?form=xlimg&amp;q=United%20States" TargetMode="External"/><Relationship Id="rId29" Type="http://schemas.openxmlformats.org/officeDocument/2006/relationships/hyperlink" Target="https://www.bing.com/th?id=OSK.5e5edbee64005edbf411df0671fae1da&amp;qlt=95" TargetMode="External"/><Relationship Id="rId24" Type="http://schemas.openxmlformats.org/officeDocument/2006/relationships/hyperlink" Target="https://www.bing.com/images/search?form=xlimg&amp;q=Iowa" TargetMode="External"/><Relationship Id="rId40" Type="http://schemas.openxmlformats.org/officeDocument/2006/relationships/hyperlink" Target="https://www.bing.com/images/search?form=xlimg&amp;q=New%20York%20(state)" TargetMode="External"/><Relationship Id="rId45" Type="http://schemas.openxmlformats.org/officeDocument/2006/relationships/hyperlink" Target="https://www.bing.com/th?id=OSK.dc4854218778b6f007a0fb39483a9a3f&amp;qlt=95" TargetMode="External"/><Relationship Id="rId66" Type="http://schemas.openxmlformats.org/officeDocument/2006/relationships/hyperlink" Target="https://www.bing.com/images/search?form=xlimg&amp;q=Boston" TargetMode="External"/><Relationship Id="rId87" Type="http://schemas.openxmlformats.org/officeDocument/2006/relationships/hyperlink" Target="https://www.bing.com/th?id=OSK.tOSHYHGs-Buolznc808yhdUKx4cBIuUyjpjDEgx-X1Y&amp;qlt=95" TargetMode="External"/><Relationship Id="rId110" Type="http://schemas.openxmlformats.org/officeDocument/2006/relationships/hyperlink" Target="https://www.bing.com/images/search?form=xlimg&amp;q=Sweden" TargetMode="External"/><Relationship Id="rId115" Type="http://schemas.openxmlformats.org/officeDocument/2006/relationships/hyperlink" Target="https://www.bing.com/th?id=OSK.380316b6ec7e3f5c2fadae3206181af4&amp;qlt=95" TargetMode="External"/><Relationship Id="rId131" Type="http://schemas.openxmlformats.org/officeDocument/2006/relationships/hyperlink" Target="https://www.bing.com/th?id=OSK.82d7640f570dd6409aeb195dcbc39faf&amp;qlt=95" TargetMode="External"/><Relationship Id="rId136" Type="http://schemas.openxmlformats.org/officeDocument/2006/relationships/hyperlink" Target="https://www.bing.com/images/search?form=xlimg&amp;q=Finland" TargetMode="External"/><Relationship Id="rId157" Type="http://schemas.openxmlformats.org/officeDocument/2006/relationships/hyperlink" Target="https://www.bing.com/th?id=OSK.1edc269d232791835391410ad86aef09&amp;qlt=95" TargetMode="External"/><Relationship Id="rId61" Type="http://schemas.openxmlformats.org/officeDocument/2006/relationships/hyperlink" Target="https://www.bing.com/th?id=OSK.0678bd4067f4a421f3884b05dad25be4&amp;qlt=95" TargetMode="External"/><Relationship Id="rId82" Type="http://schemas.openxmlformats.org/officeDocument/2006/relationships/hyperlink" Target="https://www.bing.com/images/search?form=xlimg&amp;q=France" TargetMode="External"/><Relationship Id="rId152" Type="http://schemas.openxmlformats.org/officeDocument/2006/relationships/hyperlink" Target="https://www.bing.com/images/search?form=xlimg&amp;q=Brussels" TargetMode="External"/><Relationship Id="rId19" Type="http://schemas.openxmlformats.org/officeDocument/2006/relationships/hyperlink" Target="https://www.bing.com/th?id=OSK.iPzXUKHWAaw04XjL2EOEYVLq1LOFWzsqpmjL3hkyFFc&amp;qlt=95" TargetMode="External"/><Relationship Id="rId14" Type="http://schemas.openxmlformats.org/officeDocument/2006/relationships/hyperlink" Target="https://www.bing.com/images/search?form=xlimg&amp;q=Colorado" TargetMode="External"/><Relationship Id="rId30" Type="http://schemas.openxmlformats.org/officeDocument/2006/relationships/hyperlink" Target="https://www.bing.com/images/search?form=xlimg&amp;q=Michigan" TargetMode="External"/><Relationship Id="rId35" Type="http://schemas.openxmlformats.org/officeDocument/2006/relationships/hyperlink" Target="https://www.bing.com/th?id=OSK.09fb0d37cacee3c3feb04b7452bd8436&amp;qlt=95" TargetMode="External"/><Relationship Id="rId56" Type="http://schemas.openxmlformats.org/officeDocument/2006/relationships/hyperlink" Target="https://www.bing.com/images/search?form=xlimg&amp;q=Utah" TargetMode="External"/><Relationship Id="rId77" Type="http://schemas.openxmlformats.org/officeDocument/2006/relationships/hyperlink" Target="https://www.bing.com/th?id=OSK.mTs9AdlNDLziaMN3BIhJpWCGZaOOUwqIR2jN3FJEeTw&amp;qlt=95" TargetMode="External"/><Relationship Id="rId100" Type="http://schemas.openxmlformats.org/officeDocument/2006/relationships/hyperlink" Target="https://www.bing.com/images/search?form=xlimg&amp;q=Berlin" TargetMode="External"/><Relationship Id="rId105" Type="http://schemas.openxmlformats.org/officeDocument/2006/relationships/hyperlink" Target="https://www.bing.com/th?id=OSK.ymB-aUlVtIPobu-J0CqOfis9WIfVxNvQ7P37PoJG0Dw&amp;qlt=95" TargetMode="External"/><Relationship Id="rId126" Type="http://schemas.openxmlformats.org/officeDocument/2006/relationships/hyperlink" Target="https://www.bing.com/images/search?form=xlimg&amp;q=Denmark" TargetMode="External"/><Relationship Id="rId147" Type="http://schemas.openxmlformats.org/officeDocument/2006/relationships/hyperlink" Target="https://www.bing.com/th?id=OSK.5ca82a675c844491e9b0ecb82e975a85&amp;qlt=95" TargetMode="External"/><Relationship Id="rId168" Type="http://schemas.openxmlformats.org/officeDocument/2006/relationships/hyperlink" Target="https://www.bing.com/images/search?form=xlimg&amp;q=Ukraine" TargetMode="External"/><Relationship Id="rId8" Type="http://schemas.openxmlformats.org/officeDocument/2006/relationships/hyperlink" Target="https://www.bing.com/images/search?form=xlimg&amp;q=Arizona" TargetMode="External"/><Relationship Id="rId51" Type="http://schemas.openxmlformats.org/officeDocument/2006/relationships/hyperlink" Target="https://www.bing.com/th?id=OSK.26f38040dc3621419471c380612daf02&amp;qlt=95" TargetMode="External"/><Relationship Id="rId72" Type="http://schemas.openxmlformats.org/officeDocument/2006/relationships/hyperlink" Target="https://www.bing.com/images/search?form=xlimg&amp;q=Richmond,%20Virginia" TargetMode="External"/><Relationship Id="rId93" Type="http://schemas.openxmlformats.org/officeDocument/2006/relationships/hyperlink" Target="https://www.bing.com/th?id=OSK.acf52e657f7121979fdc9bcae43ce646&amp;qlt=95" TargetMode="External"/><Relationship Id="rId98" Type="http://schemas.openxmlformats.org/officeDocument/2006/relationships/hyperlink" Target="https://www.bing.com/images/search?form=xlimg&amp;q=Germany" TargetMode="External"/><Relationship Id="rId121" Type="http://schemas.openxmlformats.org/officeDocument/2006/relationships/hyperlink" Target="https://www.bing.com/th?id=OSK.EaGKENylPymKR2vxwyKFWGRGtGNcLXtM8meCLdtsfYI&amp;qlt=95" TargetMode="External"/><Relationship Id="rId142" Type="http://schemas.openxmlformats.org/officeDocument/2006/relationships/hyperlink" Target="https://www.bing.com/images/search?form=xlimg&amp;q=Austria" TargetMode="External"/><Relationship Id="rId163" Type="http://schemas.openxmlformats.org/officeDocument/2006/relationships/hyperlink" Target="https://www.bing.com/th?id=OSK.d9b621cc7d88019e0d716dda1c17a307&amp;qlt=95" TargetMode="External"/><Relationship Id="rId3" Type="http://schemas.openxmlformats.org/officeDocument/2006/relationships/hyperlink" Target="https://www.bing.com/th?id=OSK.mO4XHwrP6yfKa7Avo1I5bKuv0yIDhsmaBtDzMrZXF_E&amp;qlt=95" TargetMode="External"/><Relationship Id="rId25" Type="http://schemas.openxmlformats.org/officeDocument/2006/relationships/hyperlink" Target="https://www.bing.com/th?id=OSK.fa968de5bc9179e15dd5970b87b94444&amp;qlt=95" TargetMode="External"/><Relationship Id="rId46" Type="http://schemas.openxmlformats.org/officeDocument/2006/relationships/hyperlink" Target="https://www.bing.com/images/search?form=xlimg&amp;q=Oklahoma" TargetMode="External"/><Relationship Id="rId67" Type="http://schemas.openxmlformats.org/officeDocument/2006/relationships/hyperlink" Target="https://www.bing.com/th?id=OSK.71865562d5e20abbd6adcbad9e32525d&amp;qlt=95" TargetMode="External"/><Relationship Id="rId116" Type="http://schemas.openxmlformats.org/officeDocument/2006/relationships/hyperlink" Target="https://www.bing.com/images/search?form=xlimg&amp;q=Brazil" TargetMode="External"/><Relationship Id="rId137" Type="http://schemas.openxmlformats.org/officeDocument/2006/relationships/hyperlink" Target="https://www.bing.com/th?id=OSK.25df30c19d33bb8b6b2e0396595bbfd6&amp;qlt=95" TargetMode="External"/><Relationship Id="rId158" Type="http://schemas.openxmlformats.org/officeDocument/2006/relationships/hyperlink" Target="https://www.bing.com/images/search?form=xlimg&amp;q=Argentina" TargetMode="External"/><Relationship Id="rId20" Type="http://schemas.openxmlformats.org/officeDocument/2006/relationships/hyperlink" Target="https://www.bing.com/images/search?form=xlimg&amp;q=Georgia%20(U.S.%20state)" TargetMode="External"/><Relationship Id="rId41" Type="http://schemas.openxmlformats.org/officeDocument/2006/relationships/hyperlink" Target="https://www.bing.com/th?id=OSK.03c72211b35cb109bcdc7d51ef4f03c5&amp;qlt=95" TargetMode="External"/><Relationship Id="rId62" Type="http://schemas.openxmlformats.org/officeDocument/2006/relationships/hyperlink" Target="https://www.bing.com/images/search?form=xlimg&amp;q=Wisconsin" TargetMode="External"/><Relationship Id="rId83" Type="http://schemas.openxmlformats.org/officeDocument/2006/relationships/hyperlink" Target="https://www.bing.com/th?id=OSK.6f397b35762e2852058e1cfc4607f893&amp;qlt=95" TargetMode="External"/><Relationship Id="rId88" Type="http://schemas.openxmlformats.org/officeDocument/2006/relationships/hyperlink" Target="https://www.bing.com/images/search?form=xlimg&amp;q=Santiago" TargetMode="External"/><Relationship Id="rId111" Type="http://schemas.openxmlformats.org/officeDocument/2006/relationships/hyperlink" Target="https://www.bing.com/th?id=OSK.e3Qk7VDK3s_UJdkFUPfcNiPKTMmjgFfoGSCJzeg6YI8&amp;qlt=95" TargetMode="External"/><Relationship Id="rId132" Type="http://schemas.openxmlformats.org/officeDocument/2006/relationships/hyperlink" Target="https://www.bing.com/images/search?form=xlimg&amp;q=England" TargetMode="External"/><Relationship Id="rId153" Type="http://schemas.openxmlformats.org/officeDocument/2006/relationships/hyperlink" Target="https://www.bing.com/th?id=OSK.p7DiS3CCEjXs27sVPoTvop2_pYLlj7uihgkvC1WT4IE&amp;qlt=95" TargetMode="External"/><Relationship Id="rId15" Type="http://schemas.openxmlformats.org/officeDocument/2006/relationships/hyperlink" Target="https://www.bing.com/th?id=OSK.30ceb575fb4214ce576b42df18666e43&amp;qlt=95" TargetMode="External"/><Relationship Id="rId36" Type="http://schemas.openxmlformats.org/officeDocument/2006/relationships/hyperlink" Target="https://www.bing.com/images/search?form=xlimg&amp;q=Nebraska" TargetMode="External"/><Relationship Id="rId57" Type="http://schemas.openxmlformats.org/officeDocument/2006/relationships/hyperlink" Target="https://www.bing.com/th?id=OSK.1cfcbb65e7439d46cfb4b0db17de4825&amp;qlt=95" TargetMode="External"/><Relationship Id="rId106" Type="http://schemas.openxmlformats.org/officeDocument/2006/relationships/hyperlink" Target="https://www.bing.com/images/search?form=xlimg&amp;q=Colombia" TargetMode="External"/><Relationship Id="rId127" Type="http://schemas.openxmlformats.org/officeDocument/2006/relationships/hyperlink" Target="https://www.bing.com/th?id=OSK.1a33b5115bfc290abc8869de29ebd567&amp;qlt=95" TargetMode="External"/><Relationship Id="rId10" Type="http://schemas.openxmlformats.org/officeDocument/2006/relationships/hyperlink" Target="https://www.bing.com/images/search?form=xlimg&amp;q=Arkansas" TargetMode="External"/><Relationship Id="rId31" Type="http://schemas.openxmlformats.org/officeDocument/2006/relationships/hyperlink" Target="https://www.bing.com/th?id=OSK.40b19650ace0234fdb053333f72c8df0&amp;qlt=95" TargetMode="External"/><Relationship Id="rId52" Type="http://schemas.openxmlformats.org/officeDocument/2006/relationships/hyperlink" Target="https://www.bing.com/images/search?form=xlimg&amp;q=Tennessee" TargetMode="External"/><Relationship Id="rId73" Type="http://schemas.openxmlformats.org/officeDocument/2006/relationships/hyperlink" Target="https://www.bing.com/th?id=OSK.fbb71d5e592f7fda00cf81328e03b81f&amp;qlt=95" TargetMode="External"/><Relationship Id="rId78" Type="http://schemas.openxmlformats.org/officeDocument/2006/relationships/hyperlink" Target="https://www.bing.com/images/search?form=xlimg&amp;q=Japan" TargetMode="External"/><Relationship Id="rId94" Type="http://schemas.openxmlformats.org/officeDocument/2006/relationships/hyperlink" Target="https://www.bing.com/images/search?form=xlimg&amp;q=Sydney" TargetMode="External"/><Relationship Id="rId99" Type="http://schemas.openxmlformats.org/officeDocument/2006/relationships/hyperlink" Target="https://www.bing.com/th?id=OSK.a1512a61cf778ac466208259f8dc24f5&amp;qlt=95" TargetMode="External"/><Relationship Id="rId101" Type="http://schemas.openxmlformats.org/officeDocument/2006/relationships/hyperlink" Target="https://www.bing.com/th?id=OSK.f2dbd079068622692d8b57832120921d&amp;qlt=95" TargetMode="External"/><Relationship Id="rId122" Type="http://schemas.openxmlformats.org/officeDocument/2006/relationships/hyperlink" Target="https://www.bing.com/images/search?form=xlimg&amp;q=Republic%20of%20Ireland" TargetMode="External"/><Relationship Id="rId143" Type="http://schemas.openxmlformats.org/officeDocument/2006/relationships/hyperlink" Target="https://www.bing.com/th?id=OSK.3ghXMrl_JnSa1AFsYrUTwZaqRfXbYjgQtpjHYraDko4&amp;qlt=95" TargetMode="External"/><Relationship Id="rId148" Type="http://schemas.openxmlformats.org/officeDocument/2006/relationships/hyperlink" Target="https://www.bing.com/images/search?form=xlimg&amp;q=South%20Africa" TargetMode="External"/><Relationship Id="rId164" Type="http://schemas.openxmlformats.org/officeDocument/2006/relationships/hyperlink" Target="https://www.bing.com/images/search?form=xlimg&amp;q=Slovakia" TargetMode="External"/><Relationship Id="rId169" Type="http://schemas.openxmlformats.org/officeDocument/2006/relationships/hyperlink" Target="https://www.bing.com/th?id=OSK.Zl2rYbEOa6RnR5PxgY7VLDcsFkfskAZrZiNUjyMAlyM&amp;qlt=95" TargetMode="External"/><Relationship Id="rId4" Type="http://schemas.openxmlformats.org/officeDocument/2006/relationships/hyperlink" Target="https://www.bing.com/images/search?form=xlimg&amp;q=Washington,%20D.C." TargetMode="External"/><Relationship Id="rId9" Type="http://schemas.openxmlformats.org/officeDocument/2006/relationships/hyperlink" Target="https://www.bing.com/th?id=OSK.753ebef48024a78057065fde53116aa7&amp;qlt=95" TargetMode="External"/><Relationship Id="rId26" Type="http://schemas.openxmlformats.org/officeDocument/2006/relationships/hyperlink" Target="https://www.bing.com/images/search?form=xlimg&amp;q=Louisiana" TargetMode="External"/><Relationship Id="rId47" Type="http://schemas.openxmlformats.org/officeDocument/2006/relationships/hyperlink" Target="https://www.bing.com/th?id=OSK.7bfbead25a8cd788f9ef5c17097be1bc&amp;qlt=95" TargetMode="External"/><Relationship Id="rId68" Type="http://schemas.openxmlformats.org/officeDocument/2006/relationships/hyperlink" Target="https://www.bing.com/images/search?form=xlimg&amp;q=Albany,%20New%20York" TargetMode="External"/><Relationship Id="rId89" Type="http://schemas.openxmlformats.org/officeDocument/2006/relationships/hyperlink" Target="https://www.bing.com/th?id=OSK.8p2k5lHoxkLkVFhhRavwz0TU1HJcwyyrphMGrCfxYiE&amp;qlt=95" TargetMode="External"/><Relationship Id="rId112" Type="http://schemas.openxmlformats.org/officeDocument/2006/relationships/hyperlink" Target="https://www.bing.com/images/search?form=xlimg&amp;q=Stockholm" TargetMode="External"/><Relationship Id="rId133" Type="http://schemas.openxmlformats.org/officeDocument/2006/relationships/hyperlink" Target="https://www.bing.com/th?id=OSK.2d7b7af86f9a55648a4aec7fbe3969e6&amp;qlt=95" TargetMode="External"/><Relationship Id="rId154" Type="http://schemas.openxmlformats.org/officeDocument/2006/relationships/hyperlink" Target="https://www.bing.com/images/search?form=xlimg&amp;q=Miami" TargetMode="External"/><Relationship Id="rId16" Type="http://schemas.openxmlformats.org/officeDocument/2006/relationships/hyperlink" Target="https://www.bing.com/images/search?form=xlimg&amp;q=Connecticut" TargetMode="External"/><Relationship Id="rId37" Type="http://schemas.openxmlformats.org/officeDocument/2006/relationships/hyperlink" Target="https://www.bing.com/th?id=OSK.0fdd9d38459c62ca5b483a2e70bce404&amp;qlt=95" TargetMode="External"/><Relationship Id="rId58" Type="http://schemas.openxmlformats.org/officeDocument/2006/relationships/hyperlink" Target="https://www.bing.com/images/search?form=xlimg&amp;q=Vermont" TargetMode="External"/><Relationship Id="rId79" Type="http://schemas.openxmlformats.org/officeDocument/2006/relationships/hyperlink" Target="https://www.bing.com/th?id=OSK.a5e66df12e2c87d6b1c2825f3d9fd432&amp;qlt=95" TargetMode="External"/><Relationship Id="rId102" Type="http://schemas.openxmlformats.org/officeDocument/2006/relationships/hyperlink" Target="https://www.bing.com/images/search?form=xlimg&amp;q=Canada" TargetMode="External"/><Relationship Id="rId123" Type="http://schemas.openxmlformats.org/officeDocument/2006/relationships/hyperlink" Target="https://www.bing.com/th?id=OSK.afae5b2549e0090890cb6dce4ba08c46&amp;qlt=95" TargetMode="External"/><Relationship Id="rId144" Type="http://schemas.openxmlformats.org/officeDocument/2006/relationships/hyperlink" Target="https://www.bing.com/images/search?form=xlimg&amp;q=Vienna" TargetMode="External"/><Relationship Id="rId90" Type="http://schemas.openxmlformats.org/officeDocument/2006/relationships/hyperlink" Target="https://www.bing.com/images/search?form=xlimg&amp;q=Netherlands" TargetMode="External"/><Relationship Id="rId165" Type="http://schemas.openxmlformats.org/officeDocument/2006/relationships/hyperlink" Target="https://www.bing.com/th?id=OSK.fda9e53ebc3cfcb82bd9b5ab4f11c264&amp;qlt=95" TargetMode="External"/><Relationship Id="rId27" Type="http://schemas.openxmlformats.org/officeDocument/2006/relationships/hyperlink" Target="https://www.bing.com/th?id=OSK.987b2cac28f5ea262ad37b9b21c25b33&amp;qlt=95" TargetMode="External"/><Relationship Id="rId48" Type="http://schemas.openxmlformats.org/officeDocument/2006/relationships/hyperlink" Target="https://www.bing.com/images/search?form=xlimg&amp;q=Pennsylvania" TargetMode="External"/><Relationship Id="rId69" Type="http://schemas.openxmlformats.org/officeDocument/2006/relationships/hyperlink" Target="https://www.bing.com/th?id=OSK.fa4514eac6dc7cbde45b9401def6292c&amp;qlt=95" TargetMode="External"/><Relationship Id="rId113" Type="http://schemas.openxmlformats.org/officeDocument/2006/relationships/hyperlink" Target="https://www.bing.com/th?id=OSK.f7fdc0797674edd230ee73aba17b77d2&amp;qlt=95" TargetMode="External"/><Relationship Id="rId134" Type="http://schemas.openxmlformats.org/officeDocument/2006/relationships/hyperlink" Target="https://www.bing.com/images/search?form=xlimg&amp;q=Portugal" TargetMode="External"/><Relationship Id="rId80" Type="http://schemas.openxmlformats.org/officeDocument/2006/relationships/hyperlink" Target="https://www.bing.com/images/search?form=xlimg&amp;q=Tokyo" TargetMode="External"/><Relationship Id="rId155" Type="http://schemas.openxmlformats.org/officeDocument/2006/relationships/hyperlink" Target="https://www.bing.com/th?id=OSK.3ad9dc82b4ada40031ce05d559610900&amp;qlt=95" TargetMode="External"/><Relationship Id="rId17" Type="http://schemas.openxmlformats.org/officeDocument/2006/relationships/hyperlink" Target="https://www.bing.com/th?id=OSK.5c9644308dc1fc218d48a103b8cf93f9&amp;qlt=95" TargetMode="External"/><Relationship Id="rId38" Type="http://schemas.openxmlformats.org/officeDocument/2006/relationships/hyperlink" Target="https://www.bing.com/images/search?form=xlimg&amp;q=New%20Mexico" TargetMode="External"/><Relationship Id="rId59" Type="http://schemas.openxmlformats.org/officeDocument/2006/relationships/hyperlink" Target="https://www.bing.com/th?id=OSK.14d323e3784d30722d6785a6cef8f9c3&amp;qlt=95" TargetMode="External"/><Relationship Id="rId103" Type="http://schemas.openxmlformats.org/officeDocument/2006/relationships/hyperlink" Target="https://www.bing.com/th?id=OSK.105070553dccf583f36eb435ac6a9eed&amp;qlt=95" TargetMode="External"/><Relationship Id="rId124" Type="http://schemas.openxmlformats.org/officeDocument/2006/relationships/hyperlink" Target="https://www.bing.com/images/search?form=xlimg&amp;q=Dubl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Srd>
</file>

<file path=xl/richData/rdarray.xml><?xml version="1.0" encoding="utf-8"?>
<arrayData xmlns="http://schemas.microsoft.com/office/spreadsheetml/2017/richdata2" count="187">
  <a r="4">
    <v t="r">21</v>
    <v t="r">22</v>
    <v t="r">23</v>
    <v t="r">24</v>
  </a>
  <a r="1">
    <v t="s">English language</v>
  </a>
  <a r="55">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a>
  <a r="6">
    <v t="s">Samoa Time Zone</v>
    <v t="s">Atlantic Time Zone</v>
    <v t="s">Central Time Zone</v>
    <v t="s">Alaska Time Zone</v>
    <v t="s">Mountain Time Zone</v>
    <v t="s">Chamorro Time Zone</v>
  </a>
  <a r="1">
    <v t="r">111</v>
  </a>
  <a r="1">
    <v t="s">Eastern Time Zone</v>
  </a>
  <a r="1">
    <v t="r">140</v>
  </a>
  <a r="4">
    <v t="r">152</v>
    <v t="r">153</v>
    <v t="r">154</v>
    <v t="r">155</v>
  </a>
  <a r="1">
    <v t="s">English</v>
  </a>
  <a r="1">
    <v t="s">Mountain Time Zone</v>
  </a>
  <a r="4">
    <v t="r">187</v>
    <v t="r">188</v>
    <v t="r">189</v>
    <v t="r">190</v>
  </a>
  <a r="1">
    <v t="s">Central Time Zone</v>
  </a>
  <a r="4">
    <v t="r">221</v>
    <v t="r">222</v>
    <v t="r">223</v>
    <v t="r">224</v>
  </a>
  <a r="1">
    <v t="s">Pacific Time Zone</v>
  </a>
  <a r="4">
    <v t="r">255</v>
    <v t="r">256</v>
    <v t="r">257</v>
    <v t="r">258</v>
  </a>
  <a r="1">
    <v t="s">UTC−07:00</v>
  </a>
  <a r="4">
    <v t="r">289</v>
    <v t="r">290</v>
    <v t="r">291</v>
    <v t="r">292</v>
  </a>
  <a r="3">
    <v t="r">322</v>
    <v t="r">323</v>
    <v t="r">324</v>
  </a>
  <a r="2">
    <v t="s">Eastern Time Zone</v>
    <v t="s">Central Time Zone</v>
  </a>
  <a r="4">
    <v t="r">351</v>
    <v t="r">352</v>
    <v t="r">353</v>
    <v t="r">354</v>
  </a>
  <a r="4">
    <v t="r">379</v>
    <v t="r">380</v>
    <v t="r">381</v>
    <v t="r">382</v>
  </a>
  <a r="4">
    <v t="r">407</v>
    <v t="r">408</v>
    <v t="r">409</v>
    <v t="r">410</v>
  </a>
  <a r="4">
    <v t="r">435</v>
    <v t="r">436</v>
    <v t="r">437</v>
    <v t="r">438</v>
  </a>
  <a r="1">
    <v t="s">Louisiana French</v>
  </a>
  <a r="4">
    <v t="r">465</v>
    <v t="r">466</v>
    <v t="r">467</v>
    <v t="r">468</v>
  </a>
  <a r="4">
    <v t="r">492</v>
    <v t="r">493</v>
    <v t="r">494</v>
    <v t="r">495</v>
  </a>
  <a r="4">
    <v t="r">521</v>
    <v t="r">522</v>
    <v t="r">523</v>
    <v t="r">524</v>
  </a>
  <a r="4">
    <v t="r">548</v>
    <v t="r">549</v>
    <v t="r">550</v>
    <v t="r">551</v>
  </a>
  <a r="4">
    <v t="r">574</v>
    <v t="r">575</v>
    <v t="r">576</v>
    <v t="r">577</v>
  </a>
  <a r="4">
    <v t="r">602</v>
    <v t="r">603</v>
    <v t="r">604</v>
    <v t="r">605</v>
  </a>
  <a r="4">
    <v t="r">629</v>
    <v t="r">630</v>
    <v t="r">631</v>
    <v t="r">632</v>
  </a>
  <a r="4">
    <v t="r">654</v>
    <v t="r">655</v>
    <v t="r">656</v>
    <v t="r">657</v>
  </a>
  <a r="4">
    <v t="r">680</v>
    <v t="r">681</v>
    <v t="r">682</v>
    <v t="r">683</v>
  </a>
  <a r="3">
    <v t="s">English</v>
    <v t="s">De facto</v>
    <v t="s">De jure</v>
  </a>
  <a r="4">
    <v t="r">707</v>
    <v t="r">708</v>
    <v t="r">709</v>
    <v t="r">710</v>
  </a>
  <a r="4">
    <v t="r">732</v>
    <v t="r">733</v>
    <v t="r">734</v>
    <v t="r">735</v>
  </a>
  <a r="4">
    <v t="r">761</v>
    <v t="r">762</v>
    <v t="r">763</v>
    <v t="r">764</v>
  </a>
  <a r="4">
    <v t="r">786</v>
    <v t="r">787</v>
    <v t="r">788</v>
    <v t="r">789</v>
  </a>
  <a r="4">
    <v t="r">810</v>
    <v t="r">811</v>
    <v t="r">812</v>
    <v t="r">813</v>
  </a>
  <a r="4">
    <v t="r">834</v>
    <v t="r">835</v>
    <v t="r">836</v>
    <v t="r">837</v>
  </a>
  <a r="4">
    <v t="r">860</v>
    <v t="r">861</v>
    <v t="r">862</v>
    <v t="r">863</v>
  </a>
  <a r="4">
    <v t="r">885</v>
    <v t="r">886</v>
    <v t="r">887</v>
    <v t="r">888</v>
  </a>
  <a r="4">
    <v t="r">909</v>
    <v t="r">910</v>
    <v t="r">911</v>
    <v t="r">912</v>
  </a>
  <a r="1">
    <v t="r">933</v>
  </a>
  <a r="2">
    <v t="s">UTC−05:00</v>
    <v t="s">UTC−06:00</v>
  </a>
  <a r="1">
    <v t="r">945</v>
  </a>
  <a r="1">
    <v t="r">955</v>
  </a>
  <a r="1">
    <v t="r">965</v>
  </a>
  <a r="1">
    <v t="r">974</v>
  </a>
  <a r="2">
    <v t="r">1000</v>
    <v t="r">1001</v>
  </a>
  <a r="1">
    <v t="s">Spanish language</v>
  </a>
  <a r="18">
    <v t="r">1017</v>
    <v t="r">1018</v>
    <v t="r">1019</v>
    <v t="r">1020</v>
    <v t="r">1021</v>
    <v t="r">1022</v>
    <v t="r">1023</v>
    <v t="r">1024</v>
    <v t="r">1025</v>
    <v t="r">1026</v>
    <v t="r">1027</v>
    <v t="r">1028</v>
    <v t="r">1029</v>
    <v t="r">1030</v>
    <v t="r">1031</v>
    <v t="r">1032</v>
    <v t="r">1033</v>
    <v t="r">1034</v>
  </a>
  <a r="2">
    <v t="s">UTC+02:00</v>
    <v t="s">UTC+01:00</v>
  </a>
  <a r="1">
    <v t="r">1045</v>
  </a>
  <a r="2">
    <v t="r">1071</v>
    <v t="r">1072</v>
  </a>
  <a r="1">
    <v t="s">Japanese language</v>
  </a>
  <a r="46">
    <v t="r">1087</v>
    <v t="r">1088</v>
    <v t="r">1089</v>
    <v t="r">1090</v>
    <v t="r">1091</v>
    <v t="r">1092</v>
    <v t="r">1093</v>
    <v t="r">1094</v>
    <v t="r">1095</v>
    <v t="r">1096</v>
    <v t="r">1097</v>
    <v t="r">1098</v>
    <v t="r">1057</v>
    <v t="r">1099</v>
    <v t="r">1100</v>
    <v t="r">1101</v>
    <v t="r">1102</v>
    <v t="r">1103</v>
    <v t="r">1104</v>
    <v t="r">1105</v>
    <v t="r">1106</v>
    <v t="r">1107</v>
    <v t="r">1108</v>
    <v t="r">1109</v>
    <v t="r">1110</v>
    <v t="r">1111</v>
    <v t="r">1112</v>
    <v t="r">1113</v>
    <v t="r">1114</v>
    <v t="r">1115</v>
    <v t="r">1116</v>
    <v t="r">1117</v>
    <v t="r">1118</v>
    <v t="r">1119</v>
    <v t="r">1120</v>
    <v t="r">1121</v>
    <v t="r">1122</v>
    <v t="r">1123</v>
    <v t="r">1124</v>
    <v t="r">1125</v>
    <v t="r">1126</v>
    <v t="r">1127</v>
    <v t="r">1128</v>
    <v t="r">1129</v>
    <v t="r">1130</v>
    <v t="r">1131</v>
  </a>
  <a r="1">
    <v t="s">Japan Standard Time</v>
  </a>
  <a r="1">
    <v t="r">1143</v>
  </a>
  <a r="2">
    <v t="r">1168</v>
    <v t="r">1169</v>
  </a>
  <a r="1">
    <v t="s">French language</v>
  </a>
  <a r="25">
    <v t="r">1183</v>
    <v t="r">1184</v>
    <v t="r">1185</v>
    <v t="r">1186</v>
    <v t="r">1187</v>
    <v t="r">1188</v>
    <v t="r">1189</v>
    <v t="r">1190</v>
    <v t="r">1191</v>
    <v t="r">1192</v>
    <v t="r">1193</v>
    <v t="r">1194</v>
    <v t="r">1195</v>
    <v t="r">1196</v>
    <v t="r">1197</v>
    <v t="r">1198</v>
    <v t="r">1199</v>
    <v t="r">1200</v>
    <v t="r">1201</v>
    <v t="r">1202</v>
    <v t="r">1203</v>
    <v t="r">1204</v>
    <v t="r">1205</v>
    <v t="r">1206</v>
    <v t="r">1207</v>
  </a>
  <a r="1">
    <v t="s">Central European Time</v>
  </a>
  <a r="1">
    <v t="r">1219</v>
  </a>
  <a r="1">
    <v t="r">1245</v>
  </a>
  <a r="15">
    <v t="r">1259</v>
    <v t="r">1260</v>
    <v t="r">1261</v>
    <v t="r">1262</v>
    <v t="r">1263</v>
    <v t="r">1264</v>
    <v t="r">1265</v>
    <v t="r">1266</v>
    <v t="r">1267</v>
    <v t="r">1268</v>
    <v t="r">1269</v>
    <v t="r">1270</v>
    <v t="r">1271</v>
    <v t="r">1272</v>
    <v t="r">1273</v>
  </a>
  <a r="3">
    <v t="s">UTC−05:00</v>
    <v t="s">UTC−04:00</v>
    <v t="s">UTC−03:00</v>
  </a>
  <a r="1">
    <v t="r">1284</v>
  </a>
  <a r="2">
    <v t="r">1310</v>
    <v t="r">1311</v>
  </a>
  <a r="1">
    <v t="s">Dutch language</v>
  </a>
  <a r="14">
    <v t="r">1324</v>
    <v t="r">1325</v>
    <v t="r">1326</v>
    <v t="r">1327</v>
    <v t="r">1328</v>
    <v t="r">1329</v>
    <v t="r">1330</v>
    <v t="r">1331</v>
    <v t="r">1332</v>
    <v t="r">1333</v>
    <v t="r">1334</v>
    <v t="r">1335</v>
    <v t="r">1336</v>
    <v t="r">1337</v>
  </a>
  <a r="1">
    <v t="s">Atlantic Time Zone</v>
  </a>
  <a r="2">
    <v t="r">1366</v>
    <v t="r">1367</v>
  </a>
  <a r="1">
    <v t="s">Australian English</v>
  </a>
  <a r="15">
    <v t="r">1380</v>
    <v t="r">1381</v>
    <v t="r">1382</v>
    <v t="r">1383</v>
    <v t="r">1384</v>
    <v t="r">1385</v>
    <v t="r">1386</v>
    <v t="r">1387</v>
    <v t="r">1388</v>
    <v t="r">1389</v>
    <v t="r">1390</v>
    <v t="r">1391</v>
    <v t="r">1392</v>
    <v t="r">1393</v>
    <v t="r">1394</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1">
    <v t="r">1414</v>
  </a>
  <a r="2">
    <v t="r">1438</v>
    <v t="r">1439</v>
  </a>
  <a r="1">
    <v t="s">German language</v>
  </a>
  <a r="15">
    <v t="r">1453</v>
    <v t="r">1454</v>
    <v t="r">1426</v>
    <v t="r">1455</v>
    <v t="r">1456</v>
    <v t="r">1457</v>
    <v t="r">1458</v>
    <v t="r">1459</v>
    <v t="r">1460</v>
    <v t="r">1461</v>
    <v t="r">1462</v>
    <v t="r">1463</v>
    <v t="r">1464</v>
    <v t="r">1465</v>
    <v t="r">1466</v>
  </a>
  <a r="1">
    <v t="r">1477</v>
  </a>
  <a r="2">
    <v t="r">1366</v>
    <v t="r">1503</v>
  </a>
  <a r="2">
    <v t="s">Canadian French</v>
    <v t="s">Canadian English</v>
  </a>
  <a r="13">
    <v t="r">1518</v>
    <v t="r">1519</v>
    <v t="r">1520</v>
    <v t="r">1521</v>
    <v t="r">1522</v>
    <v t="r">1523</v>
    <v t="r">1524</v>
    <v t="r">1525</v>
    <v t="r">1526</v>
    <v t="r">1527</v>
    <v t="r">1528</v>
    <v t="r">1529</v>
    <v t="r">1530</v>
  </a>
  <a r="6">
    <v t="s">Newfoundland Time Zone</v>
    <v t="s">Atlantic Time Zone</v>
    <v t="s">Eastern Time Zone</v>
    <v t="s">Central Time Zone</v>
    <v t="s">Mountain Time Zone</v>
    <v t="s">Pacific Time Zone</v>
  </a>
  <a r="2">
    <v t="r">1542</v>
    <v t="r">1543</v>
  </a>
  <a r="1">
    <v t="s">Canadian English</v>
  </a>
  <a r="2">
    <v t="r">1570</v>
    <v t="r">1571</v>
  </a>
  <a r="1">
    <v t="s">Colombian Spanish</v>
  </a>
  <a r="33">
    <v t="r">1588</v>
    <v t="r">1589</v>
    <v t="r">1590</v>
    <v t="r">1591</v>
    <v t="r">1592</v>
    <v t="r">1593</v>
    <v t="r">1594</v>
    <v t="r">1595</v>
    <v t="r">1596</v>
    <v t="r">1597</v>
    <v t="r">1598</v>
    <v t="r">1599</v>
    <v t="r">1600</v>
    <v t="r">1601</v>
    <v t="r">1602</v>
    <v t="r">1603</v>
    <v t="r">1604</v>
    <v t="r">1605</v>
    <v t="r">1606</v>
    <v t="r">1607</v>
    <v t="r">1608</v>
    <v t="r">1609</v>
    <v t="r">1610</v>
    <v t="r">1611</v>
    <v t="r">1612</v>
    <v t="r">1613</v>
    <v t="r">1614</v>
    <v t="r">1615</v>
    <v t="r">1616</v>
    <v t="r">1617</v>
    <v t="r">1618</v>
    <v t="r">1619</v>
    <v t="r">1556</v>
  </a>
  <a r="1">
    <v t="s">UTC−05:00</v>
  </a>
  <a r="2">
    <v t="r">1646</v>
    <v t="r">1647</v>
  </a>
  <a r="1">
    <v t="s">Italian language</v>
  </a>
  <a r="20">
    <v t="r">1659</v>
    <v t="r">1660</v>
    <v t="r">1661</v>
    <v t="r">1662</v>
    <v t="r">1663</v>
    <v t="r">1664</v>
    <v t="r">1665</v>
    <v t="r">1666</v>
    <v t="r">1667</v>
    <v t="r">1668</v>
    <v t="r">1669</v>
    <v t="r">1670</v>
    <v t="r">1671</v>
    <v t="r">1672</v>
    <v t="r">1673</v>
    <v t="r">1674</v>
    <v t="r">1675</v>
    <v t="r">1676</v>
    <v t="r">1677</v>
    <v t="r">1678</v>
  </a>
  <a r="2">
    <v t="r">1704</v>
    <v t="r">1705</v>
  </a>
  <a r="1">
    <v t="s">Swedish language</v>
  </a>
  <a r="21">
    <v t="r">1717</v>
    <v t="r">1718</v>
    <v t="r">1719</v>
    <v t="r">1720</v>
    <v t="r">1721</v>
    <v t="r">1722</v>
    <v t="r">1723</v>
    <v t="r">1724</v>
    <v t="r">1725</v>
    <v t="r">1726</v>
    <v t="r">1727</v>
    <v t="r">1728</v>
    <v t="r">1729</v>
    <v t="r">1730</v>
    <v t="r">1731</v>
    <v t="r">1732</v>
    <v t="r">1733</v>
    <v t="r">1734</v>
    <v t="r">1735</v>
    <v t="r">1736</v>
    <v t="r">1737</v>
  </a>
  <a r="1">
    <v t="r">1748</v>
  </a>
  <a r="7">
    <v t="r">1775</v>
    <v t="r">1776</v>
    <v t="r">1777</v>
    <v t="r">1778</v>
    <v t="r">1779</v>
    <v t="r">1780</v>
    <v t="r">1781</v>
  </a>
  <a r="4">
    <v t="s">Italian language</v>
    <v t="s">Romansh language</v>
    <v t="s">German language</v>
    <v t="s">French language</v>
  </a>
  <a r="25">
    <v t="r">1794</v>
    <v t="r">1795</v>
    <v t="r">1796</v>
    <v t="r">1797</v>
    <v t="r">1798</v>
    <v t="r">1799</v>
    <v t="r">1800</v>
    <v t="r">1801</v>
    <v t="r">1802</v>
    <v t="r">1803</v>
    <v t="r">1804</v>
    <v t="r">1805</v>
    <v t="r">1806</v>
    <v t="r">1807</v>
    <v t="r">1808</v>
    <v t="r">1809</v>
    <v t="r">1810</v>
    <v t="r">1811</v>
    <v t="r">1812</v>
    <v t="r">1813</v>
    <v t="r">1814</v>
    <v t="r">1815</v>
    <v t="r">1816</v>
    <v t="r">1817</v>
    <v t="r">1818</v>
  </a>
  <a r="2">
    <v t="r">1845</v>
    <v t="r">1846</v>
  </a>
  <a r="1">
    <v t="s">Portuguese language</v>
  </a>
  <a r="27">
    <v t="r">1860</v>
    <v t="r">1861</v>
    <v t="r">1862</v>
    <v t="r">1863</v>
    <v t="r">1864</v>
    <v t="r">1865</v>
    <v t="r">1866</v>
    <v t="r">1867</v>
    <v t="r">1868</v>
    <v t="r">1869</v>
    <v t="r">1870</v>
    <v t="r">1871</v>
    <v t="r">1872</v>
    <v t="r">1873</v>
    <v t="r">1874</v>
    <v t="r">1875</v>
    <v t="r">1876</v>
    <v t="r">1877</v>
    <v t="r">1878</v>
    <v t="r">1879</v>
    <v t="r">1880</v>
    <v t="r">1881</v>
    <v t="r">1882</v>
    <v t="r">1883</v>
    <v t="r">1884</v>
    <v t="r">1885</v>
    <v t="r">1886</v>
  </a>
  <a r="3">
    <v t="s">Fernando de Noronha Time Zone</v>
    <v t="s">Brasília Time Zone</v>
    <v t="s">Amazon Time Zone</v>
  </a>
  <a r="2">
    <v t="r">1914</v>
    <v t="r">1915</v>
  </a>
  <a r="2">
    <v t="s">Rioplatense Spanish</v>
    <v t="s">Uruguayan Sign Language</v>
  </a>
  <a r="19">
    <v t="r">1929</v>
    <v t="r">1930</v>
    <v t="r">1931</v>
    <v t="r">1932</v>
    <v t="r">1933</v>
    <v t="r">1934</v>
    <v t="r">1935</v>
    <v t="r">1936</v>
    <v t="r">1937</v>
    <v t="r">1938</v>
    <v t="r">1939</v>
    <v t="r">1940</v>
    <v t="r">1941</v>
    <v t="r">1942</v>
    <v t="r">1943</v>
    <v t="r">1944</v>
    <v t="r">1945</v>
    <v t="r">1946</v>
    <v t="r">1947</v>
  </a>
  <a r="1">
    <v t="s">UTC−03:00</v>
  </a>
  <a r="2">
    <v t="r">1975</v>
    <v t="r">1976</v>
  </a>
  <a r="4">
    <v t="s">Malay</v>
    <v t="s">Singapore English</v>
    <v t="s">Singaporean Mandarin</v>
    <v t="s">Tamil language</v>
  </a>
  <a r="1">
    <v t="s">Singapore Time</v>
  </a>
  <a r="3">
    <v t="r">2010</v>
    <v t="r">2011</v>
    <v t="r">2012</v>
  </a>
  <a r="2">
    <v t="s">English language</v>
    <v t="s">Irish language</v>
  </a>
  <a r="26">
    <v t="r">2026</v>
    <v t="r">2027</v>
    <v t="r">2028</v>
    <v t="r">2029</v>
    <v t="r">2030</v>
    <v t="r">2031</v>
    <v t="r">2032</v>
    <v t="r">2033</v>
    <v t="r">2034</v>
    <v t="r">2035</v>
    <v t="r">2036</v>
    <v t="r">2037</v>
    <v t="r">2038</v>
    <v t="r">2039</v>
    <v t="r">2040</v>
    <v t="r">2041</v>
    <v t="r">2042</v>
    <v t="r">2043</v>
    <v t="r">2044</v>
    <v t="r">2045</v>
    <v t="r">2046</v>
    <v t="r">2047</v>
    <v t="r">2048</v>
    <v t="r">2049</v>
    <v t="r">2050</v>
    <v t="r">2051</v>
  </a>
  <a r="2">
    <v t="s">UTC+00:00</v>
    <v t="s">UTC+01:00</v>
  </a>
  <a r="1">
    <v t="r">2061</v>
  </a>
  <a r="1">
    <v t="s">UTC+00:00</v>
  </a>
  <a r="2">
    <v t="r">2087</v>
    <v t="r">2088</v>
  </a>
  <a r="1">
    <v t="s">Danish language</v>
  </a>
  <a r="5">
    <v t="r">2100</v>
    <v t="r">2101</v>
    <v t="r">2102</v>
    <v t="r">2103</v>
    <v t="r">2104</v>
  </a>
  <a r="2">
    <v t="r">1366</v>
    <v t="r">2129</v>
  </a>
  <a r="4">
    <v t="r">2141</v>
    <v t="r">2142</v>
    <v t="r">2143</v>
    <v t="r">2144</v>
  </a>
  <a r="2">
    <v t="s">Greenwich Mean Time</v>
    <v t="s">Western European Time</v>
  </a>
  <a r="1">
    <v t="r">2156</v>
  </a>
  <a r="1">
    <v t="s">Greenwich Mean Time</v>
  </a>
  <a r="1">
    <v t="r">1366</v>
  </a>
  <a r="3">
    <v t="r">2191</v>
    <v t="r">2192</v>
    <v t="r">2193</v>
  </a>
  <a r="20">
    <v t="r">2205</v>
    <v t="r">2206</v>
    <v t="r">2207</v>
    <v t="r">2208</v>
    <v t="r">2209</v>
    <v t="r">2210</v>
    <v t="r">2211</v>
    <v t="r">2212</v>
    <v t="r">2213</v>
    <v t="r">2214</v>
    <v t="r">2215</v>
    <v t="r">2216</v>
    <v t="r">2217</v>
    <v t="r">2218</v>
    <v t="r">2219</v>
    <v t="r">2220</v>
    <v t="r">2221</v>
    <v t="r">2222</v>
    <v t="r">2223</v>
    <v t="r">2224</v>
  </a>
  <a r="2">
    <v t="s">Western European Summer Time</v>
    <v t="s">Western European Time</v>
  </a>
  <a r="2">
    <v t="r">2251</v>
    <v t="r">2252</v>
  </a>
  <a r="2">
    <v t="s">Swedish language</v>
    <v t="s">Finnish language</v>
  </a>
  <a r="19">
    <v t="r">2265</v>
    <v t="r">2266</v>
    <v t="r">2267</v>
    <v t="r">2268</v>
    <v t="r">2269</v>
    <v t="r">2270</v>
    <v t="r">2271</v>
    <v t="r">2272</v>
    <v t="r">2273</v>
    <v t="r">2274</v>
    <v t="r">2275</v>
    <v t="r">2276</v>
    <v t="r">2277</v>
    <v t="r">2278</v>
    <v t="r">2279</v>
    <v t="r">2280</v>
    <v t="r">2281</v>
    <v t="r">2282</v>
    <v t="r">2283</v>
  </a>
  <a r="4">
    <v t="s">UTC+03:00</v>
    <v t="s">Eastern European Summer Time</v>
    <v t="s">UTC+02:00</v>
    <v t="s">Eastern European Time</v>
  </a>
  <a r="3">
    <v t="r">2309</v>
    <v t="r">2310</v>
    <v t="r">2311</v>
  </a>
  <a r="1">
    <v t="s">Norwegian language</v>
  </a>
  <a r="14">
    <v t="r">2325</v>
    <v t="r">2296</v>
    <v t="r">2326</v>
    <v t="r">2327</v>
    <v t="r">2328</v>
    <v t="r">2329</v>
    <v t="r">2330</v>
    <v t="r">2331</v>
    <v t="r">2332</v>
    <v t="r">2333</v>
    <v t="r">2334</v>
    <v t="r">2335</v>
    <v t="r">2336</v>
    <v t="r">2337</v>
  </a>
  <a r="2">
    <v t="r">2364</v>
    <v t="r">2365</v>
  </a>
  <a r="1">
    <v t="s">Mexican Spanish</v>
  </a>
  <a r="32">
    <v t="r">2350</v>
    <v t="r">2380</v>
    <v t="r">2381</v>
    <v t="r">2382</v>
    <v t="r">2383</v>
    <v t="r">2384</v>
    <v t="r">2385</v>
    <v t="r">2386</v>
    <v t="r">2387</v>
    <v t="r">2388</v>
    <v t="r">2389</v>
    <v t="r">2390</v>
    <v t="r">2391</v>
    <v t="r">2392</v>
    <v t="r">2393</v>
    <v t="r">2394</v>
    <v t="r">2395</v>
    <v t="r">2396</v>
    <v t="r">2397</v>
    <v t="r">2398</v>
    <v t="r">2399</v>
    <v t="r">2400</v>
    <v t="r">2401</v>
    <v t="r">2402</v>
    <v t="r">2403</v>
    <v t="r">2404</v>
    <v t="r">2405</v>
    <v t="r">2406</v>
    <v t="r">2407</v>
    <v t="r">2408</v>
    <v t="r">2409</v>
    <v t="r">2410</v>
  </a>
  <a r="4">
    <v t="s">Central Time Zone</v>
    <v t="s">Mountain Time Zone</v>
    <v t="s">Pacific Time Zone</v>
    <v t="s">Eastern Time Zone</v>
  </a>
  <a r="2">
    <v t="r">2436</v>
    <v t="r">2437</v>
  </a>
  <a r="4">
    <v t="s">Burgenland Croatian</v>
    <v t="s">Hungarian language</v>
    <v t="s">Slovene language</v>
    <v t="s">German language</v>
  </a>
  <a r="9">
    <v t="r">2450</v>
    <v t="r">2451</v>
    <v t="r">2452</v>
    <v t="r">2453</v>
    <v t="r">2454</v>
    <v t="r">2455</v>
    <v t="r">2456</v>
    <v t="r">2457</v>
    <v t="r">2422</v>
  </a>
  <a r="1">
    <v t="r">2467</v>
  </a>
  <a r="2">
    <v t="r">2492</v>
    <v t="r">2493</v>
  </a>
  <a r="1">
    <v t="s">Russian language</v>
  </a>
  <a r="83">
    <v t="r">2508</v>
    <v t="r">2509</v>
    <v t="r">2510</v>
    <v t="r">2511</v>
    <v t="r">2512</v>
    <v t="r">2513</v>
    <v t="r">2514</v>
    <v t="r">2515</v>
    <v t="r">2516</v>
    <v t="r">2517</v>
    <v t="r">2518</v>
    <v t="r">2519</v>
    <v t="r">2520</v>
    <v t="r">2521</v>
    <v t="r">2522</v>
    <v t="r">2523</v>
    <v t="r">2524</v>
    <v t="r">2525</v>
    <v t="r">2526</v>
    <v t="r">2527</v>
    <v t="r">2528</v>
    <v t="r">2529</v>
    <v t="r">2530</v>
    <v t="r">2531</v>
    <v t="r">2532</v>
    <v t="r">2533</v>
    <v t="r">2534</v>
    <v t="r">2535</v>
    <v t="r">2536</v>
    <v t="r">2537</v>
    <v t="r">2538</v>
    <v t="r">2539</v>
    <v t="r">2540</v>
    <v t="r">2541</v>
    <v t="r">2542</v>
    <v t="r">2543</v>
    <v t="r">2544</v>
    <v t="r">2545</v>
    <v t="r">2546</v>
    <v t="r">2547</v>
    <v t="r">2548</v>
    <v t="r">2549</v>
    <v t="r">2550</v>
    <v t="r">2551</v>
    <v t="r">2552</v>
    <v t="r">2553</v>
    <v t="r">2554</v>
    <v t="r">2555</v>
    <v t="r">2556</v>
    <v t="r">2557</v>
    <v t="r">2558</v>
    <v t="r">2559</v>
    <v t="r">2560</v>
    <v t="r">2561</v>
    <v t="r">2562</v>
    <v t="r">2563</v>
    <v t="r">2564</v>
    <v t="r">2565</v>
    <v t="r">2566</v>
    <v t="r">2567</v>
    <v t="r">2568</v>
    <v t="r">2569</v>
    <v t="r">2570</v>
    <v t="r">2571</v>
    <v t="r">2572</v>
    <v t="r">2573</v>
    <v t="r">2574</v>
    <v t="r">2575</v>
    <v t="r">2576</v>
    <v t="r">2577</v>
    <v t="r">2578</v>
    <v t="r">2579</v>
    <v t="r">2580</v>
    <v t="r">2581</v>
    <v t="r">2582</v>
    <v t="r">2478</v>
    <v t="r">2583</v>
    <v t="r">2584</v>
    <v t="r">2585</v>
    <v t="r">2586</v>
    <v t="r">2587</v>
    <v t="r">2588</v>
    <v t="r">2589</v>
  </a>
  <a r="13">
    <v t="s">Moscow Time</v>
    <v t="s">Samara Time</v>
    <v t="s">Yekaterinburg Time</v>
    <v t="s">Omsk Time</v>
    <v t="s">Krasnoyarsk Time</v>
    <v t="s">Irkutsk Time</v>
    <v t="s">Yakutsk Time</v>
    <v t="s">Kamchatka Time</v>
    <v t="s">Eastern European Time</v>
    <v t="s">Vladivostok Time</v>
    <v t="s">Srednekolymsk Time</v>
    <v t="s">Magadan Time</v>
    <v t="s">Kaliningrad Time</v>
  </a>
  <a r="2">
    <v t="r">2618</v>
    <v t="r">2619</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2633</v>
    <v t="r">2634</v>
    <v t="r">2635</v>
    <v t="r">2636</v>
    <v t="r">2637</v>
    <v t="r">2638</v>
    <v t="r">2639</v>
    <v t="r">2640</v>
    <v t="r">2641</v>
  </a>
  <a r="1">
    <v t="s">Africa/Johannesburg</v>
  </a>
  <a r="2">
    <v t="r">2669</v>
    <v t="r">2670</v>
  </a>
  <a r="3">
    <v t="s">Dutch language</v>
    <v t="s">German language</v>
    <v t="s">French language</v>
  </a>
  <a r="3">
    <v t="r">2683</v>
    <v t="r">2668</v>
    <v t="r">2684</v>
  </a>
  <a r="4">
    <v t="s">Central European Time</v>
    <v t="s">UTC+02:00</v>
    <v t="s">UTC+01:00</v>
    <v t="s">Central European Summer Time</v>
  </a>
  <a r="1">
    <v t="r">2694</v>
  </a>
  <a r="1">
    <v t="s">UTC+01:00</v>
  </a>
  <a r="1">
    <v t="r">2706</v>
  </a>
  <a r="4">
    <v t="r">2732</v>
    <v t="r">2733</v>
    <v t="r">2734</v>
    <v t="r">2735</v>
  </a>
  <a r="2">
    <v t="s">Korean Sign Language</v>
    <v t="s">Korean language</v>
  </a>
  <a r="17">
    <v t="r">2718</v>
    <v t="r">2748</v>
    <v t="r">2749</v>
    <v t="r">2750</v>
    <v t="r">2751</v>
    <v t="r">2752</v>
    <v t="r">2753</v>
    <v t="r">2754</v>
    <v t="r">2755</v>
    <v t="r">2756</v>
    <v t="r">2757</v>
    <v t="r">2758</v>
    <v t="r">2759</v>
    <v t="r">2760</v>
    <v t="r">2761</v>
    <v t="r">2762</v>
    <v t="r">2763</v>
  </a>
  <a r="1">
    <v t="s">Time in South Korea</v>
  </a>
  <a r="2">
    <v t="r">2791</v>
    <v t="r">2792</v>
  </a>
  <a r="1">
    <v t="s">Rioplatense Spanish</v>
  </a>
  <a r="23">
    <v t="r">2805</v>
    <v t="r">2806</v>
    <v t="r">2807</v>
    <v t="r">2808</v>
    <v t="r">2809</v>
    <v t="r">2810</v>
    <v t="r">2811</v>
    <v t="r">2812</v>
    <v t="r">2813</v>
    <v t="r">2814</v>
    <v t="r">2815</v>
    <v t="r">2816</v>
    <v t="r">2817</v>
    <v t="r">2818</v>
    <v t="r">2819</v>
    <v t="r">2820</v>
    <v t="r">2821</v>
    <v t="r">2822</v>
    <v t="r">2823</v>
    <v t="r">2824</v>
    <v t="r">2825</v>
    <v t="r">2826</v>
    <v t="r">2827</v>
  </a>
  <a r="1">
    <v t="s">Time in Argentina</v>
  </a>
  <a r="2">
    <v t="r">2853</v>
    <v t="r">2854</v>
  </a>
  <a r="1">
    <v t="s">Czech language</v>
  </a>
  <a r="7">
    <v t="r">2840</v>
    <v t="r">2868</v>
    <v t="r">2869</v>
    <v t="r">2870</v>
    <v t="r">2871</v>
    <v t="r">2872</v>
    <v t="r">2873</v>
  </a>
  <a r="1">
    <v t="r">2883</v>
  </a>
  <a r="2">
    <v t="r">2906</v>
    <v t="r">2907</v>
  </a>
  <a r="1">
    <v t="s">Slovak language</v>
  </a>
  <a r="8">
    <v t="r">2919</v>
    <v t="r">2920</v>
    <v t="r">2921</v>
    <v t="r">2922</v>
    <v t="r">2923</v>
    <v t="r">2924</v>
    <v t="r">2925</v>
    <v t="r">2926</v>
  </a>
  <a r="3">
    <v t="r">2953</v>
    <v t="r">2954</v>
    <v t="r">2955</v>
  </a>
  <a r="1">
    <v t="s">Turkish language</v>
  </a>
  <a r="81">
    <v t="r">2969</v>
    <v t="r">2970</v>
    <v t="r">2971</v>
    <v t="r">2972</v>
    <v t="r">2973</v>
    <v t="r">2974</v>
    <v t="r">2975</v>
    <v t="r">2976</v>
    <v t="r">2977</v>
    <v t="r">2978</v>
    <v t="r">2979</v>
    <v t="r">2980</v>
    <v t="r">2981</v>
    <v t="r">2982</v>
    <v t="r">2983</v>
    <v t="r">2984</v>
    <v t="r">2985</v>
    <v t="r">2986</v>
    <v t="r">2987</v>
    <v t="r">2988</v>
    <v t="r">2989</v>
    <v t="r">2990</v>
    <v t="r">2991</v>
    <v t="r">2992</v>
    <v t="r">2993</v>
    <v t="r">2994</v>
    <v t="r">2995</v>
    <v t="r">2996</v>
    <v t="r">2997</v>
    <v t="r">2998</v>
    <v t="r">2999</v>
    <v t="r">3000</v>
    <v t="r">3001</v>
    <v t="r">3002</v>
    <v t="r">3003</v>
    <v t="r">3004</v>
    <v t="r">3005</v>
    <v t="r">3006</v>
    <v t="r">3007</v>
    <v t="r">3008</v>
    <v t="r">3009</v>
    <v t="r">3010</v>
    <v t="r">3011</v>
    <v t="r">3012</v>
    <v t="r">3013</v>
    <v t="r">3014</v>
    <v t="r">3015</v>
    <v t="r">3016</v>
    <v t="r">3017</v>
    <v t="r">3018</v>
    <v t="r">3019</v>
    <v t="r">3020</v>
    <v t="r">3021</v>
    <v t="r">3022</v>
    <v t="r">3023</v>
    <v t="r">3024</v>
    <v t="r">3025</v>
    <v t="r">3026</v>
    <v t="r">3027</v>
    <v t="r">3028</v>
    <v t="r">3029</v>
    <v t="r">3030</v>
    <v t="r">3031</v>
    <v t="r">3032</v>
    <v t="r">3033</v>
    <v t="r">3034</v>
    <v t="r">3035</v>
    <v t="r">3036</v>
    <v t="r">3037</v>
    <v t="r">3038</v>
    <v t="r">3039</v>
    <v t="r">3040</v>
    <v t="r">3041</v>
    <v t="r">3042</v>
    <v t="r">3043</v>
    <v t="r">3044</v>
    <v t="r">3045</v>
    <v t="r">3046</v>
    <v t="r">3047</v>
    <v t="r">3048</v>
    <v t="r">3049</v>
  </a>
  <a r="1">
    <v t="s">UTC+03:00</v>
  </a>
  <a r="3">
    <v t="r">3077</v>
    <v t="r">3078</v>
    <v t="r">3079</v>
  </a>
  <a r="1">
    <v t="s">Ukrainian language</v>
  </a>
  <a r="27">
    <v t="r">3063</v>
    <v t="r">3091</v>
    <v t="r">3092</v>
    <v t="r">3093</v>
    <v t="r">3094</v>
    <v t="r">3095</v>
    <v t="r">3096</v>
    <v t="r">3097</v>
    <v t="r">3098</v>
    <v t="r">3099</v>
    <v t="r">3100</v>
    <v t="r">3101</v>
    <v t="r">3102</v>
    <v t="r">3103</v>
    <v t="r">3104</v>
    <v t="r">3105</v>
    <v t="r">3106</v>
    <v t="r">3107</v>
    <v t="r">3108</v>
    <v t="r">3109</v>
    <v t="r">3110</v>
    <v t="r">3111</v>
    <v t="r">3112</v>
    <v t="r">3113</v>
    <v t="r">3114</v>
    <v t="r">3115</v>
    <v t="r">2584</v>
  </a>
  <a r="1">
    <v t="s">Eastern European Time</v>
  </a>
  <a r="3">
    <v t="r">3143</v>
    <v t="r">3144</v>
    <v t="r">3145</v>
  </a>
  <a r="1">
    <v t="s">Indonesian language</v>
  </a>
  <a r="34">
    <v t="r">3160</v>
    <v t="r">3161</v>
    <v t="r">3162</v>
    <v t="r">3163</v>
    <v t="r">3164</v>
    <v t="r">3165</v>
    <v t="r">3166</v>
    <v t="r">3167</v>
    <v t="r">3168</v>
    <v t="r">3169</v>
    <v t="r">3170</v>
    <v t="r">3171</v>
    <v t="r">3172</v>
    <v t="r">3173</v>
    <v t="r">3174</v>
    <v t="r">3175</v>
    <v t="r">3176</v>
    <v t="r">3177</v>
    <v t="r">3178</v>
    <v t="r">3179</v>
    <v t="r">3180</v>
    <v t="r">3181</v>
    <v t="r">3182</v>
    <v t="r">3183</v>
    <v t="r">3184</v>
    <v t="r">3185</v>
    <v t="r">3186</v>
    <v t="r">3187</v>
    <v t="r">3188</v>
    <v t="r">3189</v>
    <v t="r">3190</v>
    <v t="r">3129</v>
    <v t="r">3191</v>
    <v t="r">3192</v>
  </a>
  <a r="3">
    <v t="s">Indonesia Western Standard Time</v>
    <v t="s">Indonesia Central Standard Time</v>
    <v t="s">Indonesia Eastern Standard Time</v>
  </a>
</arrayData>
</file>

<file path=xl/richData/rdrichvalue.xml><?xml version="1.0" encoding="utf-8"?>
<rvData xmlns="http://schemas.microsoft.com/office/spreadsheetml/2017/richdata" count="3200">
  <rv s="0">
    <v>536870912</v>
    <v>United States</v>
    <v>5232ed96-85b1-2edb-12c6-63e6c597a1de</v>
    <v>en-US</v>
    <v>Map</v>
  </rv>
  <rv s="1">
    <fb>0.44369067999501505</fb>
    <v>23</v>
  </rv>
  <rv s="1">
    <fb>9826675</fb>
    <v>24</v>
  </rv>
  <rv s="1">
    <fb>1359000</fb>
    <v>24</v>
  </rv>
  <rv s="1">
    <fb>11.6</fb>
    <v>25</v>
  </rv>
  <rv s="1">
    <fb>1</fb>
    <v>26</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0</v>
    <v>21</v>
    <v>2</v>
    <v>7</v>
    <v>0</v>
    <v>Image of United States</v>
  </rv>
  <rv s="1">
    <fb>5.6</fb>
    <v>28</v>
  </rv>
  <rv s="0">
    <v>536870912</v>
    <v>New York City</v>
    <v>60d5dc2b-c915-460b-b722-c9e3485499ca</v>
    <v>en-US</v>
    <v>Map</v>
  </rv>
  <rv s="0">
    <v>805306368</v>
    <v>Donald Trump (President)</v>
    <v>1a466af2-ed23-25bd-794d-1ca925e4681b</v>
    <v>en-US</v>
    <v>Generic</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0</v>
  </rv>
  <rv s="4">
    <v>https://www.bing.com/search?q=united+states&amp;form=skydnc</v>
    <v>Learn more on Bing</v>
  </rv>
  <rv s="1">
    <fb>78.539024390243895</fb>
    <v>28</v>
  </rv>
  <rv s="1">
    <fb>30436313050000</fb>
    <v>30</v>
  </rv>
  <rv s="1">
    <fb>19</fb>
    <v>28</v>
  </rv>
  <rv s="1">
    <fb>7.25</fb>
    <v>29</v>
  </rv>
  <rv s="3">
    <v>1</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2</v>
  </rv>
  <rv s="1">
    <fb>9.5866513904898809E-2</fb>
    <v>23</v>
  </rv>
  <rv s="3">
    <v>3</v>
  </rv>
  <rv s="1">
    <fb>0.36599999999999999</fb>
    <v>23</v>
  </rv>
  <rv s="1">
    <fb>0.14699999999999999</fb>
    <v>31</v>
  </rv>
  <rv s="1">
    <fb>270663028</fb>
    <v>24</v>
  </rv>
  <rv s="5">
    <v>#VALUE!</v>
    <v>en-US</v>
    <v>5232ed96-85b1-2edb-12c6-63e6c597a1de</v>
    <v>536870912</v>
    <v>1</v>
    <v>16</v>
    <v>17</v>
    <v>United States</v>
    <v>19</v>
    <v>20</v>
    <v>Map</v>
    <v>21</v>
    <v>22</v>
    <v>US</v>
    <v>1</v>
    <v>2</v>
    <v>3</v>
    <v>4</v>
    <v>5</v>
    <v>6</v>
    <v>7</v>
    <v>8</v>
    <v>9</v>
    <v>USD</v>
    <v>The United States of America, also known as the United States or America, is a country primarily located in North America. It is a federal republic of 50 states and Washington, D.C. as its federal capital district. The 48 contiguous states ...</v>
    <v>10</v>
    <v>11</v>
    <v>12</v>
    <v>13</v>
    <v>14</v>
    <v>15</v>
    <v>16</v>
    <v>17</v>
    <v>18</v>
    <v>19</v>
    <v>20</v>
    <v>25</v>
    <v>26</v>
    <v>27</v>
    <v>28</v>
    <v>29</v>
    <v>30</v>
    <v>United States</v>
    <v>The Star-Spangled Banner</v>
    <v>31</v>
    <v>the United States of America</v>
    <v>32</v>
    <v>33</v>
    <v>34</v>
    <v>35</v>
    <v>36</v>
    <v>37</v>
    <v>38</v>
    <v>39</v>
    <v>40</v>
    <v>41</v>
    <v>42</v>
    <v>98</v>
    <v>99</v>
    <v>100</v>
    <v>101</v>
    <v>102</v>
    <v>United States</v>
    <v>103</v>
    <v>mdp/vdpid/244</v>
  </rv>
  <rv s="1">
    <fb>177</fb>
    <v>24</v>
  </rv>
  <rv s="1">
    <fb>4690</fb>
    <v>24</v>
  </rv>
  <rv s="0">
    <v>536870912</v>
    <v>United States of America</v>
    <v>5232ed96-85b1-2edb-12c6-63e6c597a1de</v>
    <v>en-US</v>
    <v>Map</v>
  </rv>
  <rv s="1">
    <fb>273390</fb>
    <v>24</v>
  </rv>
  <rv s="1">
    <fb>313718</fb>
    <v>24</v>
  </rv>
  <rv s="2">
    <v>1</v>
    <v>21</v>
    <v>32</v>
    <v>7</v>
    <v>0</v>
    <v>Image of Washington, D.C.</v>
  </rv>
  <rv s="0">
    <v>805306368</v>
    <v>Muriel Bowser (Mayor)</v>
    <v>ba0efeff-89d3-9653-396a-5cc380b1d241</v>
    <v>en-US</v>
    <v>Generic</v>
  </rv>
  <rv s="3">
    <v>4</v>
  </rv>
  <rv s="4">
    <v>https://www.bing.com/search?q=washington%2c+d.c.&amp;form=skydnc</v>
    <v>Learn more on Bing</v>
  </rv>
  <rv s="1">
    <fb>1327</fb>
    <v>30</v>
  </rv>
  <rv s="1">
    <fb>70848</fb>
    <v>30</v>
  </rv>
  <rv s="1">
    <fb>475800</fb>
    <v>30</v>
  </rv>
  <rv s="1">
    <fb>2.2200000000000002</fb>
    <v>25</v>
  </rv>
  <rv s="1">
    <fb>689545</fb>
    <v>24</v>
  </rv>
  <rv s="1">
    <fb>0.13200000000000001</fb>
    <v>23</v>
  </rv>
  <rv s="1">
    <fb>0.115</fb>
    <v>23</v>
  </rv>
  <rv s="1">
    <fb>6.0000000000000001E-3</fb>
    <v>38</v>
  </rv>
  <rv s="1">
    <fb>4.2000000000000003E-2</fb>
    <v>23</v>
  </rv>
  <rv s="1">
    <fb>0.54600000000000004</fb>
    <v>23</v>
  </rv>
  <rv s="1">
    <fb>0.48299999999999998</fb>
    <v>23</v>
  </rv>
  <rv s="1">
    <fb>0.14099999999999999</fb>
    <v>23</v>
  </rv>
  <rv s="1">
    <fb>0.89300000000000002</fb>
    <v>23</v>
  </rv>
  <rv s="1">
    <fb>0.106</fb>
    <v>23</v>
  </rv>
  <rv s="1">
    <fb>0.68299999999999994</fb>
    <v>23</v>
  </rv>
  <rv s="1">
    <fb>2E-3</fb>
    <v>23</v>
  </rv>
  <rv s="1">
    <fb>8.3000000000000004E-2</fb>
    <v>23</v>
  </rv>
  <rv s="1">
    <fb>2.7000000000000003E-2</fb>
    <v>23</v>
  </rv>
  <rv s="1">
    <fb>0.17600000000000002</fb>
    <v>23</v>
  </rv>
  <rv s="1">
    <fb>6.4000000000000001E-2</fb>
    <v>23</v>
  </rv>
  <rv s="1">
    <fb>0.441</fb>
    <v>23</v>
  </rv>
  <rv s="3">
    <v>5</v>
  </rv>
  <rv s="6">
    <v>#VALUE!</v>
    <v>en-US</v>
    <v>216726d1-8987-06d3-5eff-823da05c3d3c</v>
    <v>536870912</v>
    <v>1</v>
    <v>35</v>
    <v>36</v>
    <v>Washington, D.C.</v>
    <v>19</v>
    <v>20</v>
    <v>Map</v>
    <v>21</v>
    <v>37</v>
    <v>US-DC</v>
    <v>105</v>
    <v>106</v>
    <v>107</v>
    <v>Washington, D.C., formally the District of Columbia and commonly called Washington or D.C., is the capital city and federal district of the United States. The city is on the Potomac River, across from Virginia, and shares land borders with ...</v>
    <v>108</v>
    <v>109</v>
    <v>110</v>
    <v>112</v>
    <v>113</v>
    <v>114</v>
    <v>115</v>
    <v>116</v>
    <v>Washington, D.C.</v>
    <v>117</v>
    <v>118</v>
    <v>119</v>
    <v>120</v>
    <v>121</v>
    <v>122</v>
    <v>123</v>
    <v>124</v>
    <v>125</v>
    <v>126</v>
    <v>127</v>
    <v>128</v>
    <v>129</v>
    <v>130</v>
    <v>131</v>
    <v>132</v>
    <v>133</v>
    <v>134</v>
    <v>135</v>
    <v>Washington, D.C.</v>
    <v>mdp/vdpid/9130</v>
  </rv>
  <rv s="1">
    <fb>1213.369839</fb>
    <v>24</v>
  </rv>
  <rv s="2">
    <v>2</v>
    <v>21</v>
    <v>39</v>
    <v>7</v>
    <v>0</v>
    <v>Image of New York City</v>
  </rv>
  <rv s="1">
    <fb>40.700000000000003</fb>
    <v>43</v>
  </rv>
  <rv s="0">
    <v>805306368</v>
    <v>Eric Adams (Mayor)</v>
    <v>d104f492-36f0-3246-f9f7-c35dae370b2c</v>
    <v>en-US</v>
    <v>Generic</v>
  </rv>
  <rv s="3">
    <v>6</v>
  </rv>
  <rv s="4">
    <v>https://www.bing.com/search?q=new+york+city&amp;form=skydnc</v>
    <v>Learn more on Bing</v>
  </rv>
  <rv s="1">
    <fb>-74</fb>
    <v>43</v>
  </rv>
  <rv s="1">
    <fb>8804190</fb>
    <v>24</v>
  </rv>
  <rv s="7">
    <v>#VALUE!</v>
    <v>en-US</v>
    <v>60d5dc2b-c915-460b-b722-c9e3485499ca</v>
    <v>536870912</v>
    <v>1</v>
    <v>40</v>
    <v>41</v>
    <v>New York City</v>
    <v>19</v>
    <v>20</v>
    <v>Map</v>
    <v>21</v>
    <v>42</v>
    <v>74</v>
    <v>137</v>
    <v>107</v>
    <v>New York, often called New York City or simply NYC, is the most populous city in the United States, located at the southern tip of New York State on one of the world's largest natural harbors. The city comprises five boroughs, each coextensive ...</v>
    <v>138</v>
    <v>139</v>
    <v>141</v>
    <v>142</v>
    <v>143</v>
    <v>New York City</v>
    <v>144</v>
    <v>135</v>
    <v>New York City</v>
    <v>mdp/vdpid/5487505297524129794</v>
  </rv>
  <rv s="1">
    <fb>295234</fb>
    <v>24</v>
  </rv>
  <rv s="1">
    <fb>35578</fb>
    <v>24</v>
  </rv>
  <rv s="0">
    <v>536870912</v>
    <v>Phoenix, Arizona</v>
    <v>b06044c3-41e1-4e2a-bba7-27a29bba8ea9</v>
    <v>en-US</v>
    <v>Map</v>
  </rv>
  <rv s="1">
    <fb>2412212</fb>
    <v>24</v>
  </rv>
  <rv s="1">
    <fb>2961003</fb>
    <v>24</v>
  </rv>
  <rv s="2">
    <v>3</v>
    <v>21</v>
    <v>44</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7</v>
  </rv>
  <rv s="4">
    <v>https://www.bing.com/search?q=arizona&amp;form=skydnc</v>
    <v>Learn more on Bing</v>
  </rv>
  <rv s="1">
    <fb>913</fb>
    <v>30</v>
  </rv>
  <rv s="1">
    <fb>50255</fb>
    <v>30</v>
  </rv>
  <rv s="1">
    <fb>167500</fb>
    <v>30</v>
  </rv>
  <rv s="3">
    <v>8</v>
  </rv>
  <rv s="1">
    <fb>2.69</fb>
    <v>25</v>
  </rv>
  <rv s="1">
    <fb>7582384</fb>
    <v>24</v>
  </rv>
  <rv s="1">
    <fb>8.4000000000000005E-2</fb>
    <v>23</v>
  </rv>
  <rv s="1">
    <fb>0.16399999999999998</fb>
    <v>23</v>
  </rv>
  <rv s="1">
    <fb>5.2999999999999999E-2</fb>
    <v>38</v>
  </rv>
  <rv s="1">
    <fb>3.4000000000000002E-2</fb>
    <v>23</v>
  </rv>
  <rv s="1">
    <fb>0.27500000000000002</fb>
    <v>23</v>
  </rv>
  <rv s="1">
    <fb>4.8000000000000001E-2</fb>
    <v>23</v>
  </rv>
  <rv s="1">
    <fb>0.13500000000000001</fb>
    <v>23</v>
  </rv>
  <rv s="1">
    <fb>0.86</fb>
    <v>23</v>
  </rv>
  <rv s="1">
    <fb>0.307</fb>
    <v>23</v>
  </rv>
  <rv s="1">
    <fb>0.59299999999999997</fb>
    <v>23</v>
  </rv>
  <rv s="1">
    <fb>3.0000000000000001E-3</fb>
    <v>23</v>
  </rv>
  <rv s="1">
    <fb>8.199999999999999E-2</fb>
    <v>23</v>
  </rv>
  <rv s="1">
    <fb>0.23800000000000002</fb>
    <v>23</v>
  </rv>
  <rv s="1">
    <fb>6.3E-2</fb>
    <v>23</v>
  </rv>
  <rv s="1">
    <fb>0.83499999999999996</fb>
    <v>23</v>
  </rv>
  <rv s="3">
    <v>9</v>
  </rv>
  <rv s="8">
    <v>#VALUE!</v>
    <v>en-US</v>
    <v>bf973f46-5962-4997-a7ba-a05f1aa2a9f9</v>
    <v>536870912</v>
    <v>1</v>
    <v>47</v>
    <v>48</v>
    <v>Arizona</v>
    <v>19</v>
    <v>20</v>
    <v>Map</v>
    <v>21</v>
    <v>49</v>
    <v>US-AZ</v>
    <v>146</v>
    <v>147</v>
    <v>148</v>
    <v>0</v>
    <v>Arizona is a state in the Southwestern region of the United States, sharing the Four Corners region of the western United States with Colorado, New Mexico, and Utah. It also borders Nevada to the northwest and California to the west, and shares ...</v>
    <v>149</v>
    <v>150</v>
    <v>151</v>
    <v>148</v>
    <v>156</v>
    <v>157</v>
    <v>158</v>
    <v>159</v>
    <v>160</v>
    <v>Arizona</v>
    <v>161</v>
    <v>162</v>
    <v>163</v>
    <v>164</v>
    <v>165</v>
    <v>166</v>
    <v>167</v>
    <v>168</v>
    <v>169</v>
    <v>170</v>
    <v>171</v>
    <v>172</v>
    <v>173</v>
    <v>174</v>
    <v>175</v>
    <v>131</v>
    <v>176</v>
    <v>177</v>
    <v>178</v>
    <v>179</v>
    <v>Arizona</v>
    <v>mdp/vdpid/1945</v>
  </rv>
  <rv s="1">
    <fb>137733</fb>
    <v>24</v>
  </rv>
  <rv s="1">
    <fb>9474</fb>
    <v>24</v>
  </rv>
  <rv s="0">
    <v>536870912</v>
    <v>Little Rock, Arkansas</v>
    <v>2039fcee-c7a5-4241-930b-d2c6d17bae74</v>
    <v>en-US</v>
    <v>Map</v>
  </rv>
  <rv s="1">
    <fb>1138025</fb>
    <v>24</v>
  </rv>
  <rv s="1">
    <fb>1354762</fb>
    <v>24</v>
  </rv>
  <rv s="2">
    <v>4</v>
    <v>21</v>
    <v>50</v>
    <v>7</v>
    <v>0</v>
    <v>Image of Arkansas</v>
  </rv>
  <rv s="0">
    <v>805306368</v>
    <v>Sarah Huckabee Sanders (Governor)</v>
    <v>794a8222-ef7c-184f-be8d-1e95d28290a2</v>
    <v>en-US</v>
    <v>Generic</v>
  </rv>
  <rv s="0">
    <v>805306368</v>
    <v>Leslie Rutledge (Lieutenant governor)</v>
    <v>1df1c81e-109f-d6a6-5a0a-52a5e8e4ee06</v>
    <v>en-US</v>
    <v>Generic</v>
  </rv>
  <rv s="0">
    <v>805306368</v>
    <v>John Boozman (Senate)</v>
    <v>c68cff47-f645-0a65-99db-e7b69235c7dd</v>
    <v>en-US</v>
    <v>Generic</v>
  </rv>
  <rv s="0">
    <v>805306368</v>
    <v>Tom Cotton (Senate)</v>
    <v>b5cb098f-a265-a017-5a94-8fefa33bdbf8</v>
    <v>en-US</v>
    <v>Generic</v>
  </rv>
  <rv s="3">
    <v>10</v>
  </rv>
  <rv s="4">
    <v>https://www.bing.com/search?q=arkansas&amp;form=skydnc</v>
    <v>Learn more on Bing</v>
  </rv>
  <rv s="1">
    <fb>677</fb>
    <v>30</v>
  </rv>
  <rv s="1">
    <fb>41371</fb>
    <v>30</v>
  </rv>
  <rv s="1">
    <fb>111400</fb>
    <v>30</v>
  </rv>
  <rv s="1">
    <fb>2.5299999999999998</fb>
    <v>25</v>
  </rv>
  <rv s="1">
    <fb>3088354</fb>
    <v>24</v>
  </rv>
  <rv s="1">
    <fb>2.5000000000000001E-2</fb>
    <v>23</v>
  </rv>
  <rv s="1">
    <fb>0.16</fb>
    <v>23</v>
  </rv>
  <rv s="1">
    <fb>0.01</fb>
    <v>38</v>
  </rv>
  <rv s="1">
    <fb>1.6E-2</fb>
    <v>23</v>
  </rv>
  <rv s="1">
    <fb>0.21100000000000002</fb>
    <v>23</v>
  </rv>
  <rv s="1">
    <fb>0.157</fb>
    <v>23</v>
  </rv>
  <rv s="1">
    <fb>4.7E-2</fb>
    <v>23</v>
  </rv>
  <rv s="1">
    <fb>0.84799999999999998</fb>
    <v>23</v>
  </rv>
  <rv s="1">
    <fb>7.2000000000000008E-2</fb>
    <v>23</v>
  </rv>
  <rv s="1">
    <fb>0.58499999999999996</fb>
    <v>23</v>
  </rv>
  <rv s="1">
    <fb>0.12300000000000001</fb>
    <v>23</v>
  </rv>
  <rv s="1">
    <fb>0.02</fb>
    <v>23</v>
  </rv>
  <rv s="1">
    <fb>0.23699999999999999</fb>
    <v>23</v>
  </rv>
  <rv s="1">
    <fb>0.79500000000000004</fb>
    <v>23</v>
  </rv>
  <rv s="3">
    <v>11</v>
  </rv>
  <rv s="8">
    <v>#VALUE!</v>
    <v>en-US</v>
    <v>b939db72-08f2-4ea6-a16a-a53bf32e6612</v>
    <v>536870912</v>
    <v>1</v>
    <v>53</v>
    <v>48</v>
    <v>Arkansas</v>
    <v>19</v>
    <v>20</v>
    <v>Map</v>
    <v>21</v>
    <v>49</v>
    <v>US-AR</v>
    <v>181</v>
    <v>182</v>
    <v>183</v>
    <v>0</v>
    <v>Arkansas is a landlocked state in the West South Central region of the Southern United States. It borders Missouri to the north, Tennessee and Mississippi to the east, Louisiana to the south, Texas to the southwest, and Oklahoma to the west. Its ...</v>
    <v>184</v>
    <v>185</v>
    <v>186</v>
    <v>183</v>
    <v>191</v>
    <v>192</v>
    <v>193</v>
    <v>194</v>
    <v>195</v>
    <v>Arkansas</v>
    <v>31</v>
    <v>196</v>
    <v>197</v>
    <v>198</v>
    <v>199</v>
    <v>200</v>
    <v>201</v>
    <v>202</v>
    <v>203</v>
    <v>204</v>
    <v>205</v>
    <v>206</v>
    <v>207</v>
    <v>174</v>
    <v>208</v>
    <v>209</v>
    <v>210</v>
    <v>133</v>
    <v>211</v>
    <v>212</v>
    <v>Arkansas</v>
    <v>mdp/vdpid/1951</v>
  </rv>
  <rv s="1">
    <fb>423970</fb>
    <v>24</v>
  </rv>
  <rv s="1">
    <fb>102350</fb>
    <v>24</v>
  </rv>
  <rv s="0">
    <v>536870912</v>
    <v>Sacramento, California</v>
    <v>4a1a8070-cc3d-4060-af9c-08ccbbca73d7</v>
    <v>en-US</v>
    <v>Map</v>
  </rv>
  <rv s="1">
    <fb>12717801</fb>
    <v>24</v>
  </rv>
  <rv s="1">
    <fb>14060525</fb>
    <v>24</v>
  </rv>
  <rv s="2">
    <v>5</v>
    <v>21</v>
    <v>54</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12</v>
  </rv>
  <rv s="4">
    <v>https://www.bing.com/search?q=california&amp;form=skydnc</v>
    <v>Learn more on Bing</v>
  </rv>
  <rv s="1">
    <fb>1255</fb>
    <v>30</v>
  </rv>
  <rv s="1">
    <fb>61818</fb>
    <v>30</v>
  </rv>
  <rv s="1">
    <fb>385500</fb>
    <v>30</v>
  </rv>
  <rv s="1">
    <fb>2.96</fb>
    <v>25</v>
  </rv>
  <rv s="1">
    <fb>39431263</fb>
    <v>24</v>
  </rv>
  <rv s="1">
    <fb>5.4000000000000006E-2</fb>
    <v>23</v>
  </rv>
  <rv s="1">
    <fb>0.13300000000000001</fb>
    <v>23</v>
  </rv>
  <rv s="1">
    <fb>1.7000000000000001E-2</fb>
    <v>38</v>
  </rv>
  <rv s="1">
    <fb>0.14699999999999999</fb>
    <v>23</v>
  </rv>
  <rv s="1">
    <fb>0.314</fb>
    <v>23</v>
  </rv>
  <rv s="1">
    <fb>6.5000000000000002E-2</fb>
    <v>23</v>
  </rv>
  <rv s="1">
    <fb>0.27</fb>
    <v>23</v>
  </rv>
  <rv s="1">
    <fb>0.81799999999999995</fb>
    <v>23</v>
  </rv>
  <rv s="1">
    <fb>0.38799999999999996</fb>
    <v>23</v>
  </rv>
  <rv s="1">
    <fb>0.63100000000000001</fb>
    <v>23</v>
  </rv>
  <rv s="1">
    <fb>5.0000000000000001E-3</fb>
    <v>23</v>
  </rv>
  <rv s="1">
    <fb>6.8000000000000005E-2</fb>
    <v>23</v>
  </rv>
  <rv s="1">
    <fb>3.7999999999999999E-2</fb>
    <v>23</v>
  </rv>
  <rv s="1">
    <fb>0.23300000000000001</fb>
    <v>23</v>
  </rv>
  <rv s="1">
    <fb>0.72900000000000009</fb>
    <v>23</v>
  </rv>
  <rv s="3">
    <v>13</v>
  </rv>
  <rv s="8">
    <v>#VALUE!</v>
    <v>en-US</v>
    <v>3009d91d-d582-4c34-85ba-772ba09e5be1</v>
    <v>536870912</v>
    <v>1</v>
    <v>57</v>
    <v>48</v>
    <v>California</v>
    <v>19</v>
    <v>20</v>
    <v>Map</v>
    <v>21</v>
    <v>49</v>
    <v>US-CA</v>
    <v>214</v>
    <v>215</v>
    <v>216</v>
    <v>0</v>
    <v>California is a state in the Western region of the United States that lies on the Pacific Coast. It borders Oregon to the north, Nevada and Arizona to the east, and shares an international border with the Mexican state of Baja California to the ...</v>
    <v>217</v>
    <v>218</v>
    <v>219</v>
    <v>220</v>
    <v>225</v>
    <v>226</v>
    <v>227</v>
    <v>228</v>
    <v>229</v>
    <v>California</v>
    <v>161</v>
    <v>230</v>
    <v>231</v>
    <v>232</v>
    <v>233</v>
    <v>234</v>
    <v>235</v>
    <v>236</v>
    <v>237</v>
    <v>238</v>
    <v>239</v>
    <v>240</v>
    <v>241</v>
    <v>242</v>
    <v>243</v>
    <v>244</v>
    <v>245</v>
    <v>133</v>
    <v>246</v>
    <v>247</v>
    <v>California</v>
    <v>mdp/vdpid/5599</v>
  </rv>
  <rv s="1">
    <fb>269837</fb>
    <v>24</v>
  </rv>
  <rv s="1">
    <fb>38974</fb>
    <v>24</v>
  </rv>
  <rv s="0">
    <v>536870912</v>
    <v>Denver</v>
    <v>5a7229b6-72d3-4bfc-a95e-9c35e297c9ff</v>
    <v>en-US</v>
    <v>Map</v>
  </rv>
  <rv s="1">
    <fb>2024468</fb>
    <v>24</v>
  </rv>
  <rv s="1">
    <fb>2339118</fb>
    <v>24</v>
  </rv>
  <rv s="2">
    <v>6</v>
    <v>21</v>
    <v>58</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3">
    <v>14</v>
  </rv>
  <rv s="4">
    <v>https://www.bing.com/search?q=colorado&amp;form=skydnc</v>
    <v>Learn more on Bing</v>
  </rv>
  <rv s="1">
    <fb>1002</fb>
    <v>30</v>
  </rv>
  <rv s="1">
    <fb>60629</fb>
    <v>30</v>
  </rv>
  <rv s="1">
    <fb>247800</fb>
    <v>30</v>
  </rv>
  <rv s="1">
    <fb>2.5499999999999998</fb>
    <v>25</v>
  </rv>
  <rv s="1">
    <fb>5957493</fb>
    <v>24</v>
  </rv>
  <rv s="1">
    <fb>0.10199999999999999</fb>
    <v>23</v>
  </rv>
  <rv s="1">
    <fb>0.13</fb>
    <v>23</v>
  </rv>
  <rv s="1">
    <fb>1.6E-2</fb>
    <v>38</v>
  </rv>
  <rv s="1">
    <fb>3.2000000000000001E-2</fb>
    <v>23</v>
  </rv>
  <rv s="1">
    <fb>0.38100000000000001</fb>
    <v>23</v>
  </rv>
  <rv s="1">
    <fb>4.4999999999999998E-2</fb>
    <v>23</v>
  </rv>
  <rv s="1">
    <fb>9.8000000000000004E-2</fb>
    <v>23</v>
  </rv>
  <rv s="1">
    <fb>0.90700000000000003</fb>
    <v>23</v>
  </rv>
  <rv s="1">
    <fb>0.21299999999999999</fb>
    <v>23</v>
  </rv>
  <rv s="1">
    <fb>0.67599999999999993</fb>
    <v>23</v>
  </rv>
  <rv s="1">
    <fb>2.8999999999999998E-2</fb>
    <v>23</v>
  </rv>
  <rv s="1">
    <fb>0.23</fb>
    <v>23</v>
  </rv>
  <rv s="1">
    <fb>6.2E-2</fb>
    <v>23</v>
  </rv>
  <rv s="1">
    <fb>0.875</fb>
    <v>23</v>
  </rv>
  <rv s="3">
    <v>15</v>
  </rv>
  <rv s="8">
    <v>#VALUE!</v>
    <v>en-US</v>
    <v>a070c5c2-b22d-41d8-b869-f20e583c4f80</v>
    <v>536870912</v>
    <v>1</v>
    <v>61</v>
    <v>48</v>
    <v>Colorado</v>
    <v>19</v>
    <v>20</v>
    <v>Map</v>
    <v>21</v>
    <v>49</v>
    <v>US-CO</v>
    <v>249</v>
    <v>250</v>
    <v>251</v>
    <v>0</v>
    <v>Colorado is a state in the Western United States. It is one of the Mountain states, sharing the Four Corners region with Arizona, New Mexico, and Utah. It is also bordered by Wyoming to the north, Nebraska to the northeast, Kansas to the east, ...</v>
    <v>252</v>
    <v>253</v>
    <v>254</v>
    <v>251</v>
    <v>259</v>
    <v>260</v>
    <v>261</v>
    <v>262</v>
    <v>263</v>
    <v>Colorado</v>
    <v>161</v>
    <v>264</v>
    <v>265</v>
    <v>266</v>
    <v>267</v>
    <v>268</v>
    <v>269</v>
    <v>270</v>
    <v>271</v>
    <v>272</v>
    <v>273</v>
    <v>274</v>
    <v>275</v>
    <v>129</v>
    <v>206</v>
    <v>276</v>
    <v>277</v>
    <v>278</v>
    <v>279</v>
    <v>280</v>
    <v>Colorado</v>
    <v>mdp/vdpid/7636</v>
  </rv>
  <rv s="1">
    <fb>14357</fb>
    <v>24</v>
  </rv>
  <rv s="1">
    <fb>5504</fb>
    <v>24</v>
  </rv>
  <rv s="0">
    <v>536870912</v>
    <v>Hartford, Connecticut</v>
    <v>b8b8ebf2-e2da-483f-8643-880dd55aad13</v>
    <v>en-US</v>
    <v>Map</v>
  </rv>
  <rv s="1">
    <fb>1352583</fb>
    <v>24</v>
  </rv>
  <rv s="1">
    <fb>1499116</fb>
    <v>24</v>
  </rv>
  <rv s="2">
    <v>7</v>
    <v>21</v>
    <v>62</v>
    <v>7</v>
    <v>0</v>
    <v>Image of Connecticut</v>
  </rv>
  <rv s="0">
    <v>536870912</v>
    <v>Bridgeport, Connecticut</v>
    <v>a8869591-489d-40ba-b80b-b6d1e6c19391</v>
    <v>en-US</v>
    <v>Map</v>
  </rv>
  <rv s="0">
    <v>805306368</v>
    <v>Ned Lamont (Governor)</v>
    <v>3685f682-77d1-4823-3b8f-bcb46698ef70</v>
    <v>en-US</v>
    <v>Generic</v>
  </rv>
  <rv s="0">
    <v>805306368</v>
    <v>Susan Bysiewicz (Lieutenant governor)</v>
    <v>e8219547-8f75-e4f3-3f07-7b5df6eb7c4c</v>
    <v>en-US</v>
    <v>Generic</v>
  </rv>
  <rv s="0">
    <v>805306368</v>
    <v>Richard Blumenthal (Senate)</v>
    <v>4e6038a9-b7ca-bb9c-0d4b-a75013d4185b</v>
    <v>en-US</v>
    <v>Generic</v>
  </rv>
  <rv s="0">
    <v>805306368</v>
    <v>Chris Murphy (Senate)</v>
    <v>693665e4-3df7-8219-3f37-3d54910459d6</v>
    <v>en-US</v>
    <v>Generic</v>
  </rv>
  <rv s="3">
    <v>16</v>
  </rv>
  <rv s="4">
    <v>https://www.bing.com/search?q=connecticut&amp;form=skydnc</v>
    <v>Learn more on Bing</v>
  </rv>
  <rv s="1">
    <fb>1075</fb>
    <v>30</v>
  </rv>
  <rv s="1">
    <fb>70331</fb>
    <v>30</v>
  </rv>
  <rv s="1">
    <fb>270500</fb>
    <v>30</v>
  </rv>
  <rv s="1">
    <fb>2.57</fb>
    <v>25</v>
  </rv>
  <rv s="1">
    <fb>3675069</fb>
    <v>24</v>
  </rv>
  <rv s="1">
    <fb>1E-3</fb>
    <v>23</v>
  </rv>
  <rv s="1">
    <fb>0.158</fb>
    <v>23</v>
  </rv>
  <rv s="1">
    <fb>5.0000000000000001E-3</fb>
    <v>38</v>
  </rv>
  <rv s="1">
    <fb>4.5999999999999999E-2</fb>
    <v>23</v>
  </rv>
  <rv s="1">
    <fb>0.376</fb>
    <v>23</v>
  </rv>
  <rv s="1">
    <fb>0.11599999999999999</fb>
    <v>23</v>
  </rv>
  <rv s="1">
    <fb>0.13900000000000001</fb>
    <v>23</v>
  </rv>
  <rv s="1">
    <fb>0.89900000000000002</fb>
    <v>23</v>
  </rv>
  <rv s="1">
    <fb>0.154</fb>
    <v>23</v>
  </rv>
  <rv s="1">
    <fb>0.67200000000000004</fb>
    <v>23</v>
  </rv>
  <rv s="1">
    <fb>7.0999999999999994E-2</fb>
    <v>23</v>
  </rv>
  <rv s="1">
    <fb>2.2000000000000002E-2</fb>
    <v>23</v>
  </rv>
  <rv s="1">
    <fb>5.2000000000000005E-2</fb>
    <v>23</v>
  </rv>
  <rv s="1">
    <fb>0.80799999999999994</fb>
    <v>23</v>
  </rv>
  <rv s="9">
    <v>#VALUE!</v>
    <v>en-US</v>
    <v>b3ca6523-435e-4a3b-8f78-1ad900a52cf8</v>
    <v>536870912</v>
    <v>1</v>
    <v>65</v>
    <v>66</v>
    <v>Connecticut</v>
    <v>19</v>
    <v>20</v>
    <v>Map</v>
    <v>21</v>
    <v>49</v>
    <v>US-CT</v>
    <v>282</v>
    <v>283</v>
    <v>284</v>
    <v>0</v>
    <v>Connecticut is a state in the New England region of the Northeastern United States. It borders Rhode Island to the east, Massachusetts to the north, New York to the west, and Long Island Sound to the south. Its capital is Hartford, and its most ...</v>
    <v>285</v>
    <v>286</v>
    <v>287</v>
    <v>288</v>
    <v>293</v>
    <v>294</v>
    <v>295</v>
    <v>296</v>
    <v>297</v>
    <v>Connecticut</v>
    <v>298</v>
    <v>299</v>
    <v>300</v>
    <v>301</v>
    <v>302</v>
    <v>303</v>
    <v>304</v>
    <v>305</v>
    <v>306</v>
    <v>307</v>
    <v>308</v>
    <v>309</v>
    <v>300</v>
    <v>310</v>
    <v>311</v>
    <v>274</v>
    <v>312</v>
    <v>313</v>
    <v>135</v>
    <v>Connecticut</v>
    <v>mdp/vdpid/7798</v>
  </rv>
  <rv s="1">
    <fb>170304</fb>
    <v>24</v>
  </rv>
  <rv s="1">
    <fb>116240</fb>
    <v>24</v>
  </rv>
  <rv s="0">
    <v>536870912</v>
    <v>Tallahassee, Florida</v>
    <v>fe8036d9-2764-4483-9405-f07a59b69915</v>
    <v>en-US</v>
    <v>Map</v>
  </rv>
  <rv s="1">
    <fb>7300494</fb>
    <v>24</v>
  </rv>
  <rv s="1">
    <fb>9301642</fb>
    <v>24</v>
  </rv>
  <rv s="2">
    <v>8</v>
    <v>21</v>
    <v>67</v>
    <v>7</v>
    <v>0</v>
    <v>Image of Florida</v>
  </rv>
  <rv s="0">
    <v>536870912</v>
    <v>Jacksonville, Florida</v>
    <v>8bd6021b-ea7f-4470-a29b-042b1c82e07f</v>
    <v>en-US</v>
    <v>Map</v>
  </rv>
  <rv s="0">
    <v>805306368</v>
    <v>Ron DeSantis (Governor)</v>
    <v>1ed346c3-9ad7-8e78-ae55-5ed54b15749a</v>
    <v>en-US</v>
    <v>Generic</v>
  </rv>
  <rv s="0">
    <v>805306368</v>
    <v>Rick Scott (Senate)</v>
    <v>7a306d31-0926-baab-a271-b42913720a93</v>
    <v>en-US</v>
    <v>Generic</v>
  </rv>
  <rv s="0">
    <v>805306368</v>
    <v>Ashley Moody (Senate)</v>
    <v>65cb4204-9d4c-cb8d-a4f0-22efc12fd008</v>
    <v>en-US</v>
    <v>Generic</v>
  </rv>
  <rv s="3">
    <v>17</v>
  </rv>
  <rv s="4">
    <v>https://www.bing.com/search?q=florida&amp;form=skydnc</v>
    <v>Learn more on Bing</v>
  </rv>
  <rv s="1">
    <fb>47507</fb>
    <v>30</v>
  </rv>
  <rv s="1">
    <fb>159000</fb>
    <v>30</v>
  </rv>
  <rv s="1">
    <fb>2.63</fb>
    <v>25</v>
  </rv>
  <rv s="1">
    <fb>23372215</fb>
    <v>24</v>
  </rv>
  <rv s="1">
    <fb>9.6000000000000002E-2</fb>
    <v>23</v>
  </rv>
  <rv s="1">
    <fb>0.19399999999999998</fb>
    <v>23</v>
  </rv>
  <rv s="1">
    <fb>2.7999999999999997E-2</fb>
    <v>23</v>
  </rv>
  <rv s="1">
    <fb>0.27300000000000002</fb>
    <v>23</v>
  </rv>
  <rv s="1">
    <fb>0.16800000000000001</fb>
    <v>23</v>
  </rv>
  <rv s="1">
    <fb>0.19699999999999998</fb>
    <v>23</v>
  </rv>
  <rv s="1">
    <fb>0.86900000000000011</fb>
    <v>23</v>
  </rv>
  <rv s="1">
    <fb>0.245</fb>
    <v>23</v>
  </rv>
  <rv s="1">
    <fb>0.58799999999999997</fb>
    <v>23</v>
  </rv>
  <rv s="1">
    <fb>8.5000000000000006E-2</fb>
    <v>23</v>
  </rv>
  <rv s="1">
    <fb>0.20300000000000001</fb>
    <v>23</v>
  </rv>
  <rv s="1">
    <fb>0.77700000000000002</fb>
    <v>23</v>
  </rv>
  <rv s="3">
    <v>18</v>
  </rv>
  <rv s="8">
    <v>#VALUE!</v>
    <v>en-US</v>
    <v>5fece3f4-e8e8-4159-843e-f725a930ad50</v>
    <v>536870912</v>
    <v>1</v>
    <v>70</v>
    <v>48</v>
    <v>Florida</v>
    <v>19</v>
    <v>20</v>
    <v>Map</v>
    <v>21</v>
    <v>49</v>
    <v>US-FL</v>
    <v>315</v>
    <v>316</v>
    <v>317</v>
    <v>0</v>
    <v>Florida is a state in the Southeastern region of the United States. It borders the Gulf of Mexico to the west, Alabama to the northwest, Georgia to the north, the Atlantic Ocean to the east, and the Straits of Florida and Cuba to the south. ...</v>
    <v>318</v>
    <v>319</v>
    <v>320</v>
    <v>321</v>
    <v>325</v>
    <v>326</v>
    <v>261</v>
    <v>327</v>
    <v>328</v>
    <v>Florida</v>
    <v>161</v>
    <v>329</v>
    <v>330</v>
    <v>331</v>
    <v>332</v>
    <v>302</v>
    <v>333</v>
    <v>334</v>
    <v>335</v>
    <v>336</v>
    <v>337</v>
    <v>338</v>
    <v>339</v>
    <v>300</v>
    <v>340</v>
    <v>209</v>
    <v>341</v>
    <v>232</v>
    <v>342</v>
    <v>343</v>
    <v>Florida</v>
    <v>mdp/vdpid/11032</v>
  </rv>
  <rv s="1">
    <fb>153909</fb>
    <v>24</v>
  </rv>
  <rv s="1">
    <fb>51675</fb>
    <v>24</v>
  </rv>
  <rv s="0">
    <v>536870912</v>
    <v>Atlanta</v>
    <v>1a92f3fa-61f9-4e89-b606-40c945cf18d1</v>
    <v>en-US</v>
    <v>Map</v>
  </rv>
  <rv s="1">
    <fb>3574362</fb>
    <v>24</v>
  </rv>
  <rv s="1">
    <fb>4218776</fb>
    <v>24</v>
  </rv>
  <rv s="2">
    <v>9</v>
    <v>21</v>
    <v>71</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19</v>
  </rv>
  <rv s="4">
    <v>https://www.bing.com/search?q=georgia+u+s+state&amp;form=skydnc</v>
    <v>Learn more on Bing</v>
  </rv>
  <rv s="1">
    <fb>879</fb>
    <v>30</v>
  </rv>
  <rv s="1">
    <fb>49620</fb>
    <v>30</v>
  </rv>
  <rv s="1">
    <fb>148100</fb>
    <v>30</v>
  </rv>
  <rv s="1">
    <fb>2.73</fb>
    <v>25</v>
  </rv>
  <rv s="1">
    <fb>11180878</fb>
    <v>24</v>
  </rv>
  <rv s="1">
    <fb>0.128</fb>
    <v>23</v>
  </rv>
  <rv s="1">
    <fb>0.04</fb>
    <v>23</v>
  </rv>
  <rv s="1">
    <fb>0.28800000000000003</fb>
    <v>23</v>
  </rv>
  <rv s="1">
    <fb>0.317</fb>
    <v>23</v>
  </rv>
  <rv s="1">
    <fb>0.85400000000000009</fb>
    <v>23</v>
  </rv>
  <rv s="1">
    <fb>9.4E-2</fb>
    <v>23</v>
  </rv>
  <rv s="1">
    <fb>0.623</fb>
    <v>23</v>
  </rv>
  <rv s="1">
    <fb>8.8000000000000009E-2</fb>
    <v>23</v>
  </rv>
  <rv s="1">
    <fb>0.61599999999999999</fb>
    <v>23</v>
  </rv>
  <rv s="8">
    <v>#VALUE!</v>
    <v>en-US</v>
    <v>84604bc7-2c47-4f8d-8ea5-b6ac8c018a20</v>
    <v>536870912</v>
    <v>1</v>
    <v>74</v>
    <v>48</v>
    <v>Georgia</v>
    <v>19</v>
    <v>20</v>
    <v>Map</v>
    <v>21</v>
    <v>49</v>
    <v>US-GA</v>
    <v>345</v>
    <v>346</v>
    <v>347</v>
    <v>0</v>
    <v>Georgia, officially the State of Georgia, is a state in the Southeastern region of the United States. It borders Tennessee and North Carolina to the north, South Carolina and the Atlantic Ocean to the east, Florida to the south, and Alabama to ...</v>
    <v>348</v>
    <v>349</v>
    <v>350</v>
    <v>347</v>
    <v>355</v>
    <v>356</v>
    <v>357</v>
    <v>358</v>
    <v>359</v>
    <v>Georgia</v>
    <v>161</v>
    <v>360</v>
    <v>361</v>
    <v>133</v>
    <v>362</v>
    <v>302</v>
    <v>363</v>
    <v>364</v>
    <v>365</v>
    <v>272</v>
    <v>366</v>
    <v>367</v>
    <v>368</v>
    <v>300</v>
    <v>369</v>
    <v>209</v>
    <v>338</v>
    <v>237</v>
    <v>370</v>
    <v>135</v>
    <v>Georgia</v>
    <v>mdp/vdpid/12004</v>
  </rv>
  <rv s="1">
    <fb>149998</fb>
    <v>24</v>
  </rv>
  <rv s="1">
    <fb>22603</fb>
    <v>24</v>
  </rv>
  <rv s="0">
    <v>536870912</v>
    <v>Springfield, Illinois</v>
    <v>dc562bf8-bf83-4505-8a1b-0bdb5bd605f8</v>
    <v>en-US</v>
    <v>Map</v>
  </rv>
  <rv s="1">
    <fb>4786388</fb>
    <v>24</v>
  </rv>
  <rv s="1">
    <fb>5326970</fb>
    <v>24</v>
  </rv>
  <rv s="2">
    <v>10</v>
    <v>21</v>
    <v>75</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20</v>
  </rv>
  <rv s="4">
    <v>https://www.bing.com/search?q=illinois&amp;form=skydnc</v>
    <v>Learn more on Bing</v>
  </rv>
  <rv s="1">
    <fb>907</fb>
    <v>30</v>
  </rv>
  <rv s="1">
    <fb>57574</fb>
    <v>30</v>
  </rv>
  <rv s="1">
    <fb>173800</fb>
    <v>30</v>
  </rv>
  <rv s="1">
    <fb>12710158</fb>
    <v>24</v>
  </rv>
  <rv s="1">
    <fb>-2E-3</fb>
    <v>23</v>
  </rv>
  <rv s="1">
    <fb>0.14199999999999999</fb>
    <v>23</v>
  </rv>
  <rv s="1">
    <fb>5.5E-2</fb>
    <v>23</v>
  </rv>
  <rv s="1">
    <fb>0.32299999999999995</fb>
    <v>23</v>
  </rv>
  <rv s="1">
    <fb>0.14000000000000001</fb>
    <v>23</v>
  </rv>
  <rv s="1">
    <fb>0.879</fb>
    <v>23</v>
  </rv>
  <rv s="1">
    <fb>0.16899999999999998</fb>
    <v>23</v>
  </rv>
  <rv s="1">
    <fb>0.65599999999999992</fb>
    <v>23</v>
  </rv>
  <rv s="1">
    <fb>1.9E-2</fb>
    <v>23</v>
  </rv>
  <rv s="1">
    <fb>6.0999999999999999E-2</fb>
    <v>23</v>
  </rv>
  <rv s="1">
    <fb>0.77300000000000002</fb>
    <v>23</v>
  </rv>
  <rv s="8">
    <v>#VALUE!</v>
    <v>en-US</v>
    <v>4131acb8-628a-4241-8920-ca79eab9dade</v>
    <v>536870912</v>
    <v>1</v>
    <v>78</v>
    <v>48</v>
    <v>Illinois</v>
    <v>19</v>
    <v>20</v>
    <v>Map</v>
    <v>21</v>
    <v>49</v>
    <v>US-IL</v>
    <v>372</v>
    <v>373</v>
    <v>374</v>
    <v>0</v>
    <v>Illinois is a state in the Midwestern region of the United States. It borders on Lake Michigan to its northeast, the Mississippi River to its west, and the Wabash and Ohio rivers to its south. Of the fifty U.S. states, Illinois has the ...</v>
    <v>375</v>
    <v>376</v>
    <v>377</v>
    <v>378</v>
    <v>383</v>
    <v>384</v>
    <v>385</v>
    <v>386</v>
    <v>387</v>
    <v>Illinois</v>
    <v>161</v>
    <v>329</v>
    <v>388</v>
    <v>389</v>
    <v>390</v>
    <v>121</v>
    <v>391</v>
    <v>392</v>
    <v>235</v>
    <v>393</v>
    <v>394</v>
    <v>395</v>
    <v>396</v>
    <v>300</v>
    <v>310</v>
    <v>397</v>
    <v>277</v>
    <v>398</v>
    <v>399</v>
    <v>212</v>
    <v>Illinois</v>
    <v>mdp/vdpid/14808</v>
  </rv>
  <rv s="1">
    <fb>145746</fb>
    <v>24</v>
  </rv>
  <rv s="1">
    <fb>14317</fb>
    <v>24</v>
  </rv>
  <rv s="0">
    <v>536870912</v>
    <v>Des Moines, Iowa</v>
    <v>a4592975-b658-4874-8c06-906edcde2841</v>
    <v>en-US</v>
    <v>Map</v>
  </rv>
  <rv s="1">
    <fb>1236409</fb>
    <v>24</v>
  </rv>
  <rv s="1">
    <fb>1380162</fb>
    <v>24</v>
  </rv>
  <rv s="2">
    <v>11</v>
    <v>21</v>
    <v>79</v>
    <v>7</v>
    <v>0</v>
    <v>Image of Iowa</v>
  </rv>
  <rv s="0">
    <v>805306368</v>
    <v>Kim Reynolds (Governor)</v>
    <v>5a53cf17-9d69-0115-9fad-e65c96b79e58</v>
    <v>en-US</v>
    <v>Generic</v>
  </rv>
  <rv s="0">
    <v>805306368</v>
    <v>Chris Cournoyer (Lieutenant governor)</v>
    <v>d2566884-653d-afdb-e4d1-04b498ecb005</v>
    <v>en-US</v>
    <v>Generic</v>
  </rv>
  <rv s="0">
    <v>805306368</v>
    <v>Chuck Grassley (Senate)</v>
    <v>f108a253-5d62-c018-e5c0-3962d9ca0a9b</v>
    <v>en-US</v>
    <v>Generic</v>
  </rv>
  <rv s="0">
    <v>805306368</v>
    <v>Joni Ernst (Senate)</v>
    <v>6b45ca38-e2ee-e00e-7985-25132e676665</v>
    <v>en-US</v>
    <v>Generic</v>
  </rv>
  <rv s="3">
    <v>21</v>
  </rv>
  <rv s="4">
    <v>https://www.bing.com/search?q=iowa&amp;form=skydnc</v>
    <v>Learn more on Bing</v>
  </rv>
  <rv s="1">
    <fb>697</fb>
    <v>30</v>
  </rv>
  <rv s="1">
    <fb>53183</fb>
    <v>30</v>
  </rv>
  <rv s="1">
    <fb>129200</fb>
    <v>30</v>
  </rv>
  <rv s="1">
    <fb>2.42</fb>
    <v>25</v>
  </rv>
  <rv s="1">
    <fb>3241488</fb>
    <v>24</v>
  </rv>
  <rv s="1">
    <fb>0.161</fb>
    <v>23</v>
  </rv>
  <rv s="1">
    <fb>2.4E-2</fb>
    <v>23</v>
  </rv>
  <rv s="1">
    <fb>0.26700000000000002</fb>
    <v>23</v>
  </rv>
  <rv s="1">
    <fb>3.5000000000000003E-2</fb>
    <v>23</v>
  </rv>
  <rv s="1">
    <fb>0.91500000000000004</fb>
    <v>23</v>
  </rv>
  <rv s="1">
    <fb>5.7000000000000002E-2</fb>
    <v>23</v>
  </rv>
  <rv s="1">
    <fb>7.9000000000000001E-2</fb>
    <v>23</v>
  </rv>
  <rv s="1">
    <fb>1.8000000000000002E-2</fb>
    <v>23</v>
  </rv>
  <rv s="1">
    <fb>0.91799999999999993</fb>
    <v>23</v>
  </rv>
  <rv s="8">
    <v>#VALUE!</v>
    <v>en-US</v>
    <v>77850824-b07a-487a-af58-37f9949afc27</v>
    <v>536870912</v>
    <v>1</v>
    <v>82</v>
    <v>48</v>
    <v>Iowa</v>
    <v>19</v>
    <v>20</v>
    <v>Map</v>
    <v>21</v>
    <v>49</v>
    <v>US-IA</v>
    <v>401</v>
    <v>402</v>
    <v>403</v>
    <v>0</v>
    <v>Iowa is a state in the upper Midwestern region of the United States. It borders the Mississippi River to the east and the Missouri River and Big Sioux River to the west; Wisconsin to the northeast, Illinois to the east and southeast, Missouri to ...</v>
    <v>404</v>
    <v>405</v>
    <v>406</v>
    <v>403</v>
    <v>411</v>
    <v>412</v>
    <v>413</v>
    <v>414</v>
    <v>415</v>
    <v>Iowa</v>
    <v>161</v>
    <v>416</v>
    <v>417</v>
    <v>276</v>
    <v>418</v>
    <v>302</v>
    <v>419</v>
    <v>420</v>
    <v>421</v>
    <v>204</v>
    <v>422</v>
    <v>423</v>
    <v>275</v>
    <v>300</v>
    <v>424</v>
    <v>425</v>
    <v>245</v>
    <v>177</v>
    <v>426</v>
    <v>212</v>
    <v>Iowa</v>
    <v>mdp/vdpid/14987</v>
  </rv>
  <rv s="1">
    <fb>135382</fb>
    <v>24</v>
  </rv>
  <rv s="1">
    <fb>14503</fb>
    <v>24</v>
  </rv>
  <rv s="0">
    <v>536870912</v>
    <v>Baton Rouge, Louisiana</v>
    <v>dc17dbc5-08e4-4782-8f58-e5ce764122b6</v>
    <v>en-US</v>
    <v>Map</v>
  </rv>
  <rv s="1">
    <fb>1727919</fb>
    <v>24</v>
  </rv>
  <rv s="1">
    <fb>2036975</fb>
    <v>24</v>
  </rv>
  <rv s="2">
    <v>12</v>
    <v>21</v>
    <v>83</v>
    <v>7</v>
    <v>0</v>
    <v>Image of Louisiana</v>
  </rv>
  <rv s="0">
    <v>536870912</v>
    <v>New Orleans</v>
    <v>465e78cf-aa9a-491f-9167-4520c7110824</v>
    <v>en-US</v>
    <v>Map</v>
  </rv>
  <rv s="0">
    <v>805306368</v>
    <v>Jeff Landry (Governor)</v>
    <v>d492bfcb-cae8-2b79-02a0-bd16694ca8f1</v>
    <v>en-US</v>
    <v>Generic</v>
  </rv>
  <rv s="0">
    <v>805306368</v>
    <v>Billy Nungesser (Lieutenant governor)</v>
    <v>edba98a9-8f96-5d5f-2a33-d387284d930d</v>
    <v>en-US</v>
    <v>Generic</v>
  </rv>
  <rv s="0">
    <v>805306368</v>
    <v>Bill Cassidy (Senate)</v>
    <v>23d46db6-3b3f-47f4-80e7-ed2027ac6347</v>
    <v>en-US</v>
    <v>Generic</v>
  </rv>
  <rv s="0">
    <v>805306368</v>
    <v>John Kennedy (Senate)</v>
    <v>e3825889-48aa-6c64-9811-067af6c09e88</v>
    <v>en-US</v>
    <v>Generic</v>
  </rv>
  <rv s="3">
    <v>22</v>
  </rv>
  <rv s="4">
    <v>https://www.bing.com/search?q=louisiana&amp;form=skydnc</v>
    <v>Learn more on Bing</v>
  </rv>
  <rv s="1">
    <fb>788</fb>
    <v>30</v>
  </rv>
  <rv s="1">
    <fb>45047</fb>
    <v>30</v>
  </rv>
  <rv s="1">
    <fb>144100</fb>
    <v>30</v>
  </rv>
  <rv s="3">
    <v>23</v>
  </rv>
  <rv s="1">
    <fb>2.6</fb>
    <v>25</v>
  </rv>
  <rv s="1">
    <fb>4597740</fb>
    <v>24</v>
  </rv>
  <rv s="1">
    <fb>3.3000000000000002E-2</fb>
    <v>23</v>
  </rv>
  <rv s="1">
    <fb>8.0000000000000002E-3</fb>
    <v>38</v>
  </rv>
  <rv s="1">
    <fb>0.22500000000000001</fb>
    <v>23</v>
  </rv>
  <rv s="1">
    <fb>0.32500000000000001</fb>
    <v>23</v>
  </rv>
  <rv s="1">
    <fb>0.83400000000000007</fb>
    <v>23</v>
  </rv>
  <rv s="1">
    <fb>0.05</fb>
    <v>23</v>
  </rv>
  <rv s="1">
    <fb>0.60399999999999998</fb>
    <v>23</v>
  </rv>
  <rv s="1">
    <fb>0.11</fb>
    <v>23</v>
  </rv>
  <rv s="1">
    <fb>0.23899999999999999</fb>
    <v>23</v>
  </rv>
  <rv s="1">
    <fb>6.7000000000000004E-2</fb>
    <v>23</v>
  </rv>
  <rv s="1">
    <fb>0.63200000000000001</fb>
    <v>23</v>
  </rv>
  <rv s="8">
    <v>#VALUE!</v>
    <v>en-US</v>
    <v>0ca1e87f-e2f6-43fb-8deb-d22bd09a9cae</v>
    <v>536870912</v>
    <v>1</v>
    <v>86</v>
    <v>48</v>
    <v>Louisiana</v>
    <v>19</v>
    <v>20</v>
    <v>Map</v>
    <v>21</v>
    <v>49</v>
    <v>US-LA</v>
    <v>428</v>
    <v>429</v>
    <v>430</v>
    <v>0</v>
    <v>Louisiana is a state in the Deep South and South Central regions of the United States. It borders Texas to the west, Arkansas to the north, and Mississippi to the east. Of the 50 U.S. states, it ranks 31st in area and 25th in population, with ...</v>
    <v>431</v>
    <v>432</v>
    <v>433</v>
    <v>434</v>
    <v>439</v>
    <v>440</v>
    <v>441</v>
    <v>442</v>
    <v>443</v>
    <v>Louisiana</v>
    <v>444</v>
    <v>445</v>
    <v>446</v>
    <v>447</v>
    <v>393</v>
    <v>448</v>
    <v>425</v>
    <v>449</v>
    <v>450</v>
    <v>363</v>
    <v>451</v>
    <v>452</v>
    <v>453</v>
    <v>300</v>
    <v>454</v>
    <v>201</v>
    <v>455</v>
    <v>456</v>
    <v>457</v>
    <v>212</v>
    <v>Louisiana</v>
    <v>mdp/vdpid/19283</v>
  </rv>
  <rv s="1">
    <fb>27336</fb>
    <v>24</v>
  </rv>
  <rv s="1">
    <fb>16288</fb>
    <v>24</v>
  </rv>
  <rv s="0">
    <v>536870912</v>
    <v>Boston</v>
    <v>f0f5899a-361f-4fe4-89d1-11130aa2c653</v>
    <v>en-US</v>
    <v>Map</v>
  </rv>
  <rv s="1">
    <fb>2549721</fb>
    <v>24</v>
  </rv>
  <rv s="1">
    <fb>2858026</fb>
    <v>24</v>
  </rv>
  <rv s="2">
    <v>13</v>
    <v>21</v>
    <v>87</v>
    <v>7</v>
    <v>0</v>
    <v>Image of Massachusetts</v>
  </rv>
  <rv s="0">
    <v>805306368</v>
    <v>Maura Healey (Governor)</v>
    <v>16f75b4a-61cd-c874-f8be-b832c93cc2f9</v>
    <v>en-US</v>
    <v>Generic</v>
  </rv>
  <rv s="0">
    <v>805306368</v>
    <v>Kim Driscoll (Lieutenant governor)</v>
    <v>49e728c3-181d-48d9-8e7d-8c9fef062e0e</v>
    <v>en-US</v>
    <v>Generic</v>
  </rv>
  <rv s="0">
    <v>805306368</v>
    <v>Elizabeth Warren (Senate)</v>
    <v>8c35b43e-b645-d791-7a5c-305ebcc23f83</v>
    <v>en-US</v>
    <v>Generic</v>
  </rv>
  <rv s="0">
    <v>805306368</v>
    <v>Ed Markey (Senate)</v>
    <v>a9ec6fce-5147-02f1-0a7e-53c0f484c57c</v>
    <v>en-US</v>
    <v>Generic</v>
  </rv>
  <rv s="3">
    <v>24</v>
  </rv>
  <rv s="4">
    <v>https://www.bing.com/search?q=massachusetts&amp;form=skydnc</v>
    <v>Learn more on Bing</v>
  </rv>
  <rv s="1">
    <fb>1102</fb>
    <v>30</v>
  </rv>
  <rv s="1">
    <fb>68563</fb>
    <v>30</v>
  </rv>
  <rv s="1">
    <fb>333100</fb>
    <v>30</v>
  </rv>
  <rv s="1">
    <fb>7136171</fb>
    <v>24</v>
  </rv>
  <rv s="1">
    <fb>6.6000000000000003E-2</fb>
    <v>23</v>
  </rv>
  <rv s="1">
    <fb>0.40500000000000003</fb>
    <v>23</v>
  </rv>
  <rv s="1">
    <fb>0.155</fb>
    <v>23</v>
  </rv>
  <rv s="1">
    <fb>0.89800000000000002</fb>
    <v>23</v>
  </rv>
  <rv s="1">
    <fb>0.11199999999999999</fb>
    <v>23</v>
  </rv>
  <rv s="1">
    <fb>0.67500000000000004</fb>
    <v>23</v>
  </rv>
  <rv s="1">
    <fb>2.3E-2</fb>
    <v>23</v>
  </rv>
  <rv s="1">
    <fb>0.20399999999999999</fb>
    <v>23</v>
  </rv>
  <rv s="1">
    <fb>0.82099999999999995</fb>
    <v>23</v>
  </rv>
  <rv s="8">
    <v>#VALUE!</v>
    <v>en-US</v>
    <v>845219d5-3650-4199-b926-964ca27c863c</v>
    <v>536870912</v>
    <v>1</v>
    <v>90</v>
    <v>48</v>
    <v>Massachusetts</v>
    <v>19</v>
    <v>20</v>
    <v>Map</v>
    <v>21</v>
    <v>49</v>
    <v>US-MA</v>
    <v>459</v>
    <v>460</v>
    <v>461</v>
    <v>0</v>
    <v>Massachusetts, officially the Commonwealth of Massachusetts, is a state in the New England region of the Northeastern United States. It borders the Atlantic Ocean and Gulf of Maine to its east, Connecticut and Rhode Island to its south, New ...</v>
    <v>462</v>
    <v>463</v>
    <v>464</v>
    <v>461</v>
    <v>469</v>
    <v>470</v>
    <v>471</v>
    <v>472</v>
    <v>473</v>
    <v>Massachusetts</v>
    <v>31</v>
    <v>196</v>
    <v>474</v>
    <v>363</v>
    <v>308</v>
    <v>302</v>
    <v>475</v>
    <v>476</v>
    <v>164</v>
    <v>477</v>
    <v>478</v>
    <v>479</v>
    <v>480</v>
    <v>300</v>
    <v>424</v>
    <v>481</v>
    <v>482</v>
    <v>232</v>
    <v>483</v>
    <v>135</v>
    <v>Massachusetts</v>
    <v>mdp/vdpid/20543</v>
  </rv>
  <rv s="1">
    <fb>250493</fb>
    <v>24</v>
  </rv>
  <rv s="1">
    <fb>20408</fb>
    <v>24</v>
  </rv>
  <rv s="0">
    <v>536870912</v>
    <v>Lansing, Michigan</v>
    <v>f72f32c4-1da0-4657-9366-ff9fa67191cd</v>
    <v>en-US</v>
    <v>Map</v>
  </rv>
  <rv s="1">
    <fb>3841148</fb>
    <v>24</v>
  </rv>
  <rv s="1">
    <fb>4560055</fb>
    <v>24</v>
  </rv>
  <rv s="2">
    <v>14</v>
    <v>21</v>
    <v>91</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0">
    <v>805306368</v>
    <v>Gary Peters (Senate)</v>
    <v>1c5d76fc-da74-8c31-948e-7a8f6da3076a</v>
    <v>en-US</v>
    <v>Generic</v>
  </rv>
  <rv s="0">
    <v>805306368</v>
    <v>Elissa Slotkin (Senate)</v>
    <v>56f25db1-c482-d5c7-4b24-facdadf2d0e2</v>
    <v>en-US</v>
    <v>Generic</v>
  </rv>
  <rv s="3">
    <v>25</v>
  </rv>
  <rv s="4">
    <v>https://www.bing.com/search?q=michigan&amp;form=skydnc</v>
    <v>Learn more on Bing</v>
  </rv>
  <rv s="1">
    <fb>783</fb>
    <v>30</v>
  </rv>
  <rv s="1">
    <fb>49576</fb>
    <v>30</v>
  </rv>
  <rv s="1">
    <fb>122400</fb>
    <v>30</v>
  </rv>
  <rv s="1">
    <fb>2.52</fb>
    <v>25</v>
  </rv>
  <rv s="1">
    <fb>10140459</fb>
    <v>24</v>
  </rv>
  <rv s="1">
    <fb>4.0000000000000001E-3</fb>
    <v>23</v>
  </rv>
  <rv s="1">
    <fb>6.9999999999999993E-3</fb>
    <v>38</v>
  </rv>
  <rv s="1">
    <fb>0.03</fb>
    <v>23</v>
  </rv>
  <rv s="1">
    <fb>0.26899999999999996</fb>
    <v>23</v>
  </rv>
  <rv s="1">
    <fb>0.89599999999999991</fb>
    <v>23</v>
  </rv>
  <rv s="1">
    <fb>4.9000000000000002E-2</fb>
    <v>23</v>
  </rv>
  <rv s="1">
    <fb>0.61199999999999999</fb>
    <v>23</v>
  </rv>
  <rv s="1">
    <fb>0.222</fb>
    <v>23</v>
  </rv>
  <rv s="1">
    <fb>5.7999999999999996E-2</fb>
    <v>23</v>
  </rv>
  <rv s="1">
    <fb>0.79700000000000004</fb>
    <v>23</v>
  </rv>
  <rv s="10">
    <v>#VALUE!</v>
    <v>en-US</v>
    <v>162411c2-b757-495d-aa81-93942fae2f7e</v>
    <v>536870912</v>
    <v>1</v>
    <v>94</v>
    <v>95</v>
    <v>Michigan</v>
    <v>19</v>
    <v>20</v>
    <v>Map</v>
    <v>21</v>
    <v>96</v>
    <v>US-MI</v>
    <v>485</v>
    <v>486</v>
    <v>487</v>
    <v>0</v>
    <v>Michigan is a peninsular state in the Great Lakes region of the Upper Midwestern United States. It shares water and land boundaries with Minnesota to the northwest, Wisconsin to the west, Indiana and Illinois to the southwest, Ohio to the ...</v>
    <v>488</v>
    <v>489</v>
    <v>490</v>
    <v>491</v>
    <v>496</v>
    <v>497</v>
    <v>498</v>
    <v>499</v>
    <v>500</v>
    <v>Michigan</v>
    <v>501</v>
    <v>502</v>
    <v>503</v>
    <v>301</v>
    <v>504</v>
    <v>505</v>
    <v>506</v>
    <v>390</v>
    <v>177</v>
    <v>507</v>
    <v>508</v>
    <v>509</v>
    <v>40</v>
    <v>481</v>
    <v>510</v>
    <v>511</v>
    <v>512</v>
    <v>343</v>
    <v>Michigan</v>
    <v>mdp/vdpid/21196</v>
  </rv>
  <rv s="1">
    <fb>225163</fb>
    <v>24</v>
  </rv>
  <rv s="1">
    <fb>21449</fb>
    <v>24</v>
  </rv>
  <rv s="0">
    <v>536870912</v>
    <v>Saint Paul, Minnesota</v>
    <v>1cc78952-7fdf-3532-7f33-51048c23af61</v>
    <v>en-US</v>
    <v>Map</v>
  </rv>
  <rv s="1">
    <fb>2124745</fb>
    <v>24</v>
  </rv>
  <rv s="1">
    <fb>2409935</fb>
    <v>24</v>
  </rv>
  <rv s="2">
    <v>15</v>
    <v>21</v>
    <v>97</v>
    <v>7</v>
    <v>0</v>
    <v>Image of Minnesota</v>
  </rv>
  <rv s="0">
    <v>536870912</v>
    <v>Minneapolis</v>
    <v>def03125-42ba-47cd-8061-ee55f5c63e67</v>
    <v>en-US</v>
    <v>Map</v>
  </rv>
  <rv s="0">
    <v>805306368</v>
    <v>Tim Walz (Governor)</v>
    <v>f38cda49-b64f-17fd-7bee-8b4b8615e92e</v>
    <v>en-US</v>
    <v>Generic</v>
  </rv>
  <rv s="0">
    <v>805306368</v>
    <v>Peggy Flanagan (Lieutenant governor)</v>
    <v>cf730391-3139-9782-b8cc-c66b64347b03</v>
    <v>en-US</v>
    <v>Generic</v>
  </rv>
  <rv s="0">
    <v>805306368</v>
    <v>Amy Klobuchar (Senate)</v>
    <v>a294ff47-10a7-8131-50f3-95c593398b45</v>
    <v>en-US</v>
    <v>Generic</v>
  </rv>
  <rv s="0">
    <v>805306368</v>
    <v>Tina Smith (Senate)</v>
    <v>44d231cd-8a99-36a8-9eca-f8421ec955dd</v>
    <v>en-US</v>
    <v>Generic</v>
  </rv>
  <rv s="3">
    <v>26</v>
  </rv>
  <rv s="4">
    <v>https://www.bing.com/search?q=minnesota&amp;form=skydnc</v>
    <v>Learn more on Bing</v>
  </rv>
  <rv s="1">
    <fb>848</fb>
    <v>30</v>
  </rv>
  <rv s="1">
    <fb>61492</fb>
    <v>30</v>
  </rv>
  <rv s="1">
    <fb>186200</fb>
    <v>30</v>
  </rv>
  <rv s="1">
    <fb>2.4900000000000002</fb>
    <v>25</v>
  </rv>
  <rv s="1">
    <fb>5793151</fb>
    <v>24</v>
  </rv>
  <rv s="1">
    <fb>4.0999999999999995E-2</fb>
    <v>23</v>
  </rv>
  <rv s="1">
    <fb>1.3000000000000001E-2</fb>
    <v>38</v>
  </rv>
  <rv s="1">
    <fb>0.33700000000000002</fb>
    <v>23</v>
  </rv>
  <rv s="1">
    <fb>0.06</fb>
    <v>23</v>
  </rv>
  <rv s="1">
    <fb>7.6999999999999999E-2</fb>
    <v>23</v>
  </rv>
  <rv s="1">
    <fb>0.92400000000000004</fb>
    <v>23</v>
  </rv>
  <rv s="1">
    <fb>0.7</fb>
    <v>23</v>
  </rv>
  <rv s="1">
    <fb>0.23399999999999999</fb>
    <v>23</v>
  </rv>
  <rv s="9">
    <v>#VALUE!</v>
    <v>en-US</v>
    <v>77f97f6f-7e93-46e5-b486-6198effe8dea</v>
    <v>536870912</v>
    <v>1</v>
    <v>100</v>
    <v>66</v>
    <v>Minnesota</v>
    <v>19</v>
    <v>20</v>
    <v>Map</v>
    <v>21</v>
    <v>49</v>
    <v>US-MN</v>
    <v>514</v>
    <v>515</v>
    <v>516</v>
    <v>0</v>
    <v>Minnesota is a state in the Upper Midwestern region of the United States. It is bordered by the Canadian provinces of Manitoba and Ontario to the north and east and by the U.S. states of Wisconsin to the east, Iowa to the south, and North Dakota ...</v>
    <v>517</v>
    <v>518</v>
    <v>519</v>
    <v>520</v>
    <v>525</v>
    <v>526</v>
    <v>527</v>
    <v>528</v>
    <v>529</v>
    <v>Minnesota</v>
    <v>530</v>
    <v>531</v>
    <v>532</v>
    <v>235</v>
    <v>533</v>
    <v>508</v>
    <v>534</v>
    <v>535</v>
    <v>536</v>
    <v>537</v>
    <v>312</v>
    <v>538</v>
    <v>300</v>
    <v>310</v>
    <v>419</v>
    <v>539</v>
    <v>133</v>
    <v>366</v>
    <v>212</v>
    <v>Minnesota</v>
    <v>mdp/vdpid/21412</v>
  </rv>
  <rv s="1">
    <fb>181533</fb>
    <v>24</v>
  </rv>
  <rv s="1">
    <fb>18997</fb>
    <v>24</v>
  </rv>
  <rv s="0">
    <v>536870912</v>
    <v>Jefferson City, Missouri</v>
    <v>81535f0b-c6a8-d0ca-9542-f43e51dc1f18</v>
    <v>en-US</v>
    <v>Map</v>
  </rv>
  <rv s="1">
    <fb>2364688</fb>
    <v>24</v>
  </rv>
  <rv s="1">
    <fb>2760084</fb>
    <v>24</v>
  </rv>
  <rv s="2">
    <v>16</v>
    <v>21</v>
    <v>101</v>
    <v>7</v>
    <v>0</v>
    <v>Image of Missouri</v>
  </rv>
  <rv s="0">
    <v>536870912</v>
    <v>Kansas City, Missouri</v>
    <v>5b93ac88-7242-4198-8c11-93854400c8d7</v>
    <v>en-US</v>
    <v>Map</v>
  </rv>
  <rv s="0">
    <v>805306368</v>
    <v>Mike Kehoe (Governor)</v>
    <v>b2f50b37-ce14-c873-e2df-fd5943b7c015</v>
    <v>en-US</v>
    <v>Generic</v>
  </rv>
  <rv s="0">
    <v>805306368</v>
    <v>David Wasinger (Lieutenant governor)</v>
    <v>6010c711-8e35-e9ac-e4bc-03bd2b421f62</v>
    <v>en-US</v>
    <v>Generic</v>
  </rv>
  <rv s="0">
    <v>805306368</v>
    <v>Josh Hawley (Senate)</v>
    <v>0709c075-3a21-a282-0ce8-ebac38b987b2</v>
    <v>en-US</v>
    <v>Generic</v>
  </rv>
  <rv s="0">
    <v>805306368</v>
    <v>Eric Schmitt (Senate)</v>
    <v>caf9e43d-c854-9d49-f9db-caf2c6a3cf41</v>
    <v>en-US</v>
    <v>Generic</v>
  </rv>
  <rv s="3">
    <v>27</v>
  </rv>
  <rv s="4">
    <v>https://www.bing.com/search?q=missouri&amp;form=skydnc</v>
    <v>Learn more on Bing</v>
  </rv>
  <rv s="1">
    <fb>746</fb>
    <v>30</v>
  </rv>
  <rv s="1">
    <fb>48173</fb>
    <v>30</v>
  </rv>
  <rv s="1">
    <fb>138400</fb>
    <v>30</v>
  </rv>
  <rv s="1">
    <fb>2.48</fb>
    <v>25</v>
  </rv>
  <rv s="1">
    <fb>6245466</fb>
    <v>24</v>
  </rv>
  <rv s="1">
    <fb>0.27100000000000002</fb>
    <v>23</v>
  </rv>
  <rv s="1">
    <fb>0.11800000000000001</fb>
    <v>23</v>
  </rv>
  <rv s="1">
    <fb>3.9E-2</fb>
    <v>23</v>
  </rv>
  <rv s="1">
    <fb>0.88400000000000001</fb>
    <v>23</v>
  </rv>
  <rv s="1">
    <fb>0.10400000000000001</fb>
    <v>23</v>
  </rv>
  <rv s="1">
    <fb>0.22899999999999998</fb>
    <v>23</v>
  </rv>
  <rv s="1">
    <fb>0.83299999999999996</fb>
    <v>23</v>
  </rv>
  <rv s="8">
    <v>#VALUE!</v>
    <v>en-US</v>
    <v>6185f8cb-44e1-4da6-9bf0-b75286aeb591</v>
    <v>536870912</v>
    <v>1</v>
    <v>104</v>
    <v>48</v>
    <v>Missouri</v>
    <v>19</v>
    <v>20</v>
    <v>Map</v>
    <v>21</v>
    <v>49</v>
    <v>US-MO</v>
    <v>541</v>
    <v>542</v>
    <v>543</v>
    <v>0</v>
    <v>Missouri is a state in the Midwestern region of the United States. Ranking 21st in land area, it borders Iowa to the north, Illinois, Kentucky and Tennessee to the east, Arkansas to the south and Oklahoma, Kansas, and Nebraska to the west. In ...</v>
    <v>544</v>
    <v>545</v>
    <v>546</v>
    <v>547</v>
    <v>552</v>
    <v>553</v>
    <v>554</v>
    <v>555</v>
    <v>556</v>
    <v>Missouri</v>
    <v>161</v>
    <v>557</v>
    <v>558</v>
    <v>38</v>
    <v>203</v>
    <v>121</v>
    <v>209</v>
    <v>559</v>
    <v>560</v>
    <v>561</v>
    <v>562</v>
    <v>532</v>
    <v>457</v>
    <v>300</v>
    <v>563</v>
    <v>311</v>
    <v>564</v>
    <v>278</v>
    <v>565</v>
    <v>212</v>
    <v>Missouri</v>
    <v>mdp/vdpid/21512</v>
  </rv>
  <rv s="1">
    <fb>200520</fb>
    <v>24</v>
  </rv>
  <rv s="1">
    <fb>8078</fb>
    <v>24</v>
  </rv>
  <rv s="0">
    <v>536870912</v>
    <v>Lincoln, Nebraska</v>
    <v>38974d3e-7769-4d06-b772-31a57932a126</v>
    <v>en-US</v>
    <v>Map</v>
  </rv>
  <rv s="1">
    <fb>736613</fb>
    <v>24</v>
  </rv>
  <rv s="1">
    <fb>827156</fb>
    <v>24</v>
  </rv>
  <rv s="2">
    <v>17</v>
    <v>21</v>
    <v>105</v>
    <v>7</v>
    <v>0</v>
    <v>Image of Nebraska</v>
  </rv>
  <rv s="0">
    <v>536870912</v>
    <v>Omaha, Nebraska</v>
    <v>3e9b5a28-f96c-420a-8065-6b1bd5aba459</v>
    <v>en-US</v>
    <v>Map</v>
  </rv>
  <rv s="0">
    <v>805306368</v>
    <v>Jim Pillen (Governor)</v>
    <v>d609858d-2007-ee0a-defb-14ae1c2ab4d3</v>
    <v>en-US</v>
    <v>Generic</v>
  </rv>
  <rv s="0">
    <v>805306368</v>
    <v>Joe Kelly (Lieutenant governor)</v>
    <v>f92108f4-90b9-9d3b-9c97-08750cd4d3ee</v>
    <v>en-US</v>
    <v>Generic</v>
  </rv>
  <rv s="0">
    <v>805306368</v>
    <v>Deb Fischer (Senate)</v>
    <v>f5e75ca0-d749-2530-45f3-da6ea135796e</v>
    <v>en-US</v>
    <v>Generic</v>
  </rv>
  <rv s="0">
    <v>805306368</v>
    <v>Pete Ricketts (Senate)</v>
    <v>97fb5bd9-8ab3-b066-54d6-344dc18b656e</v>
    <v>en-US</v>
    <v>Generic</v>
  </rv>
  <rv s="3">
    <v>28</v>
  </rv>
  <rv s="4">
    <v>https://www.bing.com/search?q=nebraska&amp;form=skydnc</v>
    <v>Learn more on Bing</v>
  </rv>
  <rv s="1">
    <fb>726</fb>
    <v>30</v>
  </rv>
  <rv s="1">
    <fb>52997</fb>
    <v>30</v>
  </rv>
  <rv s="1">
    <fb>133200</fb>
    <v>30</v>
  </rv>
  <rv s="1">
    <fb>2.4700000000000002</fb>
    <v>25</v>
  </rv>
  <rv s="1">
    <fb>2005465</fb>
    <v>24</v>
  </rv>
  <rv s="1">
    <fb>4.4000000000000004E-2</fb>
    <v>23</v>
  </rv>
  <rv s="1">
    <fb>1.3999999999999999E-2</fb>
    <v>38</v>
  </rv>
  <rv s="1">
    <fb>0.29299999999999998</fb>
    <v>23</v>
  </rv>
  <rv s="1">
    <fb>0.69900000000000007</fb>
    <v>23</v>
  </rv>
  <rv s="1">
    <fb>7.2999999999999995E-2</fb>
    <v>23</v>
  </rv>
  <rv s="1">
    <fb>2.1000000000000001E-2</fb>
    <v>23</v>
  </rv>
  <rv s="1">
    <fb>0.248</fb>
    <v>23</v>
  </rv>
  <rv s="1">
    <fb>6.9000000000000006E-2</fb>
    <v>23</v>
  </rv>
  <rv s="1">
    <fb>0.8909999999999999</fb>
    <v>23</v>
  </rv>
  <rv s="8">
    <v>#VALUE!</v>
    <v>en-US</v>
    <v>3e64ff5d-6b40-4dbe-91b1-0e554e892496</v>
    <v>536870912</v>
    <v>1</v>
    <v>108</v>
    <v>48</v>
    <v>Nebraska</v>
    <v>19</v>
    <v>20</v>
    <v>Map</v>
    <v>21</v>
    <v>49</v>
    <v>US-NE</v>
    <v>567</v>
    <v>568</v>
    <v>569</v>
    <v>0</v>
    <v>Nebraska is a landlocked state in the Midwestern region of the United States. It borders South Dakota to the north; Iowa to the east and Missouri to the southeast, both across the Missouri River; Kansas to the south; Colorado to the southwest; ...</v>
    <v>570</v>
    <v>571</v>
    <v>572</v>
    <v>573</v>
    <v>578</v>
    <v>579</v>
    <v>580</v>
    <v>581</v>
    <v>582</v>
    <v>Nebraska</v>
    <v>161</v>
    <v>583</v>
    <v>584</v>
    <v>585</v>
    <v>235</v>
    <v>586</v>
    <v>481</v>
    <v>587</v>
    <v>452</v>
    <v>475</v>
    <v>273</v>
    <v>563</v>
    <v>588</v>
    <v>300</v>
    <v>589</v>
    <v>590</v>
    <v>591</v>
    <v>592</v>
    <v>593</v>
    <v>280</v>
    <v>Nebraska</v>
    <v>mdp/vdpid/22869</v>
  </rv>
  <rv s="1">
    <fb>315194</fb>
    <v>24</v>
  </rv>
  <rv s="1">
    <fb>4863</fb>
    <v>24</v>
  </rv>
  <rv s="0">
    <v>536870912</v>
    <v>Santa Fe, New Mexico</v>
    <v>4b18f381-d510-4934-8a88-4507135c578d</v>
    <v>en-US</v>
    <v>Map</v>
  </rv>
  <rv s="1">
    <fb>763603</fb>
    <v>24</v>
  </rv>
  <rv s="1">
    <fb>917568</fb>
    <v>24</v>
  </rv>
  <rv s="2">
    <v>18</v>
    <v>21</v>
    <v>109</v>
    <v>7</v>
    <v>0</v>
    <v>Image of New Mexico</v>
  </rv>
  <rv s="0">
    <v>536870912</v>
    <v>Albuquerque, New Mexico</v>
    <v>7fffaaf6-e694-4095-be90-f6492cadbd58</v>
    <v>en-US</v>
    <v>Map</v>
  </rv>
  <rv s="0">
    <v>805306368</v>
    <v>Michelle Lujan Grisham (Governor)</v>
    <v>fe49b454-a2aa-4dfe-a1ba-763d379a487f</v>
    <v>en-US</v>
    <v>Generic</v>
  </rv>
  <rv s="0">
    <v>805306368</v>
    <v>Howie Morales (Lieutenant governor)</v>
    <v>d94f2150-c331-242b-1da6-e02f93039204</v>
    <v>en-US</v>
    <v>Generic</v>
  </rv>
  <rv s="0">
    <v>805306368</v>
    <v>Martin Heinrich (Senate)</v>
    <v>da49350f-b13e-156f-2772-ade036c3a48d</v>
    <v>en-US</v>
    <v>Generic</v>
  </rv>
  <rv s="0">
    <v>805306368</v>
    <v>Ben Ray Luján (Senate)</v>
    <v>b17634b0-5581-755b-9649-1736eceef176</v>
    <v>en-US</v>
    <v>Generic</v>
  </rv>
  <rv s="3">
    <v>29</v>
  </rv>
  <rv s="4">
    <v>https://www.bing.com/search?q=new+mexico&amp;form=skydnc</v>
    <v>Learn more on Bing</v>
  </rv>
  <rv s="1">
    <fb>777</fb>
    <v>30</v>
  </rv>
  <rv s="1">
    <fb>44963</fb>
    <v>30</v>
  </rv>
  <rv s="1">
    <fb>160300</fb>
    <v>30</v>
  </rv>
  <rv s="1">
    <fb>2.67</fb>
    <v>25</v>
  </rv>
  <rv s="1">
    <fb>2130256</fb>
    <v>24</v>
  </rv>
  <rv s="1">
    <fb>1.1000000000000001E-2</fb>
    <v>23</v>
  </rv>
  <rv s="1">
    <fb>0.105</fb>
    <v>38</v>
  </rv>
  <rv s="1">
    <fb>0.26300000000000001</fb>
    <v>23</v>
  </rv>
  <rv s="1">
    <fb>2.6000000000000002E-2</fb>
    <v>23</v>
  </rv>
  <rv s="1">
    <fb>0.84200000000000008</fb>
    <v>23</v>
  </rv>
  <rv s="1">
    <fb>0.48</fb>
    <v>23</v>
  </rv>
  <rv s="1">
    <fb>0.59099999999999997</fb>
    <v>23</v>
  </rv>
  <rv s="1">
    <fb>0.10099999999999999</fb>
    <v>23</v>
  </rv>
  <rv s="1">
    <fb>0.82499999999999996</fb>
    <v>23</v>
  </rv>
  <rv s="9">
    <v>#VALUE!</v>
    <v>en-US</v>
    <v>a16d3636-4349-41c7-a77e-89e34b26a8ad</v>
    <v>536870912</v>
    <v>1</v>
    <v>112</v>
    <v>66</v>
    <v>New Mexico</v>
    <v>19</v>
    <v>20</v>
    <v>Map</v>
    <v>21</v>
    <v>49</v>
    <v>US-NM</v>
    <v>595</v>
    <v>596</v>
    <v>597</v>
    <v>0</v>
    <v>New Mexico is a state in the Southwestern region of the United States. It is one of the Mountain States of the southern Rocky Mountains, sharing the Four Corners region with Utah, Colorado, and Arizona. It also borders the state of Texas to the ...</v>
    <v>598</v>
    <v>599</v>
    <v>600</v>
    <v>601</v>
    <v>606</v>
    <v>607</v>
    <v>608</v>
    <v>609</v>
    <v>610</v>
    <v>New Mexico</v>
    <v>611</v>
    <v>612</v>
    <v>613</v>
    <v>301</v>
    <v>614</v>
    <v>38</v>
    <v>615</v>
    <v>616</v>
    <v>272</v>
    <v>617</v>
    <v>618</v>
    <v>619</v>
    <v>129</v>
    <v>620</v>
    <v>198</v>
    <v>176</v>
    <v>237</v>
    <v>621</v>
    <v>280</v>
    <v>New Mexico</v>
    <v>mdp/vdpid/23132</v>
  </rv>
  <rv s="1">
    <fb>141300</fb>
    <v>24</v>
  </rv>
  <rv s="1">
    <fb>33711</fb>
    <v>24</v>
  </rv>
  <rv s="0">
    <v>536870912</v>
    <v>Albany</v>
    <v>62ca8245-972e-448d-af38-345d4a958798</v>
    <v>en-US</v>
    <v>Map</v>
  </rv>
  <rv s="1">
    <fb>7262279</fb>
    <v>24</v>
  </rv>
  <rv s="1">
    <fb>8231687</fb>
    <v>24</v>
  </rv>
  <rv s="2">
    <v>19</v>
    <v>21</v>
    <v>113</v>
    <v>7</v>
    <v>0</v>
    <v>Image of New York</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30</v>
  </rv>
  <rv s="4">
    <v>https://www.bing.com/search?q=new+york+state&amp;form=skydnc</v>
    <v>Learn more on Bing</v>
  </rv>
  <rv s="1">
    <fb>1132</fb>
    <v>30</v>
  </rv>
  <rv s="1">
    <fb>59269</fb>
    <v>30</v>
  </rv>
  <rv s="1">
    <fb>283400</fb>
    <v>30</v>
  </rv>
  <rv s="1">
    <fb>20201249</fb>
    <v>24</v>
  </rv>
  <rv s="1">
    <fb>0.15</fb>
    <v>23</v>
  </rv>
  <rv s="1">
    <fb>0.34200000000000003</fb>
    <v>23</v>
  </rv>
  <rv s="1">
    <fb>0.85599999999999998</fb>
    <v>23</v>
  </rv>
  <rv s="1">
    <fb>0.188</fb>
    <v>23</v>
  </rv>
  <rv s="1">
    <fb>0.63300000000000001</fb>
    <v>23</v>
  </rv>
  <rv s="1">
    <fb>7.400000000000001E-2</fb>
    <v>23</v>
  </rv>
  <rv s="1">
    <fb>0.70099999999999996</fb>
    <v>23</v>
  </rv>
  <rv s="9">
    <v>#VALUE!</v>
    <v>en-US</v>
    <v>caeb7b9a-f5d7-4686-8fb5-cf7628296b13</v>
    <v>536870912</v>
    <v>1</v>
    <v>116</v>
    <v>66</v>
    <v>New York</v>
    <v>19</v>
    <v>20</v>
    <v>Map</v>
    <v>21</v>
    <v>37</v>
    <v>US-NY</v>
    <v>623</v>
    <v>624</v>
    <v>625</v>
    <v>107</v>
    <v>New York, sometimes called New York State, is a state in the Northeastern region of the United States. A Mid-Atlantic state, New York borders New England, and has an international border with Canada. With almost 19.6 million residents, it is the ...</v>
    <v>626</v>
    <v>627</v>
    <v>628</v>
    <v>20</v>
    <v>633</v>
    <v>634</v>
    <v>635</v>
    <v>636</v>
    <v>637</v>
    <v>New York</v>
    <v>329</v>
    <v>638</v>
    <v>397</v>
    <v>639</v>
    <v>200</v>
    <v>369</v>
    <v>640</v>
    <v>132</v>
    <v>449</v>
    <v>641</v>
    <v>642</v>
    <v>643</v>
    <v>300</v>
    <v>644</v>
    <v>419</v>
    <v>274</v>
    <v>535</v>
    <v>645</v>
    <v>135</v>
    <v>New York</v>
    <v>mdp/vdpid/23161</v>
  </rv>
  <rv s="1">
    <fb>139390</fb>
    <v>24</v>
  </rv>
  <rv s="1">
    <fb>60550</fb>
    <v>24</v>
  </rv>
  <rv s="0">
    <v>536870912</v>
    <v>Raleigh, North Carolina</v>
    <v>7b706445-83c5-46a4-bb70-cff23cd555d3</v>
    <v>en-US</v>
    <v>Map</v>
  </rv>
  <rv s="1">
    <fb>3775581</fb>
    <v>24</v>
  </rv>
  <rv s="1">
    <fb>4540498</fb>
    <v>24</v>
  </rv>
  <rv s="2">
    <v>20</v>
    <v>21</v>
    <v>117</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31</v>
  </rv>
  <rv s="4">
    <v>https://www.bing.com/search?q=north+carolina&amp;form=skydnc</v>
    <v>Learn more on Bing</v>
  </rv>
  <rv s="1">
    <fb>797</fb>
    <v>30</v>
  </rv>
  <rv s="1">
    <fb>46868</fb>
    <v>30</v>
  </rv>
  <rv s="1">
    <fb>154900</fb>
    <v>30</v>
  </rv>
  <rv s="1">
    <fb>2.54</fb>
    <v>25</v>
  </rv>
  <rv s="1">
    <fb>11046024</fb>
    <v>24</v>
  </rv>
  <rv s="1">
    <fb>0.151</fb>
    <v>23</v>
  </rv>
  <rv s="1">
    <fb>0.28399999999999997</fb>
    <v>23</v>
  </rv>
  <rv s="1">
    <fb>0.221</fb>
    <v>23</v>
  </rv>
  <rv s="1">
    <fb>0.85799999999999998</fb>
    <v>23</v>
  </rv>
  <rv s="1">
    <fb>9.0999999999999998E-2</fb>
    <v>23</v>
  </rv>
  <rv s="1">
    <fb>0.61799999999999999</fb>
    <v>23</v>
  </rv>
  <rv s="1">
    <fb>0.22800000000000001</fb>
    <v>23</v>
  </rv>
  <rv s="1">
    <fb>0.71200000000000008</fb>
    <v>23</v>
  </rv>
  <rv s="8">
    <v>#VALUE!</v>
    <v>en-US</v>
    <v>9e2bf053-dd80-4646-8f26-65075e7085c0</v>
    <v>536870912</v>
    <v>1</v>
    <v>120</v>
    <v>48</v>
    <v>North Carolina</v>
    <v>19</v>
    <v>20</v>
    <v>Map</v>
    <v>21</v>
    <v>49</v>
    <v>US-NC</v>
    <v>647</v>
    <v>648</v>
    <v>649</v>
    <v>0</v>
    <v>North Carolina is a state in the Southeastern region of the United States. It is bordered by Virginia to the north, the Atlantic Ocean to the east, South Carolina to the south, Georgia to the southwest, and Tennessee to the west. The state is ...</v>
    <v>650</v>
    <v>651</v>
    <v>652</v>
    <v>653</v>
    <v>658</v>
    <v>659</v>
    <v>660</v>
    <v>661</v>
    <v>662</v>
    <v>North Carolina</v>
    <v>161</v>
    <v>663</v>
    <v>664</v>
    <v>133</v>
    <v>665</v>
    <v>268</v>
    <v>333</v>
    <v>666</v>
    <v>667</v>
    <v>536</v>
    <v>668</v>
    <v>669</v>
    <v>670</v>
    <v>300</v>
    <v>331</v>
    <v>590</v>
    <v>671</v>
    <v>535</v>
    <v>672</v>
    <v>135</v>
    <v>North Carolina</v>
    <v>mdp/vdpid/23611</v>
  </rv>
  <rv s="1">
    <fb>116096</fb>
    <v>24</v>
  </rv>
  <rv s="1">
    <fb>22816</fb>
    <v>24</v>
  </rv>
  <rv s="0">
    <v>536870912</v>
    <v>Columbus, Ohio</v>
    <v>5b78da0b-6447-4f71-92b2-f1fafe94ba51</v>
    <v>en-US</v>
    <v>Map</v>
  </rv>
  <rv s="1">
    <fb>4585084</fb>
    <v>24</v>
  </rv>
  <rv s="1">
    <fb>5164361</fb>
    <v>24</v>
  </rv>
  <rv s="2">
    <v>21</v>
    <v>21</v>
    <v>121</v>
    <v>7</v>
    <v>0</v>
    <v>Image of Ohio</v>
  </rv>
  <rv s="0">
    <v>805306368</v>
    <v>Mike DeWine (Governor)</v>
    <v>ba3cf2bc-483c-6746-4369-a5b07e33c8ea</v>
    <v>en-US</v>
    <v>Generic</v>
  </rv>
  <rv s="0">
    <v>805306368</v>
    <v>Jim Tressel (Lieutenant governor)</v>
    <v>fea1d415-3b0b-3b02-731b-3b6f17db87c8</v>
    <v>en-US</v>
    <v>Generic</v>
  </rv>
  <rv s="0">
    <v>805306368</v>
    <v>Bernie Moreno (Senate)</v>
    <v>a07f18b9-2c29-cef5-821d-7fce7cac2551</v>
    <v>en-US</v>
    <v>Generic</v>
  </rv>
  <rv s="0">
    <v>805306368</v>
    <v>Jon Husted (Senate)</v>
    <v>98c16a0c-0820-d45d-b6c8-e3b9090fb0f6</v>
    <v>en-US</v>
    <v>Generic</v>
  </rv>
  <rv s="3">
    <v>32</v>
  </rv>
  <rv s="4">
    <v>https://www.bing.com/search?q=ohio&amp;form=skydnc</v>
    <v>Learn more on Bing</v>
  </rv>
  <rv s="1">
    <fb>730</fb>
    <v>30</v>
  </rv>
  <rv s="1">
    <fb>49429</fb>
    <v>30</v>
  </rv>
  <rv s="1">
    <fb>129900</fb>
    <v>30</v>
  </rv>
  <rv s="3">
    <v>33</v>
  </rv>
  <rv s="1">
    <fb>2.46</fb>
    <v>25</v>
  </rv>
  <rv s="1">
    <fb>11883304</fb>
    <v>24</v>
  </rv>
  <rv s="1">
    <fb>6.9999999999999993E-3</fb>
    <v>23</v>
  </rv>
  <rv s="1">
    <fb>0.159</fb>
    <v>23</v>
  </rv>
  <rv s="1">
    <fb>3.0000000000000001E-3</fb>
    <v>38</v>
  </rv>
  <rv s="1">
    <fb>0.26100000000000001</fb>
    <v>23</v>
  </rv>
  <rv s="1">
    <fb>0.127</fb>
    <v>23</v>
  </rv>
  <rv s="1">
    <fb>3.6000000000000004E-2</fb>
    <v>23</v>
  </rv>
  <rv s="1">
    <fb>9.9000000000000005E-2</fb>
    <v>23</v>
  </rv>
  <rv s="1">
    <fb>0.82700000000000007</fb>
    <v>23</v>
  </rv>
  <rv s="8">
    <v>#VALUE!</v>
    <v>en-US</v>
    <v>6f3df7da-1ef6-48e3-b2b3-b5b5fce3e846</v>
    <v>536870912</v>
    <v>1</v>
    <v>124</v>
    <v>48</v>
    <v>Ohio</v>
    <v>19</v>
    <v>20</v>
    <v>Map</v>
    <v>21</v>
    <v>49</v>
    <v>US-OH</v>
    <v>674</v>
    <v>675</v>
    <v>676</v>
    <v>0</v>
    <v>Ohio is a state in the Midwestern region of the United States. It borders Lake Erie to the north, Pennsylvania to the east, West Virginia to the southeast, Kentucky to the southwest, Indiana to the west, and Michigan to the northwest. Of the 50 ...</v>
    <v>677</v>
    <v>678</v>
    <v>679</v>
    <v>676</v>
    <v>684</v>
    <v>685</v>
    <v>686</v>
    <v>687</v>
    <v>688</v>
    <v>Ohio</v>
    <v>689</v>
    <v>690</v>
    <v>691</v>
    <v>692</v>
    <v>693</v>
    <v>694</v>
    <v>590</v>
    <v>695</v>
    <v>696</v>
    <v>532</v>
    <v>593</v>
    <v>697</v>
    <v>643</v>
    <v>300</v>
    <v>698</v>
    <v>590</v>
    <v>35</v>
    <v>535</v>
    <v>699</v>
    <v>135</v>
    <v>Ohio</v>
    <v>mdp/vdpid/24230</v>
  </rv>
  <rv s="1">
    <fb>181195</fb>
    <v>24</v>
  </rv>
  <rv s="1">
    <fb>12092</fb>
    <v>24</v>
  </rv>
  <rv s="0">
    <v>536870912</v>
    <v>Oklahoma City</v>
    <v>59d212a0-2f5f-4681-a7a0-a8a6e25853e1</v>
    <v>en-US</v>
    <v>Map</v>
  </rv>
  <rv s="1">
    <fb>1455321</fb>
    <v>24</v>
  </rv>
  <rv s="1">
    <fb>1721045</fb>
    <v>24</v>
  </rv>
  <rv s="2">
    <v>22</v>
    <v>21</v>
    <v>125</v>
    <v>7</v>
    <v>0</v>
    <v>Image of Oklahoma</v>
  </rv>
  <rv s="0">
    <v>805306368</v>
    <v>Kevin Stitt (Governor)</v>
    <v>50460cc8-b10e-ddcd-8554-9a0e8a8aa526</v>
    <v>en-US</v>
    <v>Generic</v>
  </rv>
  <rv s="0">
    <v>805306368</v>
    <v>Matt Pinnell (Lieutenant governor)</v>
    <v>189caae5-49b2-e53b-db23-b10a7ec5d36b</v>
    <v>en-US</v>
    <v>Generic</v>
  </rv>
  <rv s="0">
    <v>805306368</v>
    <v>James Lankford (Senate)</v>
    <v>9bfa929f-1dbf-4884-2bbc-ecde4793ee48</v>
    <v>en-US</v>
    <v>Generic</v>
  </rv>
  <rv s="0">
    <v>805306368</v>
    <v>Markwayne Mullin (Senate)</v>
    <v>05fad978-d35b-4dc0-b57e-e3afb8372ed3</v>
    <v>en-US</v>
    <v>Generic</v>
  </rv>
  <rv s="3">
    <v>34</v>
  </rv>
  <rv s="4">
    <v>https://www.bing.com/search?q=oklahoma&amp;form=skydnc</v>
    <v>Learn more on Bing</v>
  </rv>
  <rv s="1">
    <fb>727</fb>
    <v>30</v>
  </rv>
  <rv s="1">
    <fb>46879</fb>
    <v>30</v>
  </rv>
  <rv s="1">
    <fb>117900</fb>
    <v>30</v>
  </rv>
  <rv s="1">
    <fb>3959353</fb>
    <v>24</v>
  </rv>
  <rv s="1">
    <fb>9.0999999999999998E-2</fb>
    <v>38</v>
  </rv>
  <rv s="1">
    <fb>0.24100000000000002</fb>
    <v>23</v>
  </rv>
  <rv s="1">
    <fb>7.8E-2</fb>
    <v>23</v>
  </rv>
  <rv s="1">
    <fb>0.61099999999999999</fb>
    <v>23</v>
  </rv>
  <rv s="1">
    <fb>0.113</fb>
    <v>23</v>
  </rv>
  <rv s="1">
    <fb>0.24600000000000002</fb>
    <v>23</v>
  </rv>
  <rv s="1">
    <fb>0.748</fb>
    <v>23</v>
  </rv>
  <rv s="11">
    <v>#VALUE!</v>
    <v>en-US</v>
    <v>cbcf556f-952a-4665-bb95-0500b27f9976</v>
    <v>536870912</v>
    <v>1</v>
    <v>128</v>
    <v>129</v>
    <v>Oklahoma</v>
    <v>19</v>
    <v>20</v>
    <v>Map</v>
    <v>21</v>
    <v>37</v>
    <v>US-OK</v>
    <v>701</v>
    <v>702</v>
    <v>703</v>
    <v>107</v>
    <v>Oklahoma is a state in the South Central region of the United States. It borders Texas to the south and west, Kansas to the north, Missouri to the northeast, Arkansas to the east, New Mexico to the west, and Colorado to the northwest. Partially ...</v>
    <v>704</v>
    <v>705</v>
    <v>706</v>
    <v>703</v>
    <v>711</v>
    <v>712</v>
    <v>713</v>
    <v>714</v>
    <v>715</v>
    <v>Oklahoma</v>
    <v>31</v>
    <v>298</v>
    <v>716</v>
    <v>303</v>
    <v>235</v>
    <v>717</v>
    <v>311</v>
    <v>718</v>
    <v>719</v>
    <v>511</v>
    <v>337</v>
    <v>620</v>
    <v>720</v>
    <v>129</v>
    <v>721</v>
    <v>535</v>
    <v>722</v>
    <v>592</v>
    <v>723</v>
    <v>Oklahoma</v>
    <v>mdp/vdpid/24293</v>
  </rv>
  <rv s="1">
    <fb>119283</fb>
    <v>24</v>
  </rv>
  <rv s="1">
    <fb>23303</fb>
    <v>24</v>
  </rv>
  <rv s="0">
    <v>536870912</v>
    <v>Harrisburg, Pennsylvania</v>
    <v>c0411c8e-89cf-5f47-d2f3-d5e52d320fff</v>
    <v>en-US</v>
    <v>Map</v>
  </rv>
  <rv s="1">
    <fb>4958859</fb>
    <v>24</v>
  </rv>
  <rv s="1">
    <fb>5612002</fb>
    <v>24</v>
  </rv>
  <rv s="2">
    <v>23</v>
    <v>21</v>
    <v>130</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0">
    <v>805306368</v>
    <v>John Fetterman (Senate)</v>
    <v>0def1c22-1608-cc63-a1a2-07cb8272777b</v>
    <v>en-US</v>
    <v>Generic</v>
  </rv>
  <rv s="0">
    <v>805306368</v>
    <v>Dave McCormick (Senate)</v>
    <v>a00de8fd-32df-41f2-a4f1-02d9e795bc19</v>
    <v>en-US</v>
    <v>Generic</v>
  </rv>
  <rv s="3">
    <v>35</v>
  </rv>
  <rv s="4">
    <v>https://www.bing.com/search?q=pennsylvania&amp;form=skydnc</v>
    <v>Learn more on Bing</v>
  </rv>
  <rv s="1">
    <fb>840</fb>
    <v>30</v>
  </rv>
  <rv s="1">
    <fb>53599</fb>
    <v>30</v>
  </rv>
  <rv s="1">
    <fb>166000</fb>
    <v>30</v>
  </rv>
  <rv s="1">
    <fb>13078751</fb>
    <v>24</v>
  </rv>
  <rv s="1">
    <fb>6.0000000000000001E-3</fb>
    <v>23</v>
  </rv>
  <rv s="1">
    <fb>0.17</fb>
    <v>23</v>
  </rv>
  <rv s="1">
    <fb>4.0000000000000001E-3</fb>
    <v>38</v>
  </rv>
  <rv s="1">
    <fb>0.28600000000000003</fb>
    <v>23</v>
  </rv>
  <rv s="1">
    <fb>0.11699999999999999</fb>
    <v>23</v>
  </rv>
  <rv s="1">
    <fb>0.89200000000000002</fb>
    <v>23</v>
  </rv>
  <rv s="1">
    <fb>0.628</fb>
    <v>23</v>
  </rv>
  <rv s="1">
    <fb>9.5000000000000001E-2</fb>
    <v>23</v>
  </rv>
  <rv s="1">
    <fb>0.21</fb>
    <v>23</v>
  </rv>
  <rv s="1">
    <fb>5.5999999999999994E-2</fb>
    <v>23</v>
  </rv>
  <rv s="1">
    <fb>0.82599999999999996</fb>
    <v>23</v>
  </rv>
  <rv s="8">
    <v>#VALUE!</v>
    <v>en-US</v>
    <v>6304580e-c803-4266-818a-971619176547</v>
    <v>536870912</v>
    <v>1</v>
    <v>133</v>
    <v>48</v>
    <v>Pennsylvania</v>
    <v>19</v>
    <v>20</v>
    <v>Map</v>
    <v>21</v>
    <v>49</v>
    <v>US-PA</v>
    <v>725</v>
    <v>726</v>
    <v>727</v>
    <v>0</v>
    <v>Pennsylvania, officially the Commonwealth of Pennsylvania, is a state spanning the Mid-Atlantic, Northeastern, Appalachian, and Great Lakes regions of the United States. It borders Delaware to its southeast, Maryland to its south, West Virginia ...</v>
    <v>728</v>
    <v>729</v>
    <v>730</v>
    <v>731</v>
    <v>736</v>
    <v>737</v>
    <v>738</v>
    <v>739</v>
    <v>740</v>
    <v>Pennsylvania</v>
    <v>31</v>
    <v>530</v>
    <v>741</v>
    <v>742</v>
    <v>743</v>
    <v>744</v>
    <v>167</v>
    <v>745</v>
    <v>746</v>
    <v>177</v>
    <v>747</v>
    <v>243</v>
    <v>748</v>
    <v>300</v>
    <v>749</v>
    <v>397</v>
    <v>750</v>
    <v>751</v>
    <v>752</v>
    <v>135</v>
    <v>Pennsylvania</v>
    <v>mdp/vdpid/25623</v>
  </rv>
  <rv s="1">
    <fb>82931</fb>
    <v>24</v>
  </rv>
  <rv s="1">
    <fb>32165</fb>
    <v>24</v>
  </rv>
  <rv s="0">
    <v>536870912</v>
    <v>Columbia, South Carolina</v>
    <v>0c8f6663-0a97-4263-b3e1-3cfe0b623552</v>
    <v>en-US</v>
    <v>Map</v>
  </rv>
  <rv s="1">
    <fb>1815094</fb>
    <v>24</v>
  </rv>
  <rv s="1">
    <fb>2236153</fb>
    <v>24</v>
  </rv>
  <rv s="2">
    <v>24</v>
    <v>21</v>
    <v>134</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3">
    <v>36</v>
  </rv>
  <rv s="4">
    <v>https://www.bing.com/search?q=south+carolina&amp;form=skydnc</v>
    <v>Learn more on Bing</v>
  </rv>
  <rv s="1">
    <fb>790</fb>
    <v>30</v>
  </rv>
  <rv s="1">
    <fb>45483</fb>
    <v>30</v>
  </rv>
  <rv s="1">
    <fb>139900</fb>
    <v>30</v>
  </rv>
  <rv s="1">
    <fb>2.56</fb>
    <v>25</v>
  </rv>
  <rv s="1">
    <fb>5478831</fb>
    <v>24</v>
  </rv>
  <rv s="1">
    <fb>0.16200000000000001</fb>
    <v>23</v>
  </rv>
  <rv s="1">
    <fb>0.25800000000000001</fb>
    <v>23</v>
  </rv>
  <rv s="1">
    <fb>0.27600000000000002</fb>
    <v>23</v>
  </rv>
  <rv s="1">
    <fb>0.60099999999999998</fb>
    <v>23</v>
  </rv>
  <rv s="1">
    <fb>0.223</fb>
    <v>23</v>
  </rv>
  <rv s="1">
    <fb>5.9000000000000004E-2</fb>
    <v>23</v>
  </rv>
  <rv s="1">
    <fb>0.68400000000000005</fb>
    <v>23</v>
  </rv>
  <rv s="8">
    <v>#VALUE!</v>
    <v>en-US</v>
    <v>810015e8-b10b-4232-9e2c-de87a67bd26e</v>
    <v>536870912</v>
    <v>1</v>
    <v>137</v>
    <v>48</v>
    <v>South Carolina</v>
    <v>19</v>
    <v>20</v>
    <v>Map</v>
    <v>21</v>
    <v>49</v>
    <v>US-SC</v>
    <v>754</v>
    <v>755</v>
    <v>756</v>
    <v>0</v>
    <v>South Carolina is a state in the Southeastern region of the United States. It borders North Carolina to the north and northeast, the Atlantic Ocean to the southeast, and Georgia to the west and south across the Savannah River. Along with North ...</v>
    <v>757</v>
    <v>758</v>
    <v>759</v>
    <v>760</v>
    <v>765</v>
    <v>766</v>
    <v>767</v>
    <v>768</v>
    <v>769</v>
    <v>South Carolina</v>
    <v>31</v>
    <v>770</v>
    <v>771</v>
    <v>589</v>
    <v>772</v>
    <v>302</v>
    <v>201</v>
    <v>773</v>
    <v>774</v>
    <v>169</v>
    <v>641</v>
    <v>391</v>
    <v>775</v>
    <v>300</v>
    <v>40</v>
    <v>425</v>
    <v>776</v>
    <v>777</v>
    <v>778</v>
    <v>135</v>
    <v>South Carolina</v>
    <v>mdp/vdpid/31410</v>
  </rv>
  <rv s="1">
    <fb>109247</fb>
    <v>24</v>
  </rv>
  <rv s="1">
    <fb>36157</fb>
    <v>24</v>
  </rv>
  <rv s="0">
    <v>536870912</v>
    <v>Nashville, Tennessee</v>
    <v>e2accb9d-ccea-5b7c-7bbc-0db831476d61</v>
    <v>en-US</v>
    <v>Map</v>
  </rv>
  <rv s="1">
    <fb>2504556</fb>
    <v>24</v>
  </rv>
  <rv s="1">
    <fb>2919671</fb>
    <v>24</v>
  </rv>
  <rv s="2">
    <v>25</v>
    <v>21</v>
    <v>138</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37</v>
  </rv>
  <rv s="4">
    <v>https://www.bing.com/search?q=tennessee&amp;form=skydnc</v>
    <v>Learn more on Bing</v>
  </rv>
  <rv s="1">
    <fb>764</fb>
    <v>30</v>
  </rv>
  <rv s="1">
    <fb>45219</fb>
    <v>30</v>
  </rv>
  <rv s="1">
    <fb>142100</fb>
    <v>30</v>
  </rv>
  <rv s="1">
    <fb>7227750</fb>
    <v>24</v>
  </rv>
  <rv s="1">
    <fb>0.249</fb>
    <v>23</v>
  </rv>
  <rv s="1">
    <fb>0.17100000000000001</fb>
    <v>23</v>
  </rv>
  <rv s="1">
    <fb>0.85499999999999998</fb>
    <v>23</v>
  </rv>
  <rv s="1">
    <fb>0.61</fb>
    <v>23</v>
  </rv>
  <rv s="1">
    <fb>0.22699999999999998</fb>
    <v>23</v>
  </rv>
  <rv s="1">
    <fb>0.78799999999999992</fb>
    <v>23</v>
  </rv>
  <rv s="8">
    <v>#VALUE!</v>
    <v>en-US</v>
    <v>9bbc9c72-1bf1-4ef6-b66d-a6cdef70f4f3</v>
    <v>536870912</v>
    <v>1</v>
    <v>141</v>
    <v>48</v>
    <v>Tennessee</v>
    <v>19</v>
    <v>20</v>
    <v>Map</v>
    <v>21</v>
    <v>49</v>
    <v>US-TN</v>
    <v>780</v>
    <v>781</v>
    <v>782</v>
    <v>0</v>
    <v>Tennessee is a landlocked state in the Southeastern region of the United States. It borders Kentucky to the north, Virginia to the northeast, North Carolina to the east, Georgia, Alabama, and Mississippi to the south, Arkansas to the southwest, ...</v>
    <v>783</v>
    <v>784</v>
    <v>785</v>
    <v>782</v>
    <v>790</v>
    <v>791</v>
    <v>792</v>
    <v>793</v>
    <v>794</v>
    <v>Tennessee</v>
    <v>161</v>
    <v>196</v>
    <v>795</v>
    <v>169</v>
    <v>308</v>
    <v>744</v>
    <v>425</v>
    <v>796</v>
    <v>797</v>
    <v>169</v>
    <v>798</v>
    <v>312</v>
    <v>799</v>
    <v>300</v>
    <v>479</v>
    <v>425</v>
    <v>800</v>
    <v>398</v>
    <v>801</v>
    <v>343</v>
    <v>Tennessee</v>
    <v>mdp/vdpid/33025</v>
  </rv>
  <rv s="1">
    <fb>696241</fb>
    <v>24</v>
  </rv>
  <rv s="1">
    <fb>165853</fb>
    <v>24</v>
  </rv>
  <rv s="0">
    <v>536870912</v>
    <v>Austin, Texas</v>
    <v>afd7d7f6-01a2-401c-bb4d-59f7e34d585c</v>
    <v>en-US</v>
    <v>Map</v>
  </rv>
  <rv s="1">
    <fb>9149196</fb>
    <v>24</v>
  </rv>
  <rv s="1">
    <fb>10753629</fb>
    <v>24</v>
  </rv>
  <rv s="2">
    <v>26</v>
    <v>21</v>
    <v>142</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38</v>
  </rv>
  <rv s="4">
    <v>https://www.bing.com/search?q=texas&amp;form=skydnc</v>
    <v>Learn more on Bing</v>
  </rv>
  <rv s="1">
    <fb>882</fb>
    <v>30</v>
  </rv>
  <rv s="1">
    <fb>53207</fb>
    <v>30</v>
  </rv>
  <rv s="1">
    <fb>136000</fb>
    <v>30</v>
  </rv>
  <rv s="1">
    <fb>2.84</fb>
    <v>25</v>
  </rv>
  <rv s="1">
    <fb>31290831</fb>
    <v>24</v>
  </rv>
  <rv s="1">
    <fb>0.10800000000000001</fb>
    <v>23</v>
  </rv>
  <rv s="1">
    <fb>0.125</fb>
    <v>23</v>
  </rv>
  <rv s="1">
    <fb>0.16600000000000001</fb>
    <v>23</v>
  </rv>
  <rv s="1">
    <fb>0.81900000000000006</fb>
    <v>23</v>
  </rv>
  <rv s="1">
    <fb>0.64300000000000002</fb>
    <v>23</v>
  </rv>
  <rv s="1">
    <fb>8.1000000000000003E-2</fb>
    <v>23</v>
  </rv>
  <rv s="9">
    <v>#VALUE!</v>
    <v>en-US</v>
    <v>00a23ccd-3344-461c-8b9f-c2bb55be5815</v>
    <v>536870912</v>
    <v>1</v>
    <v>145</v>
    <v>66</v>
    <v>Texas</v>
    <v>19</v>
    <v>20</v>
    <v>Map</v>
    <v>21</v>
    <v>49</v>
    <v>US-TX</v>
    <v>803</v>
    <v>804</v>
    <v>805</v>
    <v>0</v>
    <v>Texas is the most populous state in the South Central region of the United States. It borders Louisiana to the east, Arkansas to the northeast, Oklahoma to the north, New Mexico to the west, and has an international border with the Mexican ...</v>
    <v>806</v>
    <v>807</v>
    <v>808</v>
    <v>809</v>
    <v>814</v>
    <v>815</v>
    <v>816</v>
    <v>817</v>
    <v>818</v>
    <v>Texas</v>
    <v>819</v>
    <v>820</v>
    <v>821</v>
    <v>746</v>
    <v>200</v>
    <v>204</v>
    <v>774</v>
    <v>822</v>
    <v>823</v>
    <v>824</v>
    <v>240</v>
    <v>825</v>
    <v>300</v>
    <v>826</v>
    <v>397</v>
    <v>615</v>
    <v>206</v>
    <v>512</v>
    <v>212</v>
    <v>Texas</v>
    <v>mdp/vdpid/33145</v>
  </rv>
  <rv s="1">
    <fb>219653</fb>
    <v>24</v>
  </rv>
  <rv s="1">
    <fb>22662</fb>
    <v>24</v>
  </rv>
  <rv s="0">
    <v>536870912</v>
    <v>Salt Lake City</v>
    <v>520b8048-39fe-4c55-8cbf-a52f9d8756fd</v>
    <v>en-US</v>
    <v>Map</v>
  </rv>
  <rv s="1">
    <fb>906292</fb>
    <v>24</v>
  </rv>
  <rv s="1">
    <fb>1054164</fb>
    <v>24</v>
  </rv>
  <rv s="2">
    <v>27</v>
    <v>21</v>
    <v>146</v>
    <v>7</v>
    <v>0</v>
    <v>Image of Utah</v>
  </rv>
  <rv s="0">
    <v>805306368</v>
    <v>Spencer Cox (Governor)</v>
    <v>b8df5066-fb62-3092-d3d5-fa1d766c0409</v>
    <v>en-US</v>
    <v>Generic</v>
  </rv>
  <rv s="0">
    <v>805306368</v>
    <v>Deidre Henderson (Lieutenant governor)</v>
    <v>644c1a0f-9cad-8cd7-ecd2-aa31b63f12c0</v>
    <v>en-US</v>
    <v>Generic</v>
  </rv>
  <rv s="0">
    <v>805306368</v>
    <v>Mike Lee (Senate)</v>
    <v>f5c85f74-0fbe-5ce1-327f-195c4ef26152</v>
    <v>en-US</v>
    <v>Generic</v>
  </rv>
  <rv s="0">
    <v>805306368</v>
    <v>John Curtis (Senate)</v>
    <v>9fcdc54d-156a-8cde-8ee6-0614a68038b7</v>
    <v>en-US</v>
    <v>Generic</v>
  </rv>
  <rv s="3">
    <v>39</v>
  </rv>
  <rv s="4">
    <v>https://www.bing.com/search?q=utah&amp;form=skydnc</v>
    <v>Learn more on Bing</v>
  </rv>
  <rv s="1">
    <fb>887</fb>
    <v>30</v>
  </rv>
  <rv s="1">
    <fb>60727</fb>
    <v>30</v>
  </rv>
  <rv s="1">
    <fb>215900</fb>
    <v>30</v>
  </rv>
  <rv s="1">
    <fb>3.15</fb>
    <v>25</v>
  </rv>
  <rv s="1">
    <fb>3503613</fb>
    <v>24</v>
  </rv>
  <rv s="1">
    <fb>1.4999999999999999E-2</fb>
    <v>38</v>
  </rv>
  <rv s="1">
    <fb>0.311</fb>
    <v>23</v>
  </rv>
  <rv s="1">
    <fb>1.3000000000000001E-2</fb>
    <v>23</v>
  </rv>
  <rv s="1">
    <fb>0.91200000000000003</fb>
    <v>23</v>
  </rv>
  <rv s="1">
    <fb>0.13699999999999998</fb>
    <v>23</v>
  </rv>
  <rv s="1">
    <fb>0.67700000000000005</fb>
    <v>23</v>
  </rv>
  <rv s="1">
    <fb>0.01</fb>
    <v>23</v>
  </rv>
  <rv s="8">
    <v>#VALUE!</v>
    <v>en-US</v>
    <v>c6705e44-d27f-4240-95a2-54e802e3b524</v>
    <v>536870912</v>
    <v>1</v>
    <v>149</v>
    <v>48</v>
    <v>Utah</v>
    <v>19</v>
    <v>20</v>
    <v>Map</v>
    <v>21</v>
    <v>49</v>
    <v>US-UT</v>
    <v>828</v>
    <v>829</v>
    <v>830</v>
    <v>0</v>
    <v>Utah is a state in the western United States. It is one of the Mountain States, sharing the Four Corners region with Arizona, Colorado, and New Mexico. It also borders Wyoming to the northeast, Idaho to the north, and Nevada to the west. In ...</v>
    <v>831</v>
    <v>832</v>
    <v>833</v>
    <v>830</v>
    <v>838</v>
    <v>839</v>
    <v>840</v>
    <v>841</v>
    <v>842</v>
    <v>Utah</v>
    <v>161</v>
    <v>843</v>
    <v>844</v>
    <v>563</v>
    <v>40</v>
    <v>845</v>
    <v>198</v>
    <v>846</v>
    <v>847</v>
    <v>164</v>
    <v>848</v>
    <v>849</v>
    <v>850</v>
    <v>851</v>
    <v>475</v>
    <v>419</v>
    <v>36</v>
    <v>164</v>
    <v>848</v>
    <v>179</v>
    <v>Utah</v>
    <v>mdp/vdpid/34626</v>
  </rv>
  <rv s="1">
    <fb>24923</fb>
    <v>24</v>
  </rv>
  <rv s="1">
    <fb>1771</fb>
    <v>24</v>
  </rv>
  <rv s="0">
    <v>536870912</v>
    <v>Montpelier, Vermont</v>
    <v>6a01399d-d09a-4bda-4500-012bb3271e9d</v>
    <v>en-US</v>
    <v>Map</v>
  </rv>
  <rv s="1">
    <fb>257167</fb>
    <v>24</v>
  </rv>
  <rv s="1">
    <fb>329525</fb>
    <v>24</v>
  </rv>
  <rv s="2">
    <v>28</v>
    <v>21</v>
    <v>150</v>
    <v>7</v>
    <v>0</v>
    <v>Image of Vermont</v>
  </rv>
  <rv s="0">
    <v>536870912</v>
    <v>Burlington, Vermont</v>
    <v>eebf9ffb-0254-aae7-1bdd-23d4e654a053</v>
    <v>en-US</v>
    <v>Map</v>
  </rv>
  <rv s="0">
    <v>805306368</v>
    <v>Phil Scott (Governor)</v>
    <v>f903a590-d3d7-9d9c-6429-b38ae1a17c71</v>
    <v>en-US</v>
    <v>Generic</v>
  </rv>
  <rv s="0">
    <v>805306368</v>
    <v>John S. Rodgers (Lieutenant governor)</v>
    <v>0f4d7c62-fed7-b470-0abd-dced794f3bca</v>
    <v>en-US</v>
    <v>Generic</v>
  </rv>
  <rv s="0">
    <v>805306368</v>
    <v>Bernie Sanders (Senate)</v>
    <v>d1b180da-aff9-59f7-887e-85784c68fe0c</v>
    <v>en-US</v>
    <v>Generic</v>
  </rv>
  <rv s="0">
    <v>805306368</v>
    <v>Peter Welch (Senate)</v>
    <v>30280e22-a5a0-57c8-a708-8fbde585185c</v>
    <v>en-US</v>
    <v>Generic</v>
  </rv>
  <rv s="3">
    <v>40</v>
  </rv>
  <rv s="4">
    <v>https://www.bing.com/search?q=vermont&amp;form=skydnc</v>
    <v>Learn more on Bing</v>
  </rv>
  <rv s="1">
    <fb>895</fb>
    <v>30</v>
  </rv>
  <rv s="1">
    <fb>55176</fb>
    <v>30</v>
  </rv>
  <rv s="1">
    <fb>217500</fb>
    <v>30</v>
  </rv>
  <rv s="1">
    <fb>2.34</fb>
    <v>25</v>
  </rv>
  <rv s="1">
    <fb>648493</fb>
    <v>24</v>
  </rv>
  <rv s="1">
    <fb>0.36</fb>
    <v>23</v>
  </rv>
  <rv s="1">
    <fb>4.2999999999999997E-2</fb>
    <v>23</v>
  </rv>
  <rv s="1">
    <fb>0.66599999999999993</fb>
    <v>23</v>
  </rv>
  <rv s="1">
    <fb>0.1</fb>
    <v>23</v>
  </rv>
  <rv s="1">
    <fb>0.192</fb>
    <v>23</v>
  </rv>
  <rv s="1">
    <fb>0.94799999999999995</fb>
    <v>23</v>
  </rv>
  <rv s="10">
    <v>#VALUE!</v>
    <v>en-US</v>
    <v>221864cc-447e-4e78-847c-59e485d73bff</v>
    <v>536870912</v>
    <v>1</v>
    <v>153</v>
    <v>95</v>
    <v>Vermont</v>
    <v>19</v>
    <v>20</v>
    <v>Map</v>
    <v>21</v>
    <v>96</v>
    <v>US-VT</v>
    <v>853</v>
    <v>854</v>
    <v>855</v>
    <v>0</v>
    <v>Vermont is a state in the New England region of the Northeastern United States. It borders Massachusetts to the south, New Hampshire to the east, New York to the west, and the Canadian province of Quebec to the north. According to the most ...</v>
    <v>856</v>
    <v>857</v>
    <v>858</v>
    <v>859</v>
    <v>864</v>
    <v>865</v>
    <v>866</v>
    <v>867</v>
    <v>868</v>
    <v>Vermont</v>
    <v>869</v>
    <v>870</v>
    <v>389</v>
    <v>132</v>
    <v>744</v>
    <v>201</v>
    <v>871</v>
    <v>847</v>
    <v>872</v>
    <v>426</v>
    <v>425</v>
    <v>873</v>
    <v>874</v>
    <v>397</v>
    <v>875</v>
    <v>508</v>
    <v>876</v>
    <v>135</v>
    <v>Vermont</v>
    <v>mdp/vdpid/35022</v>
  </rv>
  <rv s="1">
    <fb>110862</fb>
    <v>24</v>
  </rv>
  <rv s="1">
    <fb>31132</fb>
    <v>24</v>
  </rv>
  <rv s="0">
    <v>536870912</v>
    <v>Richmond, Virginia</v>
    <v>59263810-6a82-4930-943c-1fa0693b17b0</v>
    <v>en-US</v>
    <v>Map</v>
  </rv>
  <rv s="1">
    <fb>3062783</fb>
    <v>24</v>
  </rv>
  <rv s="1">
    <fb>3491054</fb>
    <v>24</v>
  </rv>
  <rv s="2">
    <v>29</v>
    <v>21</v>
    <v>154</v>
    <v>7</v>
    <v>0</v>
    <v>Image of Virginia</v>
  </rv>
  <rv s="0">
    <v>536870912</v>
    <v>Virginia Beach, Virginia</v>
    <v>6f1fd4dd-40ef-4ec3-989c-108c9b444996</v>
    <v>en-US</v>
    <v>Map</v>
  </rv>
  <rv s="0">
    <v>805306368</v>
    <v>Glenn Youngkin (Governor)</v>
    <v>b2cd9b8a-2e1b-ec73-3904-5c2f449bdf27</v>
    <v>en-US</v>
    <v>Generic</v>
  </rv>
  <rv s="0">
    <v>805306368</v>
    <v>Winsome Earle-Sears (Lieutenant governor)</v>
    <v>a590d049-99df-2c4d-8b48-583d259e49b9</v>
    <v>en-US</v>
    <v>Generic</v>
  </rv>
  <rv s="0">
    <v>805306368</v>
    <v>Mark Warner (Senate)</v>
    <v>bafe4c69-4773-f0a1-de77-fad6715b4e46</v>
    <v>en-US</v>
    <v>Generic</v>
  </rv>
  <rv s="0">
    <v>805306368</v>
    <v>Tim Kaine (Senate)</v>
    <v>9aab4faa-6ba2-9199-1171-b656b550d012</v>
    <v>en-US</v>
    <v>Generic</v>
  </rv>
  <rv s="3">
    <v>41</v>
  </rv>
  <rv s="4">
    <v>https://www.bing.com/search?q=virginia&amp;form=skydnc</v>
    <v>Learn more on Bing</v>
  </rv>
  <rv s="1">
    <fb>1116</fb>
    <v>30</v>
  </rv>
  <rv s="1">
    <fb>65015</fb>
    <v>30</v>
  </rv>
  <rv s="1">
    <fb>245000</fb>
    <v>30</v>
  </rv>
  <rv s="1">
    <fb>2.62</fb>
    <v>25</v>
  </rv>
  <rv s="1">
    <fb>8811195</fb>
    <v>24</v>
  </rv>
  <rv s="1">
    <fb>0.36299999999999999</fb>
    <v>23</v>
  </rv>
  <rv s="1">
    <fb>0.88300000000000001</fb>
    <v>23</v>
  </rv>
  <rv s="1">
    <fb>0.09</fb>
    <v>23</v>
  </rv>
  <rv s="1">
    <fb>0.64700000000000002</fb>
    <v>23</v>
  </rv>
  <rv s="1">
    <fb>0.70200000000000007</fb>
    <v>23</v>
  </rv>
  <rv s="8">
    <v>#VALUE!</v>
    <v>en-US</v>
    <v>7eee9976-e8a7-472c-ada1-007208abd678</v>
    <v>536870912</v>
    <v>1</v>
    <v>157</v>
    <v>48</v>
    <v>Virginia</v>
    <v>19</v>
    <v>20</v>
    <v>Map</v>
    <v>21</v>
    <v>49</v>
    <v>US-VA</v>
    <v>878</v>
    <v>879</v>
    <v>880</v>
    <v>0</v>
    <v>Virginia, officially the Commonwealth of Virginia, is a state in the Southeastern and Mid-Atlantic regions of the United States between the Atlantic Coast and the Appalachian Mountains. The state's capital is Richmond and its most populous city ...</v>
    <v>881</v>
    <v>882</v>
    <v>883</v>
    <v>884</v>
    <v>889</v>
    <v>890</v>
    <v>891</v>
    <v>892</v>
    <v>893</v>
    <v>Virginia</v>
    <v>161</v>
    <v>894</v>
    <v>895</v>
    <v>39</v>
    <v>390</v>
    <v>302</v>
    <v>237</v>
    <v>896</v>
    <v>336</v>
    <v>746</v>
    <v>897</v>
    <v>898</v>
    <v>899</v>
    <v>300</v>
    <v>536</v>
    <v>276</v>
    <v>776</v>
    <v>398</v>
    <v>900</v>
    <v>135</v>
    <v>Virginia</v>
    <v>mdp/vdpid/35364</v>
  </rv>
  <rv s="1">
    <fb>169640</fb>
    <v>24</v>
  </rv>
  <rv s="1">
    <fb>19274</fb>
    <v>24</v>
  </rv>
  <rv s="0">
    <v>536870912</v>
    <v>Madison, Wisconsin</v>
    <v>65426cc9-93eb-4569-8c2e-3b7c1b070278</v>
    <v>en-US</v>
    <v>Map</v>
  </rv>
  <rv s="1">
    <fb>2299107</fb>
    <v>24</v>
  </rv>
  <rv s="1">
    <fb>2668444</fb>
    <v>24</v>
  </rv>
  <rv s="2">
    <v>30</v>
    <v>21</v>
    <v>158</v>
    <v>7</v>
    <v>0</v>
    <v>Image of Wisconsin</v>
  </rv>
  <rv s="0">
    <v>536870912</v>
    <v>Milwaukee</v>
    <v>9fdb4bdb-6dd4-4dd1-9159-1e8abc73ab65</v>
    <v>en-US</v>
    <v>Map</v>
  </rv>
  <rv s="0">
    <v>805306368</v>
    <v>Tony Evers (Governor)</v>
    <v>a4d4fdcd-e9ac-4b23-8636-43a292c35b66</v>
    <v>en-US</v>
    <v>Generic</v>
  </rv>
  <rv s="0">
    <v>805306368</v>
    <v>Sara Rodriguez (Lieutenant governor)</v>
    <v>4d4d413b-6899-5243-5ea1-275db9b91d6a</v>
    <v>en-US</v>
    <v>Generic</v>
  </rv>
  <rv s="0">
    <v>805306368</v>
    <v>Ron Johnson (Senate)</v>
    <v>9451b73e-ab4e-c84d-6362-8ff17c286608</v>
    <v>en-US</v>
    <v>Generic</v>
  </rv>
  <rv s="0">
    <v>805306368</v>
    <v>Tammy Baldwin (Senate)</v>
    <v>df4c81b2-fcc2-4576-db39-5b0b27c09625</v>
    <v>en-US</v>
    <v>Generic</v>
  </rv>
  <rv s="3">
    <v>42</v>
  </rv>
  <rv s="4">
    <v>https://www.bing.com/search?q=wisconsin&amp;form=skydnc</v>
    <v>Learn more on Bing</v>
  </rv>
  <rv s="1">
    <fb>776</fb>
    <v>30</v>
  </rv>
  <rv s="1">
    <fb>53357</fb>
    <v>30</v>
  </rv>
  <rv s="1">
    <fb>165800</fb>
    <v>30</v>
  </rv>
  <rv s="1">
    <fb>2.4300000000000002</fb>
    <v>25</v>
  </rv>
  <rv s="1">
    <fb>5960975</fb>
    <v>24</v>
  </rv>
  <rv s="1">
    <fb>0.156</fb>
    <v>23</v>
  </rv>
  <rv s="1">
    <fb>1.1000000000000001E-2</fb>
    <v>38</v>
  </rv>
  <rv s="1">
    <fb>0.27800000000000002</fb>
    <v>23</v>
  </rv>
  <rv s="1">
    <fb>0.91</fb>
    <v>23</v>
  </rv>
  <rv s="1">
    <fb>0.67099999999999993</fb>
    <v>23</v>
  </rv>
  <rv s="1">
    <fb>0.22399999999999998</fb>
    <v>23</v>
  </rv>
  <rv s="1">
    <fb>0.87599999999999989</fb>
    <v>23</v>
  </rv>
  <rv s="9">
    <v>#VALUE!</v>
    <v>en-US</v>
    <v>cb4d2853-06f4-4467-8e7c-4e31cbb35cb2</v>
    <v>536870912</v>
    <v>1</v>
    <v>161</v>
    <v>66</v>
    <v>Wisconsin</v>
    <v>19</v>
    <v>20</v>
    <v>Map</v>
    <v>21</v>
    <v>49</v>
    <v>US-WI</v>
    <v>902</v>
    <v>903</v>
    <v>904</v>
    <v>0</v>
    <v>Wisconsin is a state in the Great Lakes region of the Upper Midwest of the United States. It borders Minnesota to the west, Iowa to the southwest, Illinois to the south, Lake Michigan to the east, Michigan to the northeast, and Lake Superior to ...</v>
    <v>905</v>
    <v>906</v>
    <v>907</v>
    <v>908</v>
    <v>913</v>
    <v>914</v>
    <v>915</v>
    <v>916</v>
    <v>917</v>
    <v>Wisconsin</v>
    <v>918</v>
    <v>919</v>
    <v>201</v>
    <v>920</v>
    <v>921</v>
    <v>333</v>
    <v>922</v>
    <v>475</v>
    <v>169</v>
    <v>923</v>
    <v>475</v>
    <v>924</v>
    <v>300</v>
    <v>175</v>
    <v>425</v>
    <v>925</v>
    <v>777</v>
    <v>926</v>
    <v>212</v>
    <v>Wisconsin</v>
    <v>mdp/vdpid/36684</v>
  </rv>
  <rv s="0">
    <v>536870912</v>
    <v>Cook County, Illinois</v>
    <v>38aa555d-a2f0-25e5-0b3a-ef870e8ef479</v>
    <v>en-US</v>
    <v>Map</v>
  </rv>
  <rv s="1">
    <fb>606.42399999999998</fb>
    <v>24</v>
  </rv>
  <rv s="0">
    <v>536870912</v>
    <v>United States</v>
    <v>e3ef53f2-d302-b22a-64a7-6e0ce65be769</v>
    <v>en-US</v>
    <v>Map</v>
  </rv>
  <rv s="2">
    <v>31</v>
    <v>21</v>
    <v>162</v>
    <v>7</v>
    <v>0</v>
    <v>Image of Chicago</v>
  </rv>
  <rv s="1">
    <fb>41.850029999999997</fb>
    <v>43</v>
  </rv>
  <rv s="0">
    <v>805306368</v>
    <v>Brandon Johnson (Mayor)</v>
    <v>51f38d5b-94e7-0349-9108-0f3eb33757cb</v>
    <v>en-US</v>
    <v>Generic</v>
  </rv>
  <rv s="3">
    <v>43</v>
  </rv>
  <rv s="4">
    <v>https://www.bing.com/search?q=chicago&amp;form=skydnc</v>
    <v>Learn more on Bing</v>
  </rv>
  <rv s="1">
    <fb>-87.650049999999993</fb>
    <v>43</v>
  </rv>
  <rv s="1">
    <fb>2664452</fb>
    <v>24</v>
  </rv>
  <rv s="3">
    <v>44</v>
  </rv>
  <rv s="12">
    <v>#VALUE!</v>
    <v>en-US</v>
    <v>28deeb39-ca49-4bd4-913b-929b1de4b25b</v>
    <v>536870912</v>
    <v>1</v>
    <v>163</v>
    <v>164</v>
    <v>Chicago</v>
    <v>19</v>
    <v>20</v>
    <v>Map</v>
    <v>21</v>
    <v>165</v>
    <v>55</v>
    <v>928</v>
    <v>929</v>
    <v>930</v>
    <v>Chicago is the most populous city in the U.S. state of Illinois and in the Midwestern United States. With a population of 2,746,388, as of the 2020 census, it is the third-most populous city in the United States after New York City and Los ...</v>
    <v>931</v>
    <v>932</v>
    <v>934</v>
    <v>935</v>
    <v>936</v>
    <v>Chicago</v>
    <v>937</v>
    <v>938</v>
    <v>Chicago</v>
    <v>mdp/vdpid/5477686925982695427</v>
  </rv>
  <rv s="0">
    <v>536870912</v>
    <v>Suffolk County</v>
    <v>cc8426c8-f6bc-398c-aab9-d3baeeb8d2cd</v>
    <v>en-US</v>
    <v>Map</v>
  </rv>
  <rv s="1">
    <fb>232.16776100000001</fb>
    <v>24</v>
  </rv>
  <rv s="0">
    <v>536870912</v>
    <v>Province of Massachusetts Bay</v>
    <v>05c8a95b-0b0f-51d2-5794-107d56018d69</v>
    <v>en-US</v>
    <v>Map</v>
  </rv>
  <rv s="2">
    <v>32</v>
    <v>21</v>
    <v>166</v>
    <v>7</v>
    <v>0</v>
    <v>Image of Boston</v>
  </rv>
  <rv s="1">
    <fb>42.360277777777803</fb>
    <v>43</v>
  </rv>
  <rv s="0">
    <v>805306368</v>
    <v>Michelle Wu (Mayor)</v>
    <v>08af4efd-ebd0-46fe-8bf9-e695cde7c2b8</v>
    <v>en-US</v>
    <v>Generic</v>
  </rv>
  <rv s="3">
    <v>45</v>
  </rv>
  <rv s="4">
    <v>https://www.bing.com/search?q=boston+massachusetts&amp;form=skydnc</v>
    <v>Learn more on Bing</v>
  </rv>
  <rv s="1">
    <fb>-71.057777777777801</fb>
    <v>43</v>
  </rv>
  <rv s="1">
    <fb>675647</fb>
    <v>24</v>
  </rv>
  <rv s="12">
    <v>#VALUE!</v>
    <v>en-US</v>
    <v>f0f5899a-361f-4fe4-89d1-11130aa2c653</v>
    <v>536870912</v>
    <v>1</v>
    <v>167</v>
    <v>164</v>
    <v>Boston</v>
    <v>19</v>
    <v>20</v>
    <v>Map</v>
    <v>21</v>
    <v>42</v>
    <v>63</v>
    <v>940</v>
    <v>941</v>
    <v>942</v>
    <v>Boston, officially the state of Boston, is the capital and most populous city in the Commonwealth of Massachusetts in the United States. The city serves as the cultural and financial center of the New England region of the Northeastern United ...</v>
    <v>943</v>
    <v>944</v>
    <v>946</v>
    <v>947</v>
    <v>948</v>
    <v>Boston</v>
    <v>949</v>
    <v>135</v>
    <v>Boston</v>
    <v>mdp/vdpid/5488162429013590018</v>
  </rv>
  <rv s="0">
    <v>536870912</v>
    <v>Albany County</v>
    <v>a3061797-713e-5786-6c4e-9e48da278578</v>
    <v>en-US</v>
    <v>Map</v>
  </rv>
  <rv s="1">
    <fb>56.813794999999999</fb>
    <v>24</v>
  </rv>
  <rv s="2">
    <v>33</v>
    <v>21</v>
    <v>168</v>
    <v>7</v>
    <v>0</v>
    <v>Image of Albany, New York</v>
  </rv>
  <rv s="1">
    <fb>42.65</fb>
    <v>43</v>
  </rv>
  <rv s="0">
    <v>805306368</v>
    <v>Kathy Sheehan (Mayor)</v>
    <v>1731f8a8-2401-4ecb-ac65-14c77d908f53</v>
    <v>en-US</v>
    <v>Generic</v>
  </rv>
  <rv s="3">
    <v>46</v>
  </rv>
  <rv s="4">
    <v>https://www.bing.com/search?q=albany+new+york&amp;form=skydnc</v>
    <v>Learn more on Bing</v>
  </rv>
  <rv s="1">
    <fb>-73.766666666667007</fb>
    <v>43</v>
  </rv>
  <rv s="1">
    <fb>99224</fb>
    <v>24</v>
  </rv>
  <rv s="12">
    <v>#VALUE!</v>
    <v>en-US</v>
    <v>62ca8245-972e-448d-af38-345d4a958798</v>
    <v>536870912</v>
    <v>1</v>
    <v>169</v>
    <v>164</v>
    <v>Albany, New York</v>
    <v>19</v>
    <v>20</v>
    <v>Map</v>
    <v>21</v>
    <v>42</v>
    <v>74</v>
    <v>951</v>
    <v>952</v>
    <v>107</v>
    <v>Albany is the capital and oldest city in the U.S. state of New York and the seat of and the most populous city in the county of the same name. It is located on the west bank of the Hudson River, about 10 miles south of its confluence with the ...</v>
    <v>953</v>
    <v>954</v>
    <v>956</v>
    <v>957</v>
    <v>958</v>
    <v>Albany, New York</v>
    <v>959</v>
    <v>135</v>
    <v>Albany, New York</v>
    <v>mdp/vdpid/5486479930554318849</v>
  </rv>
  <rv s="0">
    <v>536870912</v>
    <v>Montgomery County</v>
    <v>27d3e780-702a-653d-5cb6-1ab46da66710</v>
    <v>en-US</v>
    <v>Map</v>
  </rv>
  <rv s="1">
    <fb>1724.5445070000001</fb>
    <v>24</v>
  </rv>
  <rv s="2">
    <v>34</v>
    <v>21</v>
    <v>170</v>
    <v>7</v>
    <v>0</v>
    <v>Image of Houston</v>
  </rv>
  <rv s="1">
    <fb>29.762777777777998</fb>
    <v>43</v>
  </rv>
  <rv s="0">
    <v>805306368</v>
    <v>Sylvester Turner (Mayor)</v>
    <v>70668f90-c5da-66f0-41ae-152a1286911b</v>
    <v>en-US</v>
    <v>Generic</v>
  </rv>
  <rv s="3">
    <v>47</v>
  </rv>
  <rv s="4">
    <v>https://www.bing.com/search?q=houston+texas&amp;form=skydnc</v>
    <v>Learn more on Bing</v>
  </rv>
  <rv s="1">
    <fb>-95.383055555555998</fb>
    <v>43</v>
  </rv>
  <rv s="1">
    <fb>2304580</fb>
    <v>24</v>
  </rv>
  <rv s="12">
    <v>#VALUE!</v>
    <v>en-US</v>
    <v>ad99c262-d92e-4e88-87f7-5c66752fec36</v>
    <v>536870912</v>
    <v>1</v>
    <v>171</v>
    <v>164</v>
    <v>Houston</v>
    <v>19</v>
    <v>20</v>
    <v>Map</v>
    <v>21</v>
    <v>42</v>
    <v>85</v>
    <v>961</v>
    <v>962</v>
    <v>107</v>
    <v>Houston is the most populous city in the U.S. state of Texas and in the Southern United States. Located in Southeast Texas near Galveston Bay and the Gulf of Mexico, it is the seat of Harris County; as well as the principal city of the Greater ...</v>
    <v>963</v>
    <v>964</v>
    <v>966</v>
    <v>967</v>
    <v>968</v>
    <v>Houston</v>
    <v>969</v>
    <v>212</v>
    <v>Houston</v>
    <v>mdp/vdpid/5110537662389813249</v>
  </rv>
  <rv s="1">
    <fb>161.82191399999999</fb>
    <v>24</v>
  </rv>
  <rv s="2">
    <v>35</v>
    <v>21</v>
    <v>172</v>
    <v>7</v>
    <v>0</v>
    <v>Image of Richmond, Virginia</v>
  </rv>
  <rv s="1">
    <fb>37.540833333333303</fb>
    <v>43</v>
  </rv>
  <rv s="0">
    <v>805306368</v>
    <v>Danny Avula (Mayor)</v>
    <v>132de1f0-e810-27b5-3081-6c6eaf3da372</v>
    <v>en-US</v>
    <v>Generic</v>
  </rv>
  <rv s="3">
    <v>48</v>
  </rv>
  <rv s="4">
    <v>https://www.bing.com/search?q=richmond+virginia&amp;form=skydnc</v>
    <v>Learn more on Bing</v>
  </rv>
  <rv s="1">
    <fb>-77.436666666666696</fb>
    <v>43</v>
  </rv>
  <rv s="1">
    <fb>226610</fb>
    <v>24</v>
  </rv>
  <rv s="7">
    <v>#VALUE!</v>
    <v>en-US</v>
    <v>59263810-6a82-4930-943c-1fa0693b17b0</v>
    <v>536870912</v>
    <v>1</v>
    <v>173</v>
    <v>41</v>
    <v>Richmond, Virginia</v>
    <v>19</v>
    <v>20</v>
    <v>Map</v>
    <v>21</v>
    <v>42</v>
    <v>88</v>
    <v>971</v>
    <v>930</v>
    <v>Richmond is the capital city of the U.S. commonwealth of Virginia. Incorporated in 1742, Richmond has been an independent city since 1871. The city's population in the 2020 United States census was 226,610, up from 204,214 in 2010, making it ...</v>
    <v>972</v>
    <v>973</v>
    <v>975</v>
    <v>976</v>
    <v>977</v>
    <v>Richmond, Virginia</v>
    <v>978</v>
    <v>135</v>
    <v>Richmond, Virginia</v>
    <v>mdp/vdpid/10037721</v>
  </rv>
  <rv s="0">
    <v>536870912</v>
    <v>Spain</v>
    <v>1baf9d59-f443-e9f4-6e49-de048a073e3f</v>
    <v>en-US</v>
    <v>Map</v>
  </rv>
  <rv s="1">
    <fb>0.52577247440306896</fb>
    <v>23</v>
  </rv>
  <rv s="1">
    <fb>505990</fb>
    <v>24</v>
  </rv>
  <rv s="1">
    <fb>196000</fb>
    <v>24</v>
  </rv>
  <rv s="1">
    <fb>7.9</fb>
    <v>25</v>
  </rv>
  <rv s="1">
    <fb>34</fb>
    <v>26</v>
  </rv>
  <rv s="0">
    <v>536870912</v>
    <v>Madrid</v>
    <v>a497c067-c4c6-4bf4-9a5d-34fd30589bda</v>
    <v>en-US</v>
    <v>Map</v>
  </rv>
  <rv s="1">
    <fb>244002.18</fb>
    <v>24</v>
  </rv>
  <rv s="1">
    <fb>110.96151904206</fb>
    <v>27</v>
  </rv>
  <rv s="1">
    <fb>6.9953624171701497E-3</fb>
    <v>23</v>
  </rv>
  <rv s="1">
    <fb>5355.9870055822103</fb>
    <v>24</v>
  </rv>
  <rv s="1">
    <fb>1.26</fb>
    <v>25</v>
  </rv>
  <rv s="1">
    <fb>0.36936209528965797</fb>
    <v>23</v>
  </rv>
  <rv s="1">
    <fb>72.955546118337793</fb>
    <v>28</v>
  </rv>
  <rv s="1">
    <fb>1.26</fb>
    <v>29</v>
  </rv>
  <rv s="1">
    <fb>1394116310768.6299</fb>
    <v>30</v>
  </rv>
  <rv s="1">
    <fb>1.0271029</fb>
    <v>23</v>
  </rv>
  <rv s="1">
    <fb>0.88853009999999999</fb>
    <v>23</v>
  </rv>
  <rv s="2">
    <v>36</v>
    <v>21</v>
    <v>175</v>
    <v>7</v>
    <v>0</v>
    <v>Image of Spain</v>
  </rv>
  <rv s="1">
    <fb>2.5</fb>
    <v>28</v>
  </rv>
  <rv s="0">
    <v>805306368</v>
    <v>Felipe VI (Monarch)</v>
    <v>ec86fb82-ddbc-286a-d1a7-3644682c1efc</v>
    <v>en-US</v>
    <v>Generic</v>
  </rv>
  <rv s="0">
    <v>805306368</v>
    <v>Pedro Sánchez (Prime minister)</v>
    <v>9e0d6cf3-f466-7b6f-0a92-aa23020fc120</v>
    <v>en-US</v>
    <v>Generic</v>
  </rv>
  <rv s="3">
    <v>49</v>
  </rv>
  <rv s="4">
    <v>https://www.bing.com/search?q=spain&amp;form=skydnc</v>
    <v>Learn more on Bing</v>
  </rv>
  <rv s="1">
    <fb>83.334146341463395</fb>
    <v>28</v>
  </rv>
  <rv s="1">
    <fb>797285840000</fb>
    <v>30</v>
  </rv>
  <rv s="1">
    <fb>4</fb>
    <v>28</v>
  </rv>
  <rv s="1">
    <fb>5.6</fb>
    <v>29</v>
  </rv>
  <rv s="3">
    <v>50</v>
  </rv>
  <rv s="1">
    <fb>0.24229018520000001</fb>
    <v>23</v>
  </rv>
  <rv s="1">
    <fb>3.8723000000000001</fb>
    <v>25</v>
  </rv>
  <rv s="1">
    <fb>47615034</fb>
    <v>24</v>
  </rv>
  <rv s="1">
    <fb>0.254</fb>
    <v>23</v>
  </rv>
  <rv s="1">
    <fb>0.41</fb>
    <v>23</v>
  </rv>
  <rv s="1">
    <fb>0.122</fb>
    <v>23</v>
  </rv>
  <rv s="1">
    <fb>0.17199999999999999</fb>
    <v>23</v>
  </rv>
  <rv s="1">
    <fb>0.57492000579834002</fb>
    <v>23</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51</v>
  </rv>
  <rv s="1">
    <fb>0.14248211393678101</fb>
    <v>23</v>
  </rv>
  <rv s="3">
    <v>52</v>
  </rv>
  <rv s="1">
    <fb>0.47</fb>
    <v>23</v>
  </rv>
  <rv s="1">
    <fb>0.13958999633789099</fb>
    <v>31</v>
  </rv>
  <rv s="1">
    <fb>37927409</fb>
    <v>24</v>
  </rv>
  <rv s="5">
    <v>#VALUE!</v>
    <v>en-US</v>
    <v>1baf9d59-f443-e9f4-6e49-de048a073e3f</v>
    <v>536870912</v>
    <v>1</v>
    <v>178</v>
    <v>17</v>
    <v>Spain</v>
    <v>19</v>
    <v>20</v>
    <v>Map</v>
    <v>21</v>
    <v>179</v>
    <v>ES</v>
    <v>981</v>
    <v>982</v>
    <v>983</v>
    <v>984</v>
    <v>985</v>
    <v>986</v>
    <v>987</v>
    <v>988</v>
    <v>989</v>
    <v>EUR</v>
    <v>Spain, officially the Kingdom of Spain, is a country in Southwestern Europe with territories in North Africa. Featuring the southernmost point of continental Europe, it is the largest country in Southern Europe and the fourth-most populous ...</v>
    <v>990</v>
    <v>991</v>
    <v>992</v>
    <v>993</v>
    <v>994</v>
    <v>995</v>
    <v>996</v>
    <v>997</v>
    <v>998</v>
    <v>999</v>
    <v>986</v>
    <v>1002</v>
    <v>1003</v>
    <v>1004</v>
    <v>1005</v>
    <v>1006</v>
    <v>1007</v>
    <v>Spain</v>
    <v>Marcha Real</v>
    <v>1008</v>
    <v>Reino de España</v>
    <v>1009</v>
    <v>1010</v>
    <v>1011</v>
    <v>539</v>
    <v>1012</v>
    <v>1013</v>
    <v>590</v>
    <v>278</v>
    <v>1014</v>
    <v>1015</v>
    <v>1016</v>
    <v>1035</v>
    <v>1036</v>
    <v>1037</v>
    <v>1038</v>
    <v>1039</v>
    <v>Spain</v>
    <v>1040</v>
    <v>mdp/vdpid/217</v>
  </rv>
  <rv s="1">
    <fb>604.45510000000002</fb>
    <v>24</v>
  </rv>
  <rv s="2">
    <v>37</v>
    <v>21</v>
    <v>180</v>
    <v>7</v>
    <v>0</v>
    <v>Image of Madrid</v>
  </rv>
  <rv s="1">
    <fb>40.416944444444397</fb>
    <v>43</v>
  </rv>
  <rv s="0">
    <v>805306368</v>
    <v>José Luis Martínez-Almeida (Mayor)</v>
    <v>d059f89e-9389-5fff-d365-894d7aefd20e</v>
    <v>en-US</v>
    <v>Generic</v>
  </rv>
  <rv s="3">
    <v>53</v>
  </rv>
  <rv s="4">
    <v>https://www.bing.com/search?q=madrid+spain&amp;form=skydnc</v>
    <v>Learn more on Bing</v>
  </rv>
  <rv s="1">
    <fb>-3.70333333333333</fb>
    <v>43</v>
  </rv>
  <rv s="1">
    <fb>3332035</fb>
    <v>24</v>
  </rv>
  <rv s="13">
    <v>#VALUE!</v>
    <v>en-US</v>
    <v>a497c067-c4c6-4bf4-9a5d-34fd30589bda</v>
    <v>536870912</v>
    <v>1</v>
    <v>181</v>
    <v>182</v>
    <v>Madrid</v>
    <v>19</v>
    <v>20</v>
    <v>Map</v>
    <v>21</v>
    <v>165</v>
    <v>1019</v>
    <v>1042</v>
    <v>980</v>
    <v>Madrid is the capital and most populous city of Spain. The city has almost 3.4 million inhabitants and a metropolitan area population of approximately 7 million. It is the second-largest city in the European Union, and its monocentric ...</v>
    <v>1043</v>
    <v>1044</v>
    <v>1046</v>
    <v>1047</v>
    <v>1048</v>
    <v>Madrid</v>
    <v>1049</v>
    <v>Madrid</v>
    <v>mdp/vdpid/5669357583933112321</v>
  </rv>
  <rv s="0">
    <v>536870912</v>
    <v>Japan</v>
    <v>130d0438-fafb-cd2d-1a9e-1dd9c5aa87a9</v>
    <v>en-US</v>
    <v>Map</v>
  </rv>
  <rv s="1">
    <fb>0.122640991880623</fb>
    <v>23</v>
  </rv>
  <rv s="1">
    <fb>377972.28</fb>
    <v>24</v>
  </rv>
  <rv s="1">
    <fb>261000</fb>
    <v>24</v>
  </rv>
  <rv s="1">
    <fb>7.4</fb>
    <v>25</v>
  </rv>
  <rv s="1">
    <fb>81</fb>
    <v>26</v>
  </rv>
  <rv s="0">
    <v>536870912</v>
    <v>Tokyo</v>
    <v>cb44a92f-6c6f-99c4-2ae3-51601fdc919a</v>
    <v>en-US</v>
    <v>Map</v>
  </rv>
  <rv s="1">
    <fb>1135886.253</fb>
    <v>24</v>
  </rv>
  <rv s="1">
    <fb>105.482172148839</fb>
    <v>27</v>
  </rv>
  <rv s="1">
    <fb>4.7697368421052103E-3</fb>
    <v>23</v>
  </rv>
  <rv s="1">
    <fb>7819.7146359093604</fb>
    <v>24</v>
  </rv>
  <rv s="1">
    <fb>1.42</fb>
    <v>25</v>
  </rv>
  <rv s="1">
    <fb>0.68456222269653788</fb>
    <v>23</v>
  </rv>
  <rv s="1">
    <fb>93.026455107462894</fb>
    <v>28</v>
  </rv>
  <rv s="1">
    <fb>1.06</fb>
    <v>29</v>
  </rv>
  <rv s="1">
    <fb>5081769542379.7695</fb>
    <v>30</v>
  </rv>
  <rv s="1">
    <fb>0.98799942016601605</fb>
    <v>23</v>
  </rv>
  <rv s="1">
    <fb>0.63237579345703099</fb>
    <v>23</v>
  </rv>
  <rv s="2">
    <v>38</v>
    <v>21</v>
    <v>184</v>
    <v>7</v>
    <v>0</v>
    <v>Image of Japan</v>
  </rv>
  <rv s="1">
    <fb>1.8</fb>
    <v>28</v>
  </rv>
  <rv s="0">
    <v>805306368</v>
    <v>Naruhito (Emperor)</v>
    <v>35e4e13c-2b05-0c5c-8b77-bb62a3da4162</v>
    <v>en-US</v>
    <v>Generic</v>
  </rv>
  <rv s="0">
    <v>805306368</v>
    <v>Shigeru Ishiba (Prime minister)</v>
    <v>dddb9483-d8cc-cc64-0dc3-9b8261eb78ec</v>
    <v>en-US</v>
    <v>Generic</v>
  </rv>
  <rv s="3">
    <v>54</v>
  </rv>
  <rv s="4">
    <v>https://www.bing.com/search?q=japan&amp;form=skydnc</v>
    <v>Learn more on Bing</v>
  </rv>
  <rv s="1">
    <fb>84.210975609756105</fb>
    <v>28</v>
  </rv>
  <rv s="1">
    <fb>6191073290000</fb>
    <v>30</v>
  </rv>
  <rv s="1">
    <fb>5</fb>
    <v>28</v>
  </rv>
  <rv s="1">
    <fb>6.77</fb>
    <v>29</v>
  </rv>
  <rv s="3">
    <v>55</v>
  </rv>
  <rv s="1">
    <fb>0.13097521000000001</fb>
    <v>23</v>
  </rv>
  <rv s="1">
    <fb>2.4115000000000002</fb>
    <v>25</v>
  </rv>
  <rv s="1">
    <fb>125124989</fb>
    <v>24</v>
  </rv>
  <rv s="1">
    <fb>0.217</fb>
    <v>23</v>
  </rv>
  <rv s="1">
    <fb>0.26400000000000001</fb>
    <v>23</v>
  </rv>
  <rv s="1">
    <fb>0.41100000000000003</fb>
    <v>23</v>
  </rv>
  <rv s="1">
    <fb>0.61726001739502001</fb>
    <v>23</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56</v>
  </rv>
  <rv s="1">
    <fb>0.11905933830538</fb>
    <v>23</v>
  </rv>
  <rv s="3">
    <v>57</v>
  </rv>
  <rv s="1">
    <fb>0.46700000000000003</fb>
    <v>23</v>
  </rv>
  <rv s="1">
    <fb>2.2909998893737803E-2</fb>
    <v>31</v>
  </rv>
  <rv s="1">
    <fb>115782416</fb>
    <v>24</v>
  </rv>
  <rv s="5">
    <v>#VALUE!</v>
    <v>en-US</v>
    <v>130d0438-fafb-cd2d-1a9e-1dd9c5aa87a9</v>
    <v>536870912</v>
    <v>1</v>
    <v>187</v>
    <v>17</v>
    <v>Japan</v>
    <v>19</v>
    <v>20</v>
    <v>Map</v>
    <v>21</v>
    <v>188</v>
    <v>JP</v>
    <v>1052</v>
    <v>1053</v>
    <v>1054</v>
    <v>1055</v>
    <v>1056</v>
    <v>1057</v>
    <v>1058</v>
    <v>1059</v>
    <v>1060</v>
    <v>JPY</v>
    <v>Japan is an island country in East Asia. Located in the Pacific Ocean off the northeast coast of the Asian mainland, it is bordered on the west by the Sea of Japan and extends from the Sea of Okhotsk in the north to the East China Sea in the ...</v>
    <v>1061</v>
    <v>1062</v>
    <v>1063</v>
    <v>1064</v>
    <v>1065</v>
    <v>1066</v>
    <v>1067</v>
    <v>1068</v>
    <v>1069</v>
    <v>1070</v>
    <v>1057</v>
    <v>1073</v>
    <v>1074</v>
    <v>1075</v>
    <v>1076</v>
    <v>1077</v>
    <v>1078</v>
    <v>Japan</v>
    <v>Kimigayo</v>
    <v>1079</v>
    <v>日本国</v>
    <v>1080</v>
    <v>1081</v>
    <v>1082</v>
    <v>1083</v>
    <v>1084</v>
    <v>1085</v>
    <v>276</v>
    <v>536</v>
    <v>362</v>
    <v>823</v>
    <v>1086</v>
    <v>1132</v>
    <v>1133</v>
    <v>1134</v>
    <v>1135</v>
    <v>1136</v>
    <v>Japan</v>
    <v>1137</v>
    <v>mdp/vdpid/122</v>
  </rv>
  <rv s="1">
    <fb>2194.0500000000002</fb>
    <v>24</v>
  </rv>
  <rv s="0">
    <v>536870912</v>
    <v>Special wards of Tokyo</v>
    <v>991a398b-acba-89c9-84b8-4eb77b3886d7</v>
    <v>en-US</v>
    <v>Map</v>
  </rv>
  <rv s="2">
    <v>39</v>
    <v>21</v>
    <v>189</v>
    <v>7</v>
    <v>0</v>
    <v>Image of Tokyo</v>
  </rv>
  <rv s="0">
    <v>536870912</v>
    <v>Shinjuku</v>
    <v>5632a22f-8419-6fb3-4f39-59c7c6326f8c</v>
    <v>en-US</v>
    <v>Map</v>
  </rv>
  <rv s="0">
    <v>805306368</v>
    <v>Yuriko Koike (Governor)</v>
    <v>3529b845-857d-a726-e527-f3385928e06a</v>
    <v>en-US</v>
    <v>Generic</v>
  </rv>
  <rv s="3">
    <v>58</v>
  </rv>
  <rv s="4">
    <v>https://www.bing.com/search?q=tokyo&amp;form=skydnc</v>
    <v>Learn more on Bing</v>
  </rv>
  <rv s="1">
    <fb>14187176</fb>
    <v>24</v>
  </rv>
  <rv s="14">
    <v>#VALUE!</v>
    <v>en-US</v>
    <v>cb44a92f-6c6f-99c4-2ae3-51601fdc919a</v>
    <v>536870912</v>
    <v>1</v>
    <v>191</v>
    <v>192</v>
    <v>Tokyo</v>
    <v>19</v>
    <v>20</v>
    <v>Map</v>
    <v>21</v>
    <v>193</v>
    <v>JP-13</v>
    <v>1139</v>
    <v>1140</v>
    <v>1051</v>
    <v>Tokyo, officially the Tokyo Metropolis, is the capital city of Japan. With a population of over 14 million in the city proper in 2023, it is one of the most populous urban areas in the world. The Greater Tokyo Area, which includes Tokyo and ...</v>
    <v>1141</v>
    <v>1142</v>
    <v>1144</v>
    <v>1145</v>
    <v>Tokyo</v>
    <v>1146</v>
    <v>1134</v>
    <v>Tokyo</v>
    <v>mdp/vdpid/7932754762162765825</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40</v>
    <v>21</v>
    <v>195</v>
    <v>7</v>
    <v>0</v>
    <v>Image of France</v>
  </rv>
  <rv s="1">
    <fb>3.4</fb>
    <v>28</v>
  </rv>
  <rv s="0">
    <v>805306368</v>
    <v>Emmanuel Macron (President)</v>
    <v>35be5a56-7a78-6352-b158-60da8f84c858</v>
    <v>en-US</v>
    <v>Generic</v>
  </rv>
  <rv s="0">
    <v>805306368</v>
    <v>François Bayrou (Prime minister)</v>
    <v>901a2dc7-aad0-c6da-f219-c2d7def8acba</v>
    <v>en-US</v>
    <v>Generic</v>
  </rv>
  <rv s="3">
    <v>59</v>
  </rv>
  <rv s="4">
    <v>https://www.bing.com/search?q=france&amp;form=skydnc</v>
    <v>Learn more on Bing</v>
  </rv>
  <rv s="1">
    <fb>82.526829268292701</fb>
    <v>28</v>
  </rv>
  <rv s="1">
    <fb>2365950236659.3599</fb>
    <v>30</v>
  </rv>
  <rv s="1">
    <fb>8</fb>
    <v>28</v>
  </rv>
  <rv s="1">
    <fb>11.16</fb>
    <v>29</v>
  </rv>
  <rv s="3">
    <v>60</v>
  </rv>
  <rv s="1">
    <fb>6.7968269799999995E-2</fb>
    <v>23</v>
  </rv>
  <rv s="1">
    <fb>3.2671999999999999</fb>
    <v>25</v>
  </rv>
  <rv s="1">
    <fb>67749632</fb>
    <v>24</v>
  </rv>
  <rv s="1">
    <fb>0.21899999999999997</fb>
    <v>23</v>
  </rv>
  <rv s="1">
    <fb>0.4</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61</v>
  </rv>
  <rv s="1">
    <fb>0.24229980509910898</fb>
    <v>23</v>
  </rv>
  <rv s="3">
    <v>62</v>
  </rv>
  <rv s="1">
    <fb>0.60699999999999998</fb>
    <v>23</v>
  </rv>
  <rv s="1">
    <fb>8.4270000457763714E-2</fb>
    <v>31</v>
  </rv>
  <rv s="1">
    <fb>54123364</fb>
    <v>24</v>
  </rv>
  <rv s="5">
    <v>#VALUE!</v>
    <v>en-US</v>
    <v>c7bfe2de-4f82-e23c-ae42-8544b5b5c0ea</v>
    <v>536870912</v>
    <v>1</v>
    <v>198</v>
    <v>17</v>
    <v>France</v>
    <v>19</v>
    <v>20</v>
    <v>Map</v>
    <v>21</v>
    <v>199</v>
    <v>FR</v>
    <v>1149</v>
    <v>1150</v>
    <v>1151</v>
    <v>1152</v>
    <v>1153</v>
    <v>1154</v>
    <v>1155</v>
    <v>1156</v>
    <v>1157</v>
    <v>EUR</v>
    <v>France, officially the French Republic, is a country located primarily in Western Europe. Its overseas regions and territories include French Guiana in South America, Saint Pierre and Miquelon in the North Atlantic, the French West Indies, and ...</v>
    <v>1158</v>
    <v>1159</v>
    <v>1160</v>
    <v>1161</v>
    <v>1162</v>
    <v>1163</v>
    <v>1164</v>
    <v>1165</v>
    <v>1166</v>
    <v>1167</v>
    <v>1154</v>
    <v>1170</v>
    <v>1171</v>
    <v>1172</v>
    <v>1173</v>
    <v>1174</v>
    <v>1175</v>
    <v>France</v>
    <v>La Marseillaise</v>
    <v>1176</v>
    <v>République française</v>
    <v>1177</v>
    <v>1178</v>
    <v>1179</v>
    <v>1180</v>
    <v>773</v>
    <v>1181</v>
    <v>269</v>
    <v>826</v>
    <v>267</v>
    <v>395</v>
    <v>1182</v>
    <v>1208</v>
    <v>1209</v>
    <v>1210</v>
    <v>1211</v>
    <v>1212</v>
    <v>France</v>
    <v>1213</v>
    <v>mdp/vdpid/84</v>
  </rv>
  <rv s="0">
    <v>536870912</v>
    <v>Metropolitan France</v>
    <v>a50a7b3c-58a6-b52d-98d1-10a1a763403b</v>
    <v>en-US</v>
    <v>Map</v>
  </rv>
  <rv s="1">
    <fb>105.4</fb>
    <v>24</v>
  </rv>
  <rv s="2">
    <v>41</v>
    <v>21</v>
    <v>200</v>
    <v>7</v>
    <v>0</v>
    <v>Image of Paris</v>
  </rv>
  <rv s="1">
    <fb>48.856666666666698</fb>
    <v>43</v>
  </rv>
  <rv s="0">
    <v>805306368</v>
    <v>Anne Hidalgo (Mayor)</v>
    <v>f26212ed-b25d-e4f8-ecf0-85777b9d38cf</v>
    <v>en-US</v>
    <v>Generic</v>
  </rv>
  <rv s="3">
    <v>63</v>
  </rv>
  <rv s="4">
    <v>https://www.bing.com/search?q=paris+france&amp;form=skydnc</v>
    <v>Learn more on Bing</v>
  </rv>
  <rv s="1">
    <fb>2.35222222222222</fb>
    <v>43</v>
  </rv>
  <rv s="1">
    <fb>2048472</fb>
    <v>24</v>
  </rv>
  <rv s="12">
    <v>#VALUE!</v>
    <v>en-US</v>
    <v>85584d24-2116-5b98-89f9-5714db931ac6</v>
    <v>536870912</v>
    <v>1</v>
    <v>201</v>
    <v>164</v>
    <v>Paris</v>
    <v>19</v>
    <v>20</v>
    <v>Map</v>
    <v>21</v>
    <v>202</v>
    <v>1215</v>
    <v>1186</v>
    <v>1216</v>
    <v>1148</v>
    <v>Paris is the capital and largest city of France. With an estimated population of 2,048,472 residents in January 2025 in an area of more than 105 km², Paris is the fourth-most populous city in the European Union, the ninth-most populous city in ...</v>
    <v>1217</v>
    <v>1218</v>
    <v>1220</v>
    <v>1221</v>
    <v>1222</v>
    <v>Paris</v>
    <v>1223</v>
    <v>1037</v>
    <v>Paris</v>
    <v>mdp/vdpid/7012570570818584578</v>
  </rv>
  <rv s="0">
    <v>536870912</v>
    <v>Chile</v>
    <v>604665af-d1f4-5c64-9b93-1ef5f0471308</v>
    <v>en-US</v>
    <v>Map</v>
  </rv>
  <rv s="1">
    <fb>0.21171649832251302</fb>
    <v>23</v>
  </rv>
  <rv s="1">
    <fb>756102</fb>
    <v>24</v>
  </rv>
  <rv s="1">
    <fb>122000</fb>
    <v>24</v>
  </rv>
  <rv s="1">
    <fb>12.428000000000001</fb>
    <v>25</v>
  </rv>
  <rv s="1">
    <fb>56</fb>
    <v>26</v>
  </rv>
  <rv s="0">
    <v>536870912</v>
    <v>Santiago</v>
    <v>190dd277-52dd-5feb-5523-200c59886f8e</v>
    <v>en-US</v>
    <v>Map</v>
  </rv>
  <rv s="1">
    <fb>85822.467999999993</fb>
    <v>24</v>
  </rv>
  <rv s="1">
    <fb>131.913566974844</fb>
    <v>27</v>
  </rv>
  <rv s="1">
    <fb>2.55754475703323E-2</fb>
    <v>23</v>
  </rv>
  <rv s="1">
    <fb>3879.6756048594998</fb>
    <v>24</v>
  </rv>
  <rv s="1">
    <fb>1.649</fb>
    <v>25</v>
  </rv>
  <rv s="1">
    <fb>0.24256925086238501</fb>
    <v>23</v>
  </rv>
  <rv s="1">
    <fb>74.647212262567805</fb>
    <v>28</v>
  </rv>
  <rv s="1">
    <fb>1.03</fb>
    <v>29</v>
  </rv>
  <rv s="1">
    <fb>282318159744.65002</fb>
    <v>30</v>
  </rv>
  <rv s="1">
    <fb>1.0143016</fb>
    <v>23</v>
  </rv>
  <rv s="1">
    <fb>0.88464419999999999</fb>
    <v>23</v>
  </rv>
  <rv s="2">
    <v>42</v>
    <v>21</v>
    <v>204</v>
    <v>7</v>
    <v>0</v>
    <v>Image of Chile</v>
  </rv>
  <rv s="1">
    <fb>6.2</fb>
    <v>28</v>
  </rv>
  <rv s="0">
    <v>805306368</v>
    <v>Gabriel Boric (President)</v>
    <v>a5b9649e-0dda-ce69-dd77-b90d92799948</v>
    <v>en-US</v>
    <v>Generic</v>
  </rv>
  <rv s="3">
    <v>64</v>
  </rv>
  <rv s="4">
    <v>https://www.bing.com/search?q=chile&amp;form=skydnc</v>
    <v>Learn more on Bing</v>
  </rv>
  <rv s="1">
    <fb>80.042000000000002</fb>
    <v>28</v>
  </rv>
  <rv s="1">
    <fb>203791650000</fb>
    <v>30</v>
  </rv>
  <rv s="1">
    <fb>13</fb>
    <v>28</v>
  </rv>
  <rv s="1">
    <fb>2</fb>
    <v>29</v>
  </rv>
  <rv s="1">
    <fb>0.32240714050000002</fb>
    <v>23</v>
  </rv>
  <rv s="1">
    <fb>2.5912000000000002</fb>
    <v>25</v>
  </rv>
  <rv s="1">
    <fb>19603733</fb>
    <v>24</v>
  </rv>
  <rv s="1">
    <fb>0.51300000000000001</fb>
    <v>23</v>
  </rv>
  <rv s="1">
    <fb>9.6999999999999989E-2</fb>
    <v>23</v>
  </rv>
  <rv s="1">
    <fb>0.13600000000000001</fb>
    <v>23</v>
  </rv>
  <rv s="1">
    <fb>0.62644001007080097</fb>
    <v>23</v>
  </rv>
  <rv s="0">
    <v>536870912</v>
    <v>Arica y Parinacota Region</v>
    <v>e82edc74-d7d4-52a9-63c9-da07aa4c8d07</v>
    <v>en-US</v>
    <v>Map</v>
  </rv>
  <rv s="0">
    <v>536870912</v>
    <v>Tarapacá Region</v>
    <v>f71529e3-ca1d-662b-2695-7619691fe930</v>
    <v>en-US</v>
    <v>Map</v>
  </rv>
  <rv s="0">
    <v>536870912</v>
    <v>Antofagasta Region</v>
    <v>0e94e649-e291-382e-a367-acb53290d201</v>
    <v>en-US</v>
    <v>Map</v>
  </rv>
  <rv s="0">
    <v>536870912</v>
    <v>Atacama Region</v>
    <v>f345e54e-574a-13c9-92e8-8aee46fdab13</v>
    <v>en-US</v>
    <v>Map</v>
  </rv>
  <rv s="0">
    <v>536870912</v>
    <v>Coquimbo Region</v>
    <v>76048cc3-d603-9c38-a167-a7ca5b8cbbc2</v>
    <v>en-US</v>
    <v>Map</v>
  </rv>
  <rv s="0">
    <v>536870912</v>
    <v>Valparaíso Region</v>
    <v>16db3fa8-cd1b-2e46-c8fd-319a483e9f74</v>
    <v>en-US</v>
    <v>Map</v>
  </rv>
  <rv s="0">
    <v>536870912</v>
    <v>O'Higgins Region</v>
    <v>a69b3fd5-459d-0124-d048-5d97d3c59ccc</v>
    <v>en-US</v>
    <v>Map</v>
  </rv>
  <rv s="0">
    <v>536870912</v>
    <v>Maule Region</v>
    <v>1e2324a1-9cb4-35ae-b663-73c3f67a17d5</v>
    <v>en-US</v>
    <v>Map</v>
  </rv>
  <rv s="0">
    <v>536870912</v>
    <v>Biobío Region</v>
    <v>e7f0592f-2534-c4f2-c1d3-fdea2c39f853</v>
    <v>en-US</v>
    <v>Map</v>
  </rv>
  <rv s="0">
    <v>536870912</v>
    <v>Araucanía Region</v>
    <v>2d02ef0b-dd81-faa4-520b-0ec94f6d1f8e</v>
    <v>en-US</v>
    <v>Map</v>
  </rv>
  <rv s="0">
    <v>536870912</v>
    <v>Los Ríos Region</v>
    <v>d63a8dc4-6856-1b2f-c860-14be52df0d59</v>
    <v>en-US</v>
    <v>Map</v>
  </rv>
  <rv s="0">
    <v>536870912</v>
    <v>Los Lagos Region</v>
    <v>e02e6fdd-6c61-e5bb-60a2-e02511b76154</v>
    <v>en-US</v>
    <v>Map</v>
  </rv>
  <rv s="0">
    <v>536870912</v>
    <v>Aysén Region</v>
    <v>f1dfad18-7a71-c02b-6499-9d48079ad086</v>
    <v>en-US</v>
    <v>Map</v>
  </rv>
  <rv s="0">
    <v>536870912</v>
    <v>Magallanes Region</v>
    <v>bae16453-cc13-6536-3ecf-d010cdfe7779</v>
    <v>en-US</v>
    <v>Map</v>
  </rv>
  <rv s="0">
    <v>536870912</v>
    <v>Santiago Metropolitan Region</v>
    <v>593b7d08-69b9-06ed-9b5c-adea6868ff88</v>
    <v>en-US</v>
    <v>Map</v>
  </rv>
  <rv s="3">
    <v>65</v>
  </rv>
  <rv s="1">
    <fb>0.182194149378896</fb>
    <v>23</v>
  </rv>
  <rv s="3">
    <v>66</v>
  </rv>
  <rv s="1">
    <fb>0.34</fb>
    <v>23</v>
  </rv>
  <rv s="1">
    <fb>7.09000015258789E-2</fb>
    <v>31</v>
  </rv>
  <rv s="1">
    <fb>16610135</fb>
    <v>24</v>
  </rv>
  <rv s="5">
    <v>#VALUE!</v>
    <v>en-US</v>
    <v>604665af-d1f4-5c64-9b93-1ef5f0471308</v>
    <v>536870912</v>
    <v>1</v>
    <v>207</v>
    <v>17</v>
    <v>Chile</v>
    <v>19</v>
    <v>20</v>
    <v>Map</v>
    <v>21</v>
    <v>208</v>
    <v>CL</v>
    <v>1226</v>
    <v>1227</v>
    <v>1228</v>
    <v>1229</v>
    <v>1230</v>
    <v>1231</v>
    <v>1232</v>
    <v>1233</v>
    <v>1234</v>
    <v>CLF</v>
    <v>Chile, officially the Republic of Chile, is a country in western South America. It is the southernmost country in the world and the closest to Antarctica, stretching along a narrow strip of land between the Andes Mountains and the Pacific Ocean. ...</v>
    <v>1235</v>
    <v>1236</v>
    <v>1237</v>
    <v>1238</v>
    <v>1239</v>
    <v>1240</v>
    <v>1241</v>
    <v>1242</v>
    <v>1243</v>
    <v>1244</v>
    <v>1231</v>
    <v>1246</v>
    <v>1247</v>
    <v>1248</v>
    <v>1249</v>
    <v>1250</v>
    <v>1251</v>
    <v>Chile</v>
    <v>National Anthem of Chile</v>
    <v>1008</v>
    <v>Chile</v>
    <v>1252</v>
    <v>1253</v>
    <v>1254</v>
    <v>336</v>
    <v>896</v>
    <v>1255</v>
    <v>481</v>
    <v>511</v>
    <v>1256</v>
    <v>1257</v>
    <v>1258</v>
    <v>1274</v>
    <v>1275</v>
    <v>1276</v>
    <v>1277</v>
    <v>1278</v>
    <v>Chile</v>
    <v>1279</v>
    <v>mdp/vdpid/46</v>
  </rv>
  <rv s="1">
    <fb>837.89</fb>
    <v>24</v>
  </rv>
  <rv s="2">
    <v>43</v>
    <v>21</v>
    <v>209</v>
    <v>7</v>
    <v>0</v>
    <v>Image of Santiago</v>
  </rv>
  <rv s="1">
    <fb>-33.4375</fb>
    <v>43</v>
  </rv>
  <rv s="0">
    <v>805306368</v>
    <v>Claudio Orrego (Governor)</v>
    <v>8d69da3a-7203-a1bd-c4ba-cdb5b8619732</v>
    <v>en-US</v>
    <v>Generic</v>
  </rv>
  <rv s="3">
    <v>67</v>
  </rv>
  <rv s="4">
    <v>https://www.bing.com/search?q=santiago+chile&amp;form=skydnc</v>
    <v>Learn more on Bing</v>
  </rv>
  <rv s="1">
    <fb>-70.650000000000006</fb>
    <v>43</v>
  </rv>
  <rv s="1">
    <fb>6257516</fb>
    <v>24</v>
  </rv>
  <rv s="15">
    <v>#VALUE!</v>
    <v>en-US</v>
    <v>190dd277-52dd-5feb-5523-200c59886f8e</v>
    <v>536870912</v>
    <v>1</v>
    <v>210</v>
    <v>211</v>
    <v>Santiago</v>
    <v>19</v>
    <v>20</v>
    <v>Map</v>
    <v>21</v>
    <v>212</v>
    <v>1273</v>
    <v>1273</v>
    <v>1281</v>
    <v>1225</v>
    <v>Santiago, also known as Santiago de Chile, is the capital and largest city of Chile and one of the largest cities in the Americas. It is located in the country's central valley and is the center of the Santiago Metropolitan Region, which has a ...</v>
    <v>1282</v>
    <v>1283</v>
    <v>1285</v>
    <v>1286</v>
    <v>1287</v>
    <v>Santiago</v>
    <v>1288</v>
    <v>Santiago</v>
    <v>mdp/vdpid/6430568610371993606</v>
  </rv>
  <rv s="0">
    <v>536870912</v>
    <v>Netherlands</v>
    <v>bf5c1a4b-df0b-09dc-dce0-e3fb0c898dd3</v>
    <v>en-US</v>
    <v>Map</v>
  </rv>
  <rv s="1">
    <fb>0.53309587414663095</fb>
    <v>23</v>
  </rv>
  <rv s="1">
    <fb>37378</fb>
    <v>24</v>
  </rv>
  <rv s="1">
    <fb>41000</fb>
    <v>24</v>
  </rv>
  <rv s="1">
    <fb>9.6999999999999993</fb>
    <v>25</v>
  </rv>
  <rv s="1">
    <fb>31</fb>
    <v>26</v>
  </rv>
  <rv s="0">
    <v>536870912</v>
    <v>Amsterdam</v>
    <v>0b840501-8599-9528-5b22-13589caf205a</v>
    <v>en-US</v>
    <v>Map</v>
  </rv>
  <rv s="1">
    <fb>170779.524</fb>
    <v>24</v>
  </rv>
  <rv s="1">
    <fb>115.907994941178</fb>
    <v>27</v>
  </rv>
  <rv s="1">
    <fb>2.6336991024959299E-2</fb>
    <v>23</v>
  </rv>
  <rv s="1">
    <fb>6712.7747582450002</fb>
    <v>24</v>
  </rv>
  <rv s="1">
    <fb>1.59</fb>
    <v>25</v>
  </rv>
  <rv s="1">
    <fb>0.11178391395177099</fb>
    <v>23</v>
  </rv>
  <rv s="1">
    <fb>93.461004609605595</fb>
    <v>28</v>
  </rv>
  <rv s="1">
    <fb>1.68</fb>
    <v>29</v>
  </rv>
  <rv s="1">
    <fb>909070395160.78296</fb>
    <v>30</v>
  </rv>
  <rv s="1">
    <fb>1.0422962</fb>
    <v>23</v>
  </rv>
  <rv s="1">
    <fb>0.84980450000000007</fb>
    <v>23</v>
  </rv>
  <rv s="2">
    <v>44</v>
    <v>21</v>
    <v>214</v>
    <v>7</v>
    <v>0</v>
    <v>Image of Netherlands</v>
  </rv>
  <rv s="1">
    <fb>3.3</fb>
    <v>28</v>
  </rv>
  <rv s="0">
    <v>805306368</v>
    <v>Willem-Alexander of the Netherlands (Monarch)</v>
    <v>70912573-f10f-4d1d-a8f8-220566451e74</v>
    <v>en-US</v>
    <v>Generic</v>
  </rv>
  <rv s="0">
    <v>805306368</v>
    <v>Dick Schoof (Prime minister)</v>
    <v>f233de31-7c15-bae6-4524-fea7e2b4af68</v>
    <v>en-US</v>
    <v>Generic</v>
  </rv>
  <rv s="3">
    <v>68</v>
  </rv>
  <rv s="4">
    <v>https://www.bing.com/search?q=netherlands&amp;form=skydnc</v>
    <v>Learn more on Bing</v>
  </rv>
  <rv s="1">
    <fb>81.760975609756102</fb>
    <v>28</v>
  </rv>
  <rv s="1">
    <fb>1100105440292.49</fb>
    <v>30</v>
  </rv>
  <rv s="1">
    <fb>10.29</fb>
    <v>29</v>
  </rv>
  <rv s="3">
    <v>69</v>
  </rv>
  <rv s="1">
    <fb>0.1225176999</fb>
    <v>23</v>
  </rv>
  <rv s="1">
    <fb>3.6053999999999999</fb>
    <v>25</v>
  </rv>
  <rv s="1">
    <fb>17942942</fb>
    <v>24</v>
  </rv>
  <rv s="1">
    <fb>0.13800000000000001</fb>
    <v>23</v>
  </rv>
  <rv s="1">
    <fb>0.17499999999999999</fb>
    <v>23</v>
  </rv>
  <rv s="1">
    <fb>0.63619998931884802</fb>
    <v>23</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70</v>
  </rv>
  <rv s="1">
    <fb>0.230359193787393</fb>
    <v>23</v>
  </rv>
  <rv s="3">
    <v>71</v>
  </rv>
  <rv s="1">
    <fb>0.41200000000000003</fb>
    <v>23</v>
  </rv>
  <rv s="1">
    <fb>3.1960000991821301E-2</fb>
    <v>31</v>
  </rv>
  <rv s="1">
    <fb>15924729</fb>
    <v>24</v>
  </rv>
  <rv s="5">
    <v>#VALUE!</v>
    <v>en-US</v>
    <v>bf5c1a4b-df0b-09dc-dce0-e3fb0c898dd3</v>
    <v>536870912</v>
    <v>1</v>
    <v>217</v>
    <v>17</v>
    <v>Netherlands</v>
    <v>19</v>
    <v>20</v>
    <v>Map</v>
    <v>21</v>
    <v>218</v>
    <v>NL</v>
    <v>1291</v>
    <v>1292</v>
    <v>1293</v>
    <v>1294</v>
    <v>1295</v>
    <v>1296</v>
    <v>1297</v>
    <v>1298</v>
    <v>1299</v>
    <v>EUR</v>
    <v>The Netherlands, informally Holland, is a country in Northwestern Europe, with overseas territories in the Caribbean. It is the largest of the four constituent countries of the Kingdom of the Netherlands. The Netherlands consists of twelve ...</v>
    <v>1300</v>
    <v>1301</v>
    <v>1302</v>
    <v>1303</v>
    <v>1304</v>
    <v>1305</v>
    <v>1306</v>
    <v>1307</v>
    <v>1308</v>
    <v>1309</v>
    <v>1296</v>
    <v>1312</v>
    <v>1313</v>
    <v>1314</v>
    <v>1315</v>
    <v>1077</v>
    <v>1316</v>
    <v>Netherlands</v>
    <v>Wilhelmus</v>
    <v>1317</v>
    <v>Nederland</v>
    <v>1318</v>
    <v>1319</v>
    <v>1320</v>
    <v>776</v>
    <v>245</v>
    <v>304</v>
    <v>421</v>
    <v>369</v>
    <v>1321</v>
    <v>1322</v>
    <v>1323</v>
    <v>1338</v>
    <v>1339</v>
    <v>1340</v>
    <v>1341</v>
    <v>1342</v>
    <v>Netherlands</v>
    <v>1343</v>
    <v>mdp/vdpid/176</v>
  </rv>
  <rv s="0">
    <v>536870912</v>
    <v>Australia</v>
    <v>06de2191-243d-a83f-6990-2eb1c7f3382a</v>
    <v>en-US</v>
    <v>Map</v>
  </rv>
  <rv s="1">
    <fb>0.48241944248714902</fb>
    <v>23</v>
  </rv>
  <rv s="1">
    <fb>7692024</fb>
    <v>24</v>
  </rv>
  <rv s="1">
    <fb>58000</fb>
    <v>24</v>
  </rv>
  <rv s="1">
    <fb>12.6</fb>
    <v>25</v>
  </rv>
  <rv s="1">
    <fb>61</fb>
    <v>26</v>
  </rv>
  <rv s="0">
    <v>536870912</v>
    <v>Canberra</v>
    <v>59ab58e3-2f00-9175-e7b8-76d910040855</v>
    <v>en-US</v>
    <v>Map</v>
  </rv>
  <rv s="1">
    <fb>375907.837</fb>
    <v>24</v>
  </rv>
  <rv s="1">
    <fb>119.797086368366</fb>
    <v>27</v>
  </rv>
  <rv s="1">
    <fb>1.61076787290379E-2</fb>
    <v>23</v>
  </rv>
  <rv s="1">
    <fb>10071.3989785006</fb>
    <v>24</v>
  </rv>
  <rv s="1">
    <fb>1.74</fb>
    <v>25</v>
  </rv>
  <rv s="1">
    <fb>0.16258278059599401</fb>
    <v>23</v>
  </rv>
  <rv s="1">
    <fb>89.625630110237395</fb>
    <v>28</v>
  </rv>
  <rv s="1">
    <fb>0.93</fb>
    <v>29</v>
  </rv>
  <rv s="1">
    <fb>1392680589329.1399</fb>
    <v>30</v>
  </rv>
  <rv s="1">
    <fb>1.0033898000000001</fb>
    <v>23</v>
  </rv>
  <rv s="1">
    <fb>1.1314216000000001</fb>
    <v>23</v>
  </rv>
  <rv s="2">
    <v>45</v>
    <v>21</v>
    <v>220</v>
    <v>7</v>
    <v>0</v>
    <v>Image of Australia</v>
  </rv>
  <rv s="1">
    <fb>3.1</fb>
    <v>28</v>
  </rv>
  <rv s="0">
    <v>536870912</v>
    <v>Sydney</v>
    <v>3ecec2e8-2993-42e7-7299-f693bbe3b9b9</v>
    <v>en-US</v>
    <v>Map</v>
  </rv>
  <rv s="0">
    <v>805306368</v>
    <v>Charles III (Monarch)</v>
    <v>afc6f6a9-5b55-9178-3e6f-2c8b6d16ee9c</v>
    <v>en-US</v>
    <v>Generic</v>
  </rv>
  <rv s="0">
    <v>805306368</v>
    <v>Anthony Albanese (Prime minister)</v>
    <v>00f8b947-2f64-9828-df4d-5993583bdbe4</v>
    <v>en-US</v>
    <v>Generic</v>
  </rv>
  <rv s="3">
    <v>72</v>
  </rv>
  <rv s="4">
    <v>https://www.bing.com/search?q=australia&amp;form=skydnc</v>
    <v>Learn more on Bing</v>
  </rv>
  <rv s="1">
    <fb>82.748780487804893</fb>
    <v>28</v>
  </rv>
  <rv s="1">
    <fb>1487598500000</fb>
    <v>30</v>
  </rv>
  <rv s="1">
    <fb>6</fb>
    <v>28</v>
  </rv>
  <rv s="1">
    <fb>13.59</fb>
    <v>29</v>
  </rv>
  <rv s="3">
    <v>73</v>
  </rv>
  <rv s="1">
    <fb>0.19558295019999999</fb>
    <v>23</v>
  </rv>
  <rv s="1">
    <fb>3.6778</fb>
    <v>25</v>
  </rv>
  <rv s="1">
    <fb>25978935</fb>
    <v>24</v>
  </rv>
  <rv s="1">
    <fb>0.42100000000000004</fb>
    <v>23</v>
  </rv>
  <rv s="1">
    <fb>0.65517997741699208</fb>
    <v>23</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74</v>
  </rv>
  <rv s="1">
    <fb>0.22985815296127299</fb>
    <v>23</v>
  </rv>
  <rv s="3">
    <v>75</v>
  </rv>
  <rv s="1">
    <fb>0.47399999999999998</fb>
    <v>23</v>
  </rv>
  <rv s="1">
    <fb>5.2680001258850098E-2</fb>
    <v>31</v>
  </rv>
  <rv s="1">
    <fb>21844756</fb>
    <v>24</v>
  </rv>
  <rv s="5">
    <v>#VALUE!</v>
    <v>en-US</v>
    <v>06de2191-243d-a83f-6990-2eb1c7f3382a</v>
    <v>536870912</v>
    <v>1</v>
    <v>223</v>
    <v>17</v>
    <v>Australia</v>
    <v>19</v>
    <v>20</v>
    <v>Map</v>
    <v>21</v>
    <v>224</v>
    <v>AU</v>
    <v>1346</v>
    <v>1347</v>
    <v>1348</v>
    <v>1349</v>
    <v>1350</v>
    <v>1351</v>
    <v>1352</v>
    <v>1353</v>
    <v>1354</v>
    <v>AUD</v>
    <v>Australia, officially the Commonwealth of Australia, is a country comprising the mainland of the Australian continent, the island of Tasmania and numerous smaller islands. It has a total area of 7,688,287 km², making it the sixth-largest country ...</v>
    <v>1355</v>
    <v>1356</v>
    <v>1357</v>
    <v>1358</v>
    <v>1359</v>
    <v>1360</v>
    <v>1361</v>
    <v>1362</v>
    <v>1363</v>
    <v>1364</v>
    <v>1365</v>
    <v>1368</v>
    <v>1369</v>
    <v>1370</v>
    <v>1371</v>
    <v>1372</v>
    <v>1373</v>
    <v>Australia</v>
    <v>Advance Australia Fair</v>
    <v>1374</v>
    <v>Commonwealth of Australia</v>
    <v>1375</v>
    <v>1376</v>
    <v>1377</v>
    <v>667</v>
    <v>238</v>
    <v>1378</v>
    <v>333</v>
    <v>644</v>
    <v>1014</v>
    <v>418</v>
    <v>1379</v>
    <v>1395</v>
    <v>1396</v>
    <v>1397</v>
    <v>1398</v>
    <v>1399</v>
    <v>Australia</v>
    <v>1400</v>
    <v>mdp/vdpid/12</v>
  </rv>
  <rv s="1">
    <fb>12144.6</fb>
    <v>24</v>
  </rv>
  <rv s="2">
    <v>46</v>
    <v>21</v>
    <v>225</v>
    <v>7</v>
    <v>0</v>
    <v>Image of Sydney</v>
  </rv>
  <rv s="1">
    <fb>-33.867777777777803</fb>
    <v>43</v>
  </rv>
  <rv s="4">
    <v>https://www.bing.com/search?q=sydney+australia&amp;form=skydnc</v>
    <v>Learn more on Bing</v>
  </rv>
  <rv s="1">
    <fb>151.21</fb>
    <v>43</v>
  </rv>
  <rv s="1">
    <fb>4698656</fb>
    <v>24</v>
  </rv>
  <rv s="16">
    <v>#VALUE!</v>
    <v>en-US</v>
    <v>3ecec2e8-2993-42e7-7299-f693bbe3b9b9</v>
    <v>536870912</v>
    <v>1</v>
    <v>226</v>
    <v>227</v>
    <v>Sydney</v>
    <v>19</v>
    <v>20</v>
    <v>Map</v>
    <v>21</v>
    <v>228</v>
    <v>1381</v>
    <v>1402</v>
    <v>1345</v>
    <v>Sydney is the capital city of the state of New South Wales, and the most populous city in Australia. Located on Australia's east coast, the metropolis surrounds Sydney Harbour and extends about 80 km from the Pacific Ocean in the east to the ...</v>
    <v>1403</v>
    <v>1404</v>
    <v>1405</v>
    <v>1406</v>
    <v>Sydney</v>
    <v>1407</v>
    <v>Sydney</v>
    <v>mdp/vdpid/8878834554543013889</v>
  </rv>
  <rv s="0">
    <v>536870912</v>
    <v>Barcelona</v>
    <v>d5173d0d-188f-c557-d46a-fbf1f89f03ce</v>
    <v>en-US</v>
    <v>Map</v>
  </rv>
  <rv s="0">
    <v>536870912</v>
    <v>Barcelona Province</v>
    <v>b2a3ae51-9710-d8d5-f226-e01e09478534</v>
    <v>en-US</v>
    <v>Map</v>
  </rv>
  <rv s="1">
    <fb>101.3</fb>
    <v>24</v>
  </rv>
  <rv s="2">
    <v>47</v>
    <v>21</v>
    <v>229</v>
    <v>7</v>
    <v>0</v>
    <v>Image of Barcelona</v>
  </rv>
  <rv s="1">
    <fb>41.3825</fb>
    <v>43</v>
  </rv>
  <rv s="0">
    <v>805306368</v>
    <v>Jaume Collboni (Mayor)</v>
    <v>fb505805-3540-2bdd-59af-416cc66976e3</v>
    <v>en-US</v>
    <v>Generic</v>
  </rv>
  <rv s="3">
    <v>76</v>
  </rv>
  <rv s="4">
    <v>https://www.bing.com/search?q=barcelona&amp;form=skydnc</v>
    <v>Learn more on Bing</v>
  </rv>
  <rv s="1">
    <fb>2.1769444444444002</fb>
    <v>43</v>
  </rv>
  <rv s="1">
    <fb>1660122</fb>
    <v>24</v>
  </rv>
  <rv s="13">
    <v>#VALUE!</v>
    <v>en-US</v>
    <v>d5173d0d-188f-c557-d46a-fbf1f89f03ce</v>
    <v>536870912</v>
    <v>1</v>
    <v>230</v>
    <v>182</v>
    <v>Barcelona</v>
    <v>19</v>
    <v>20</v>
    <v>Map</v>
    <v>21</v>
    <v>165</v>
    <v>1410</v>
    <v>1411</v>
    <v>980</v>
    <v>Barcelona is a city on the northeastern coast of Spain. It is the capital and largest city of the autonomous community of Catalonia, as well as the second-most populous municipality of Spain. With a population of 1.6 million within city limits, ...</v>
    <v>1412</v>
    <v>1413</v>
    <v>1415</v>
    <v>1416</v>
    <v>1417</v>
    <v>Barcelona</v>
    <v>1418</v>
    <v>Barcelona</v>
    <v>mdp/vdpid/7207108388495294465</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3845630030823.52</fb>
    <v>30</v>
  </rv>
  <rv s="1">
    <fb>1.0402236</fb>
    <v>23</v>
  </rv>
  <rv s="1">
    <fb>0.70246649999999999</fb>
    <v>23</v>
  </rv>
  <rv s="2">
    <v>48</v>
    <v>21</v>
    <v>232</v>
    <v>7</v>
    <v>0</v>
    <v>Image of Germany</v>
  </rv>
  <rv s="0">
    <v>805306368</v>
    <v>Frank-Walter Steinmeier (President)</v>
    <v>a6d595f9-116c-57de-2b35-48e9bde9f83d</v>
    <v>en-US</v>
    <v>Generic</v>
  </rv>
  <rv s="0">
    <v>805306368</v>
    <v>Olaf Scholz (Chancellor)</v>
    <v>d327207b-5560-1fae-17a8-4bc95203ea8e</v>
    <v>en-US</v>
    <v>Generic</v>
  </rv>
  <rv s="3">
    <v>77</v>
  </rv>
  <rv s="4">
    <v>https://www.bing.com/search?q=germany&amp;form=skydnc</v>
    <v>Learn more on Bing</v>
  </rv>
  <rv s="1">
    <fb>80.892682926829295</fb>
    <v>28</v>
  </rv>
  <rv s="1">
    <fb>2098173930000</fb>
    <v>30</v>
  </rv>
  <rv s="1">
    <fb>7</fb>
    <v>28</v>
  </rv>
  <rv s="1">
    <fb>9.99</fb>
    <v>29</v>
  </rv>
  <rv s="3">
    <v>78</v>
  </rv>
  <rv s="1">
    <fb>0.12528421940000001</fb>
    <v>23</v>
  </rv>
  <rv s="1">
    <fb>4.2488000000000001</fb>
    <v>25</v>
  </rv>
  <rv s="1">
    <fb>84079811</fb>
    <v>24</v>
  </rv>
  <rv s="1">
    <fb>0.39600000000000002</fb>
    <v>23</v>
  </rv>
  <rv s="1">
    <fb>7.5999999999999998E-2</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79</v>
  </rv>
  <rv s="1">
    <fb>0.11505903952014901</fb>
    <v>23</v>
  </rv>
  <rv s="1">
    <fb>0.48799999999999999</fb>
    <v>23</v>
  </rv>
  <rv s="1">
    <fb>3.0429999828338602E-2</fb>
    <v>31</v>
  </rv>
  <rv s="1">
    <fb>64324835</fb>
    <v>24</v>
  </rv>
  <rv s="5">
    <v>#VALUE!</v>
    <v>en-US</v>
    <v>75c62d8e-1449-4e4d-b188-d9e88f878dd9</v>
    <v>536870912</v>
    <v>1</v>
    <v>235</v>
    <v>17</v>
    <v>Germany</v>
    <v>19</v>
    <v>20</v>
    <v>Map</v>
    <v>21</v>
    <v>236</v>
    <v>DE</v>
    <v>1421</v>
    <v>1422</v>
    <v>1423</v>
    <v>1424</v>
    <v>1425</v>
    <v>1426</v>
    <v>1427</v>
    <v>1428</v>
    <v>1429</v>
    <v>EUR</v>
    <v>Germany, officially the Federal Republic of Germany, is a country in Central Europe. It lies between the Baltic and North Sea to the north and the Alps to the south. Its sixteen constituent states have a total population of over 82 million in an ...</v>
    <v>1430</v>
    <v>1431</v>
    <v>1432</v>
    <v>1433</v>
    <v>1162</v>
    <v>1434</v>
    <v>1435</v>
    <v>1436</v>
    <v>1437</v>
    <v>1364</v>
    <v>1426</v>
    <v>1440</v>
    <v>1441</v>
    <v>1442</v>
    <v>1443</v>
    <v>1444</v>
    <v>1445</v>
    <v>Germany</v>
    <v>National Anthem of Germany</v>
    <v>1446</v>
    <v>Bundesrepublik Deutschland</v>
    <v>1447</v>
    <v>1448</v>
    <v>1449</v>
    <v>671</v>
    <v>722</v>
    <v>1450</v>
    <v>276</v>
    <v>1451</v>
    <v>362</v>
    <v>797</v>
    <v>1452</v>
    <v>1467</v>
    <v>1468</v>
    <v>1037</v>
    <v>1469</v>
    <v>1470</v>
    <v>Germany</v>
    <v>1471</v>
    <v>mdp/vdpid/94</v>
  </rv>
  <rv s="1">
    <fb>891.12</fb>
    <v>24</v>
  </rv>
  <rv s="1">
    <fb>1794936</fb>
    <v>24</v>
  </rv>
  <rv s="1">
    <fb>1868905</fb>
    <v>24</v>
  </rv>
  <rv s="2">
    <v>49</v>
    <v>21</v>
    <v>237</v>
    <v>7</v>
    <v>0</v>
    <v>Image of Berlin</v>
  </rv>
  <rv s="0">
    <v>805306368</v>
    <v>Franziska Giffey (Mayor)</v>
    <v>0f36a115-cd69-74b0-1ad8-5ee6074d7916</v>
    <v>en-US</v>
    <v>Generic</v>
  </rv>
  <rv s="3">
    <v>80</v>
  </rv>
  <rv s="4">
    <v>https://www.bing.com/search?q=berlin+germany&amp;form=skydnc</v>
    <v>Learn more on Bing</v>
  </rv>
  <rv s="1">
    <fb>1.83</fb>
    <v>25</v>
  </rv>
  <rv s="1">
    <fb>3755251</fb>
    <v>24</v>
  </rv>
  <rv s="17">
    <v>#VALUE!</v>
    <v>en-US</v>
    <v>42784943-7c23-7672-5527-06f89b965cdf</v>
    <v>536870912</v>
    <v>1</v>
    <v>240</v>
    <v>241</v>
    <v>Berlin</v>
    <v>19</v>
    <v>20</v>
    <v>Map</v>
    <v>21</v>
    <v>242</v>
    <v>DE-BE</v>
    <v>1473</v>
    <v>1420</v>
    <v>Berlin is the capital and largest city of Germany by both area and by population. Its more than 3.85 million inhabitants make it the European Union's most populous city, according to population within city limits. Simultaneously, the city is one ...</v>
    <v>1474</v>
    <v>1475</v>
    <v>1476</v>
    <v>1478</v>
    <v>1479</v>
    <v>Berlin</v>
    <v>1446</v>
    <v>1480</v>
    <v>1481</v>
    <v>Berlin</v>
    <v>mdp/vdpid/7017957146650214401</v>
  </rv>
  <rv s="0">
    <v>536870912</v>
    <v>Canada</v>
    <v>370ed614-32e1-4326-a356-dc0a7dd56aaa</v>
    <v>en-US</v>
    <v>Map</v>
  </rv>
  <rv s="1">
    <fb>6.8918382450780802E-2</fb>
    <v>23</v>
  </rv>
  <rv s="1">
    <fb>9984670</fb>
    <v>24</v>
  </rv>
  <rv s="1">
    <fb>72000</fb>
    <v>24</v>
  </rv>
  <rv s="1">
    <fb>10.1</fb>
    <v>25</v>
  </rv>
  <rv s="0">
    <v>536870912</v>
    <v>Ottawa</v>
    <v>3f2544d2-4937-9101-2f53-621199e253e5</v>
    <v>en-US</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2">
    <v>50</v>
    <v>21</v>
    <v>244</v>
    <v>7</v>
    <v>0</v>
    <v>Image of Canada</v>
  </rv>
  <rv s="1">
    <fb>4.3</fb>
    <v>28</v>
  </rv>
  <rv s="0">
    <v>536870912</v>
    <v>Toronto</v>
    <v>e9c1d78f-effd-4cbf-af56-ce709763b200</v>
    <v>en-US</v>
    <v>Map</v>
  </rv>
  <rv s="0">
    <v>805306368</v>
    <v>Justin Trudeau (Prime minister)</v>
    <v>d37aba31-28d1-b943-f0c6-dbddeb460528</v>
    <v>en-US</v>
    <v>Generic</v>
  </rv>
  <rv s="3">
    <v>81</v>
  </rv>
  <rv s="4">
    <v>https://www.bing.com/search?q=canada+country&amp;form=skydnc</v>
    <v>Learn more on Bing</v>
  </rv>
  <rv s="1">
    <fb>81.948780487804896</fb>
    <v>28</v>
  </rv>
  <rv s="1">
    <fb>1937902710000</fb>
    <v>30</v>
  </rv>
  <rv s="1">
    <fb>10</fb>
    <v>28</v>
  </rv>
  <rv s="1">
    <fb>9.51</fb>
    <v>29</v>
  </rv>
  <rv s="3">
    <v>82</v>
  </rv>
  <rv s="1">
    <fb>0.1458492763</fb>
    <v>23</v>
  </rv>
  <rv s="1">
    <fb>2.6101999999999999</fb>
    <v>25</v>
  </rv>
  <rv s="1">
    <fb>38929902</fb>
    <v>24</v>
  </rv>
  <rv s="1">
    <fb>0.251</fb>
    <v>23</v>
  </rv>
  <rv s="1">
    <fb>0.40600000000000003</fb>
    <v>23</v>
  </rv>
  <rv s="1">
    <fb>0.124</fb>
    <v>23</v>
  </rv>
  <rv s="1">
    <fb>0.65070999145507802</fb>
    <v>23</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83</v>
  </rv>
  <rv s="1">
    <fb>0.12844017475747799</fb>
    <v>23</v>
  </rv>
  <rv s="3">
    <v>84</v>
  </rv>
  <rv s="1">
    <fb>5.5640001296997095E-2</fb>
    <v>31</v>
  </rv>
  <rv s="1">
    <fb>30628482</fb>
    <v>24</v>
  </rv>
  <rv s="5">
    <v>#VALUE!</v>
    <v>en-US</v>
    <v>370ed614-32e1-4326-a356-dc0a7dd56aaa</v>
    <v>536870912</v>
    <v>1</v>
    <v>247</v>
    <v>17</v>
    <v>Canada</v>
    <v>19</v>
    <v>20</v>
    <v>Map</v>
    <v>21</v>
    <v>248</v>
    <v>CA</v>
    <v>1484</v>
    <v>1485</v>
    <v>1486</v>
    <v>1487</v>
    <v>5</v>
    <v>1488</v>
    <v>1489</v>
    <v>1490</v>
    <v>1491</v>
    <v>CAD</v>
    <v>Canada is a country in North America. Its ten provinces and three territories extend from the Atlantic Ocean to the Pacific Ocean and northward into the Arctic Ocean, making it the world's second-largest country by total area, with the world's ...</v>
    <v>1492</v>
    <v>1493</v>
    <v>1494</v>
    <v>1495</v>
    <v>1496</v>
    <v>1497</v>
    <v>1498</v>
    <v>1499</v>
    <v>1500</v>
    <v>1501</v>
    <v>1502</v>
    <v>1504</v>
    <v>1505</v>
    <v>1506</v>
    <v>1507</v>
    <v>1508</v>
    <v>1509</v>
    <v>Canada</v>
    <v>O Canada</v>
    <v>1510</v>
    <v>Canada</v>
    <v>1511</v>
    <v>1512</v>
    <v>1513</v>
    <v>245</v>
    <v>1514</v>
    <v>1515</v>
    <v>419</v>
    <v>456</v>
    <v>1516</v>
    <v>743</v>
    <v>1517</v>
    <v>1531</v>
    <v>1532</v>
    <v>1533</v>
    <v>338</v>
    <v>1534</v>
    <v>Canada</v>
    <v>1535</v>
    <v>mdp/vdpid/39</v>
  </rv>
  <rv s="1">
    <fb>1076395</fb>
    <v>24</v>
  </rv>
  <rv s="1">
    <fb>2498691</fb>
    <v>24</v>
  </rv>
  <rv s="1">
    <fb>5169175</fb>
    <v>24</v>
  </rv>
  <rv s="1">
    <fb>5169174</fb>
    <v>24</v>
  </rv>
  <rv s="2">
    <v>51</v>
    <v>21</v>
    <v>249</v>
    <v>7</v>
    <v>0</v>
    <v>Image of Ontario</v>
  </rv>
  <rv s="0">
    <v>805306368</v>
    <v>Elizabeth Dowdeswell (Lieutenant governor)</v>
    <v>6b312e0c-679a-9523-3920-dd9fb0590e19</v>
    <v>en-US</v>
    <v>Generic</v>
  </rv>
  <rv s="0">
    <v>805306368</v>
    <v>Doug Ford (Premier)</v>
    <v>a00bb1b1-ce9d-bf65-c540-5e730be40cb9</v>
    <v>en-US</v>
    <v>Generic</v>
  </rv>
  <rv s="3">
    <v>85</v>
  </rv>
  <rv s="4">
    <v>https://www.bing.com/search?q=ontario+canada&amp;form=skydnc</v>
    <v>Learn more on Bing</v>
  </rv>
  <rv s="1">
    <fb>83160</fb>
    <v>256</v>
  </rv>
  <rv s="3">
    <v>86</v>
  </rv>
  <rv s="1">
    <fb>14733119</fb>
    <v>24</v>
  </rv>
  <rv s="18">
    <v>#VALUE!</v>
    <v>en-US</v>
    <v>070ad921-224a-9ed5-6fe1-8eab57b4b2e7</v>
    <v>536870912</v>
    <v>1</v>
    <v>253</v>
    <v>254</v>
    <v>Ontario</v>
    <v>19</v>
    <v>20</v>
    <v>Map</v>
    <v>21</v>
    <v>255</v>
    <v>CA-ON</v>
    <v>1537</v>
    <v>1538</v>
    <v>1502</v>
    <v>1483</v>
    <v>Ontario is the southernmost province of Canada. Located in Central Canada, Ontario is the country's most populous province. As of the 2021 Canadian census, it is home to 38.5 per cent of the country's population, and is the second-largest ...</v>
    <v>1539</v>
    <v>1540</v>
    <v>1541</v>
    <v>1502</v>
    <v>1544</v>
    <v>1545</v>
    <v>1546</v>
    <v>Ontario</v>
    <v>1547</v>
    <v>445</v>
    <v>1548</v>
    <v>343</v>
    <v>Ontario</v>
    <v>mdp/vdpid/24465</v>
  </rv>
  <rv s="0">
    <v>536870912</v>
    <v>Colombia</v>
    <v>c396e3d8-2a85-d230-f691-7850536d840e</v>
    <v>en-US</v>
    <v>Map</v>
  </rv>
  <rv s="1">
    <fb>0.40257414657503404</fb>
    <v>23</v>
  </rv>
  <rv s="1">
    <fb>1141748</fb>
    <v>24</v>
  </rv>
  <rv s="1">
    <fb>481000</fb>
    <v>24</v>
  </rv>
  <rv s="1">
    <fb>14.882</fb>
    <v>25</v>
  </rv>
  <rv s="1">
    <fb>57</fb>
    <v>26</v>
  </rv>
  <rv s="0">
    <v>536870912</v>
    <v>Bogotá</v>
    <v>66b24d5c-468c-2dd6-e6ce-34504b6f6cb4</v>
    <v>en-US</v>
    <v>Map</v>
  </rv>
  <rv s="1">
    <fb>97813.558000000005</fb>
    <v>24</v>
  </rv>
  <rv s="1">
    <fb>140.95037394202501</fb>
    <v>27</v>
  </rv>
  <rv s="1">
    <fb>3.52549273618952E-2</fb>
    <v>23</v>
  </rv>
  <rv s="1">
    <fb>1312.1575030143699</fb>
    <v>24</v>
  </rv>
  <rv s="1">
    <fb>1.8069999999999999</fb>
    <v>25</v>
  </rv>
  <rv s="1">
    <fb>0.52703938288643504</fb>
    <v>23</v>
  </rv>
  <rv s="1">
    <fb>76.685692626893996</fb>
    <v>28</v>
  </rv>
  <rv s="1">
    <fb>0.68</fb>
    <v>29</v>
  </rv>
  <rv s="1">
    <fb>323802808108.24597</fb>
    <v>30</v>
  </rv>
  <rv s="1">
    <fb>1.1452666</fb>
    <v>23</v>
  </rv>
  <rv s="1">
    <fb>0.55327490000000001</fb>
    <v>23</v>
  </rv>
  <rv s="2">
    <v>52</v>
    <v>21</v>
    <v>258</v>
    <v>7</v>
    <v>0</v>
    <v>Image of Colombia</v>
  </rv>
  <rv s="1">
    <fb>12.2</fb>
    <v>28</v>
  </rv>
  <rv s="0">
    <v>805306368</v>
    <v>Gustavo Petro (President)</v>
    <v>6d82a058-5246-ec8e-cc68-4ec9b7022623</v>
    <v>en-US</v>
    <v>Generic</v>
  </rv>
  <rv s="0">
    <v>805306368</v>
    <v>Francia Márquez (Vice president)</v>
    <v>31dbe672-1593-31cc-dd43-199002188cba</v>
    <v>en-US</v>
    <v>Generic</v>
  </rv>
  <rv s="3">
    <v>87</v>
  </rv>
  <rv s="4">
    <v>https://www.bing.com/search?q=colombia&amp;form=skydnc</v>
    <v>Learn more on Bing</v>
  </rv>
  <rv s="1">
    <fb>77.108999999999995</fb>
    <v>28</v>
  </rv>
  <rv s="1">
    <fb>132040280000</fb>
    <v>30</v>
  </rv>
  <rv s="1">
    <fb>83</fb>
    <v>28</v>
  </rv>
  <rv s="1">
    <fb>1.23</fb>
    <v>29</v>
  </rv>
  <rv s="3">
    <v>88</v>
  </rv>
  <rv s="1">
    <fb>0.1829434999</fb>
    <v>23</v>
  </rv>
  <rv s="1">
    <fb>2.1848000000000001</fb>
    <v>25</v>
  </rv>
  <rv s="1">
    <fb>51874024</fb>
    <v>24</v>
  </rv>
  <rv s="1">
    <fb>0.19899999999999998</fb>
    <v>23</v>
  </rv>
  <rv s="1">
    <fb>0.39700000000000002</fb>
    <v>23</v>
  </rv>
  <rv s="1">
    <fb>0.55399999999999994</fb>
    <v>23</v>
  </rv>
  <rv s="1">
    <fb>1.3999999999999999E-2</fb>
    <v>23</v>
  </rv>
  <rv s="1">
    <fb>0.126</fb>
    <v>23</v>
  </rv>
  <rv s="1">
    <fb>0.68771003723144508</fb>
    <v>23</v>
  </rv>
  <rv s="0">
    <v>536870912</v>
    <v>Amazonas</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Archipelago of San Andrés, Providencia and Santa Catalina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89</v>
  </rv>
  <rv s="1">
    <fb>0.144026436439844</fb>
    <v>23</v>
  </rv>
  <rv s="3">
    <v>90</v>
  </rv>
  <rv s="1">
    <fb>9.7069997787475604E-2</fb>
    <v>31</v>
  </rv>
  <rv s="1">
    <fb>40827302</fb>
    <v>24</v>
  </rv>
  <rv s="5">
    <v>#VALUE!</v>
    <v>en-US</v>
    <v>c396e3d8-2a85-d230-f691-7850536d840e</v>
    <v>536870912</v>
    <v>1</v>
    <v>261</v>
    <v>17</v>
    <v>Colombia</v>
    <v>19</v>
    <v>20</v>
    <v>Map</v>
    <v>21</v>
    <v>262</v>
    <v>CO</v>
    <v>1551</v>
    <v>1552</v>
    <v>1553</v>
    <v>1554</v>
    <v>1555</v>
    <v>1556</v>
    <v>1557</v>
    <v>1558</v>
    <v>1559</v>
    <v>COP</v>
    <v>Colombia, officially the Republic of Colombia, is a country primarily located in South America with insular regions in North America. The Colombian mainland is bordered by the Caribbean Sea to the north, Venezuela to the east and northeast, ...</v>
    <v>1560</v>
    <v>1561</v>
    <v>1562</v>
    <v>1563</v>
    <v>1564</v>
    <v>1565</v>
    <v>1566</v>
    <v>1567</v>
    <v>1568</v>
    <v>1569</v>
    <v>1556</v>
    <v>1572</v>
    <v>1573</v>
    <v>1574</v>
    <v>1575</v>
    <v>1576</v>
    <v>1577</v>
    <v>Colombia</v>
    <v>National Anthem of Colombia</v>
    <v>1578</v>
    <v>República de Colombia</v>
    <v>1579</v>
    <v>1580</v>
    <v>1581</v>
    <v>1582</v>
    <v>1583</v>
    <v>1584</v>
    <v>1585</v>
    <v>363</v>
    <v>826</v>
    <v>1586</v>
    <v>1587</v>
    <v>1620</v>
    <v>1621</v>
    <v>1622</v>
    <v>672</v>
    <v>1623</v>
    <v>Colombia</v>
    <v>1624</v>
    <v>mdp/vdpid/51</v>
  </rv>
  <rv s="0">
    <v>536870912</v>
    <v>Italy</v>
    <v>09e8f885-427b-8850-947d-202e0287b9e8</v>
    <v>en-US</v>
    <v>Map</v>
  </rv>
  <rv s="1">
    <fb>0.432345141769226</fb>
    <v>23</v>
  </rv>
  <rv s="1">
    <fb>302068</fb>
    <v>24</v>
  </rv>
  <rv s="1">
    <fb>347000</fb>
    <v>24</v>
  </rv>
  <rv s="1">
    <fb>7.3</fb>
    <v>25</v>
  </rv>
  <rv s="1">
    <fb>39</fb>
    <v>26</v>
  </rv>
  <rv s="0">
    <v>536870912</v>
    <v>Rome</v>
    <v>5ed498af-fa85-2a88-874d-212494ddb06f</v>
    <v>en-US</v>
    <v>Map</v>
  </rv>
  <rv s="1">
    <fb>320411.45899999997</fb>
    <v>24</v>
  </rv>
  <rv s="1">
    <fb>110.623595648239</fb>
    <v>27</v>
  </rv>
  <rv s="1">
    <fb>6.1124694376529102E-3</fb>
    <v>23</v>
  </rv>
  <rv s="1">
    <fb>5002.4066798773601</fb>
    <v>24</v>
  </rv>
  <rv s="1">
    <fb>1.29</fb>
    <v>25</v>
  </rv>
  <rv s="1">
    <fb>0.31790303272888798</fb>
    <v>23</v>
  </rv>
  <rv s="1">
    <fb>79.948454735494707</fb>
    <v>28</v>
  </rv>
  <rv s="1">
    <fb>1.61</fb>
    <v>29</v>
  </rv>
  <rv s="1">
    <fb>2001244392041.5701</fb>
    <v>30</v>
  </rv>
  <rv s="1">
    <fb>1.0187936</fb>
    <v>23</v>
  </rv>
  <rv s="1">
    <fb>0.61933000000000005</fb>
    <v>23</v>
  </rv>
  <rv s="2">
    <v>53</v>
    <v>21</v>
    <v>264</v>
    <v>7</v>
    <v>0</v>
    <v>Image of Italy</v>
  </rv>
  <rv s="1">
    <fb>2.6</fb>
    <v>28</v>
  </rv>
  <rv s="0">
    <v>805306368</v>
    <v>Sergio Mattarella (President)</v>
    <v>7b09388e-8b92-1261-db16-7c6882735fe1</v>
    <v>en-US</v>
    <v>Generic</v>
  </rv>
  <rv s="0">
    <v>805306368</v>
    <v>Giorgia Meloni (Prime minister)</v>
    <v>5c9bb82e-e08f-f5eb-9f29-f20e75e8eb8f</v>
    <v>en-US</v>
    <v>Generic</v>
  </rv>
  <rv s="3">
    <v>91</v>
  </rv>
  <rv s="4">
    <v>https://www.bing.com/search?q=italy&amp;form=skydnc</v>
    <v>Learn more on Bing</v>
  </rv>
  <rv s="1">
    <fb>82.946341463414697</fb>
    <v>28</v>
  </rv>
  <rv s="1">
    <fb>522087790000</fb>
    <v>30</v>
  </rv>
  <rv s="1">
    <fb>2</fb>
    <v>28</v>
  </rv>
  <rv s="3">
    <v>92</v>
  </rv>
  <rv s="1">
    <fb>0.2283268819</fb>
    <v>23</v>
  </rv>
  <rv s="1">
    <fb>3.9773999999999998</fb>
    <v>25</v>
  </rv>
  <rv s="1">
    <fb>58856847</fb>
    <v>24</v>
  </rv>
  <rv s="1">
    <fb>0.12</fb>
    <v>23</v>
  </rv>
  <rv s="1">
    <fb>0.495550003051758</fb>
    <v>23</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93</v>
  </rv>
  <rv s="1">
    <fb>0.24250464933068097</fb>
    <v>23</v>
  </rv>
  <rv s="1">
    <fb>9.8870000839233405E-2</fb>
    <v>31</v>
  </rv>
  <rv s="1">
    <fb>42651966</fb>
    <v>24</v>
  </rv>
  <rv s="19">
    <v>#VALUE!</v>
    <v>en-US</v>
    <v>09e8f885-427b-8850-947d-202e0287b9e8</v>
    <v>536870912</v>
    <v>1</v>
    <v>267</v>
    <v>268</v>
    <v>Italy</v>
    <v>19</v>
    <v>20</v>
    <v>Map</v>
    <v>21</v>
    <v>269</v>
    <v>IT</v>
    <v>1627</v>
    <v>1628</v>
    <v>1629</v>
    <v>1630</v>
    <v>1631</v>
    <v>1632</v>
    <v>1633</v>
    <v>1634</v>
    <v>1635</v>
    <v>EUR</v>
    <v>Italy, officially the Italian Republic, is a country in Southern and Western Europe. It consists of a peninsula that extends into the Mediterranean Sea, with the Alps on its northern land border, as well as nearly 800 islands, notably Sicily and ...</v>
    <v>1636</v>
    <v>1637</v>
    <v>1638</v>
    <v>1639</v>
    <v>1640</v>
    <v>1641</v>
    <v>1642</v>
    <v>1643</v>
    <v>1644</v>
    <v>1645</v>
    <v>1632</v>
    <v>1648</v>
    <v>1649</v>
    <v>1650</v>
    <v>1651</v>
    <v>1652</v>
    <v>Italy</v>
    <v>Il Canto degli Italiani</v>
    <v>1653</v>
    <v>Repubblica Italiana</v>
    <v>1654</v>
    <v>1655</v>
    <v>1656</v>
    <v>277</v>
    <v>420</v>
    <v>1378</v>
    <v>397</v>
    <v>535</v>
    <v>1657</v>
    <v>395</v>
    <v>1658</v>
    <v>1679</v>
    <v>1680</v>
    <v>1037</v>
    <v>619</v>
    <v>1681</v>
    <v>Italy</v>
    <v>1682</v>
    <v>mdp/vdpid/118</v>
  </rv>
  <rv s="0">
    <v>536870912</v>
    <v>Sweden</v>
    <v>a5928099-53c3-11a8-91e6-6fe59b8c4f9a</v>
    <v>en-US</v>
    <v>Map</v>
  </rv>
  <rv s="1">
    <fb>7.4427340355012209E-2</fb>
    <v>23</v>
  </rv>
  <rv s="1">
    <fb>447425.16</fb>
    <v>24</v>
  </rv>
  <rv s="1">
    <fb>30000</fb>
    <v>24</v>
  </rv>
  <rv s="1">
    <fb>11.4</fb>
    <v>25</v>
  </rv>
  <rv s="1">
    <fb>46</fb>
    <v>26</v>
  </rv>
  <rv s="0">
    <v>536870912</v>
    <v>Stockholm</v>
    <v>9daa4a8d-0e69-da3a-672e-16d4743a665b</v>
    <v>en-US</v>
    <v>Map</v>
  </rv>
  <rv s="1">
    <fb>43252.264999999999</fb>
    <v>24</v>
  </rv>
  <rv s="1">
    <fb>110.509219846432</fb>
    <v>27</v>
  </rv>
  <rv s="1">
    <fb>1.7841509740383198E-2</fb>
    <v>23</v>
  </rv>
  <rv s="1">
    <fb>13480.148224391</fb>
    <v>24</v>
  </rv>
  <rv s="1">
    <fb>1.76</fb>
    <v>25</v>
  </rv>
  <rv s="1">
    <fb>0.68922933392256491</fb>
    <v>23</v>
  </rv>
  <rv s="1">
    <fb>25.117096134653099</fb>
    <v>28</v>
  </rv>
  <rv s="1">
    <fb>1.42</fb>
    <v>29</v>
  </rv>
  <rv s="1">
    <fb>530832908737.862</fb>
    <v>30</v>
  </rv>
  <rv s="1">
    <fb>1.2657537999999999</fb>
    <v>23</v>
  </rv>
  <rv s="1">
    <fb>0.6698824000000001</fb>
    <v>23</v>
  </rv>
  <rv s="2">
    <v>54</v>
    <v>21</v>
    <v>271</v>
    <v>7</v>
    <v>0</v>
    <v>Image of Sweden</v>
  </rv>
  <rv s="1">
    <fb>2.2000000000000002</fb>
    <v>28</v>
  </rv>
  <rv s="0">
    <v>805306368</v>
    <v>Carl XVI Gustaf (Monarch)</v>
    <v>d74145c5-55cc-559b-1761-543f3fbf2fcd</v>
    <v>en-US</v>
    <v>Generic</v>
  </rv>
  <rv s="0">
    <v>805306368</v>
    <v>Ulf Kristersson (Prime minister)</v>
    <v>b10837fe-3ec0-27e8-04f3-230e5f1c436f</v>
    <v>en-US</v>
    <v>Generic</v>
  </rv>
  <rv s="3">
    <v>94</v>
  </rv>
  <rv s="4">
    <v>https://www.bing.com/search?q=sweden&amp;form=skydnc</v>
    <v>Learn more on Bing</v>
  </rv>
  <rv s="1">
    <fb>82.512195121951194</fb>
    <v>28</v>
  </rv>
  <rv s="1">
    <fb>289877140000</fb>
    <v>30</v>
  </rv>
  <rv s="3">
    <v>95</v>
  </rv>
  <rv s="1">
    <fb>0.15191583449999999</fb>
    <v>23</v>
  </rv>
  <rv s="1">
    <fb>3.984</fb>
    <v>25</v>
  </rv>
  <rv s="1">
    <fb>10486941</fb>
    <v>24</v>
  </rv>
  <rv s="1">
    <fb>0.23100000000000001</fb>
    <v>23</v>
  </rv>
  <rv s="1">
    <fb>0.371</fb>
    <v>23</v>
  </rv>
  <rv s="1">
    <fb>0.64561996459960891</fb>
    <v>23</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96</v>
  </rv>
  <rv s="1">
    <fb>0.27911031322372698</fb>
    <v>23</v>
  </rv>
  <rv s="1">
    <fb>0.49099999999999999</fb>
    <v>23</v>
  </rv>
  <rv s="1">
    <fb>6.4759998321533202E-2</fb>
    <v>31</v>
  </rv>
  <rv s="1">
    <fb>9021165</fb>
    <v>24</v>
  </rv>
  <rv s="19">
    <v>#VALUE!</v>
    <v>en-US</v>
    <v>a5928099-53c3-11a8-91e6-6fe59b8c4f9a</v>
    <v>536870912</v>
    <v>1</v>
    <v>274</v>
    <v>268</v>
    <v>Sweden</v>
    <v>19</v>
    <v>20</v>
    <v>Map</v>
    <v>21</v>
    <v>275</v>
    <v>SE</v>
    <v>1685</v>
    <v>1686</v>
    <v>1687</v>
    <v>1688</v>
    <v>1689</v>
    <v>1690</v>
    <v>1691</v>
    <v>1692</v>
    <v>1693</v>
    <v>SEK</v>
    <v>Sweden, formally the Kingdom of Sweden, is a Nordic country located on the Scandinavian Peninsula in Northern Europe. It borders Norway to the west and north, and Finland to the east. At 450,295 square kilometres, Sweden is the largest Nordic ...</v>
    <v>1694</v>
    <v>1695</v>
    <v>1696</v>
    <v>1697</v>
    <v>1698</v>
    <v>1699</v>
    <v>1700</v>
    <v>1701</v>
    <v>1702</v>
    <v>1703</v>
    <v>1690</v>
    <v>1706</v>
    <v>1707</v>
    <v>1708</v>
    <v>1709</v>
    <v>1006</v>
    <v>Sweden</v>
    <v>Du gamla, du fria</v>
    <v>1710</v>
    <v>Konungariket Sverige</v>
    <v>1711</v>
    <v>1712</v>
    <v>1713</v>
    <v>1714</v>
    <v>776</v>
    <v>1715</v>
    <v>505</v>
    <v>130</v>
    <v>306</v>
    <v>132</v>
    <v>1716</v>
    <v>1738</v>
    <v>1739</v>
    <v>1210</v>
    <v>1740</v>
    <v>1741</v>
    <v>Sweden</v>
    <v>1742</v>
    <v>mdp/vdpid/221</v>
  </rv>
  <rv s="1">
    <fb>187.16</fb>
    <v>24</v>
  </rv>
  <rv s="0">
    <v>536870912</v>
    <v>Kalmar Union</v>
    <v>723b5437-f021-ebd7-3a7a-2fcc8a5bab2d</v>
    <v>en-US</v>
    <v>Map</v>
  </rv>
  <rv s="2">
    <v>55</v>
    <v>21</v>
    <v>276</v>
    <v>7</v>
    <v>0</v>
    <v>Image of Stockholm</v>
  </rv>
  <rv s="1">
    <fb>59.329444444444</fb>
    <v>43</v>
  </rv>
  <rv s="0">
    <v>805306368</v>
    <v>Karin Wanngård (Mayor)</v>
    <v>ff45a3f2-13a5-6f7f-5794-0b7c2a0d7877</v>
    <v>en-US</v>
    <v>Generic</v>
  </rv>
  <rv s="3">
    <v>97</v>
  </rv>
  <rv s="4">
    <v>https://www.bing.com/search?q=stockholm+sweden&amp;form=skydnc</v>
    <v>Learn more on Bing</v>
  </rv>
  <rv s="1">
    <fb>18.068611111111</fb>
    <v>43</v>
  </rv>
  <rv s="1">
    <fb>978770</fb>
    <v>24</v>
  </rv>
  <rv s="7">
    <v>#VALUE!</v>
    <v>en-US</v>
    <v>9daa4a8d-0e69-da3a-672e-16d4743a665b</v>
    <v>536870912</v>
    <v>1</v>
    <v>277</v>
    <v>41</v>
    <v>Stockholm</v>
    <v>19</v>
    <v>20</v>
    <v>Map</v>
    <v>21</v>
    <v>228</v>
    <v>1728</v>
    <v>1744</v>
    <v>1745</v>
    <v>Stockholm is the capital and most populous city of Sweden, as well as the largest urban area in the Nordic countries. Approximately 1 million people live in the municipality, with 1.6 million in the urban area, and 2.5 million in the ...</v>
    <v>1746</v>
    <v>1747</v>
    <v>1749</v>
    <v>1750</v>
    <v>1751</v>
    <v>Stockholm</v>
    <v>1752</v>
    <v>1037</v>
    <v>Stockholm</v>
    <v>mdp/vdpid/7005763932988112897</v>
  </rv>
  <rv s="0">
    <v>536870912</v>
    <v>Switzerland</v>
    <v>c10c98b9-afcd-84bf-c5c8-4220fc76a2e3</v>
    <v>en-US</v>
    <v>Map</v>
  </rv>
  <rv s="1">
    <fb>0.38363446027908404</fb>
    <v>23</v>
  </rv>
  <rv s="1">
    <fb>41285</fb>
    <v>24</v>
  </rv>
  <rv s="1">
    <fb>21000</fb>
    <v>24</v>
  </rv>
  <rv s="1">
    <fb>10</fb>
    <v>25</v>
  </rv>
  <rv s="1">
    <fb>41</fb>
    <v>26</v>
  </rv>
  <rv s="0">
    <v>536870912</v>
    <v>Bern</v>
    <v>15dda629-8f09-9c82-b064-7a7e8e84c804</v>
    <v>en-US</v>
    <v>Map</v>
  </rv>
  <rv s="1">
    <fb>34477.133999999998</fb>
    <v>24</v>
  </rv>
  <rv s="1">
    <fb>99.546913020227805</fb>
    <v>27</v>
  </rv>
  <rv s="1">
    <fb>3.6291600452038396E-3</fb>
    <v>23</v>
  </rv>
  <rv s="1">
    <fb>7520.1660249450197</fb>
    <v>24</v>
  </rv>
  <rv s="1">
    <fb>1.52</fb>
    <v>25</v>
  </rv>
  <rv s="1">
    <fb>0.318301452005265</fb>
    <v>23</v>
  </rv>
  <rv s="1">
    <fb>50.168225480798597</fb>
    <v>28</v>
  </rv>
  <rv s="1">
    <fb>1.45</fb>
    <v>29</v>
  </rv>
  <rv s="1">
    <fb>703082435360.11694</fb>
    <v>30</v>
  </rv>
  <rv s="1">
    <fb>1.0519068</fb>
    <v>23</v>
  </rv>
  <rv s="1">
    <fb>0.59562990000000005</fb>
    <v>23</v>
  </rv>
  <rv s="2">
    <v>56</v>
    <v>21</v>
    <v>279</v>
    <v>7</v>
    <v>0</v>
    <v>Image of Switzerland</v>
  </rv>
  <rv s="1">
    <fb>3.7</fb>
    <v>28</v>
  </rv>
  <rv s="0">
    <v>536870912</v>
    <v>Zurich</v>
    <v>db19e556-240e-d241-ad76-1bf238372a7f</v>
    <v>en-US</v>
    <v>Map</v>
  </rv>
  <rv s="0">
    <v>805306368</v>
    <v>Karin Keller-Sutter (Federal Council)</v>
    <v>00e54934-2464-4876-b9e0-0f45711e610b</v>
    <v>en-US</v>
    <v>Generic</v>
  </rv>
  <rv s="0">
    <v>805306368</v>
    <v>Guy Parmelin (Federal Council)</v>
    <v>1698eb42-72aa-6c9b-26ff-ed678962e2b0</v>
    <v>en-US</v>
    <v>Generic</v>
  </rv>
  <rv s="0">
    <v>805306368</v>
    <v>Ignazio Cassis (Federal Council)</v>
    <v>dacdb4e9-4344-ec7d-0faa-307f1e081e21</v>
    <v>en-US</v>
    <v>Generic</v>
  </rv>
  <rv s="0">
    <v>805306368</v>
    <v>Viola Amherd (Federal Council)</v>
    <v>f6fb052a-7df3-5ad8-30ba-ca10ed100863</v>
    <v>en-US</v>
    <v>Generic</v>
  </rv>
  <rv s="0">
    <v>805306368</v>
    <v>Albert Rösti (Federal Council)</v>
    <v>c24073af-1953-d773-7d55-965da760c77f</v>
    <v>en-US</v>
    <v>Generic</v>
  </rv>
  <rv s="0">
    <v>805306368</v>
    <v>Élisabeth Baume-Schneider (Federal Council)</v>
    <v>771e919e-ed9d-33ac-50e8-cc2baac2edc7</v>
    <v>en-US</v>
    <v>Generic</v>
  </rv>
  <rv s="0">
    <v>805306368</v>
    <v>Beat Jans (Federal Council)</v>
    <v>976a6bb0-3cfe-d924-7ec7-3d5a162210e1</v>
    <v>en-US</v>
    <v>Generic</v>
  </rv>
  <rv s="3">
    <v>98</v>
  </rv>
  <rv s="4">
    <v>https://www.bing.com/search?q=switzerland&amp;form=skydnc</v>
    <v>Learn more on Bing</v>
  </rv>
  <rv s="1">
    <fb>83.551219512195104</fb>
    <v>28</v>
  </rv>
  <rv s="1">
    <fb>1834453260000</fb>
    <v>30</v>
  </rv>
  <rv s="3">
    <v>99</v>
  </rv>
  <rv s="1">
    <fb>0.28345719829999999</fb>
    <v>23</v>
  </rv>
  <rv s="1">
    <fb>4.2957000000000001</fb>
    <v>25</v>
  </rv>
  <rv s="1">
    <fb>8769741</fb>
    <v>24</v>
  </rv>
  <rv s="1">
    <fb>0.255</fb>
    <v>23</v>
  </rv>
  <rv s="1">
    <fb>3.1E-2</fb>
    <v>23</v>
  </rv>
  <rv s="1">
    <fb>0.16699999999999998</fb>
    <v>23</v>
  </rv>
  <rv s="1">
    <fb>0.68252998352050798</fb>
    <v>23</v>
  </rv>
  <rv s="0">
    <v>536870912</v>
    <v>Appenzell Ausserrhoden</v>
    <v>4663e3db-15ae-7203-e966-72677429b1a3</v>
    <v>en-US</v>
    <v>Map</v>
  </rv>
  <rv s="0">
    <v>536870912</v>
    <v>Appenzell Innerrhoden</v>
    <v>438c2059-f008-12cd-b398-bdec44fee1ce</v>
    <v>en-US</v>
    <v>Map</v>
  </rv>
  <rv s="0">
    <v>536870912</v>
    <v>Aargau</v>
    <v>7ffb687a-43b8-ee3e-7244-a40e99f97077</v>
    <v>en-US</v>
    <v>Map</v>
  </rv>
  <rv s="0">
    <v>536870912</v>
    <v>Basel-Landschaft</v>
    <v>42301343-12f1-5ec4-5c22-74dbfbf795b2</v>
    <v>en-US</v>
    <v>Map</v>
  </rv>
  <rv s="0">
    <v>536870912</v>
    <v>Basel-Stadt</v>
    <v>c6e79b8d-baaa-199e-f037-0c6cb850776e</v>
    <v>en-US</v>
    <v>Map</v>
  </rv>
  <rv s="0">
    <v>536870912</v>
    <v>Canton of Bern</v>
    <v>2a03e077-5092-0e03-223b-4aa6b24c7525</v>
    <v>en-US</v>
    <v>Map</v>
  </rv>
  <rv s="0">
    <v>536870912</v>
    <v>Canton of Fribourg</v>
    <v>5539f36c-455a-28cc-02c2-27ef6596fe56</v>
    <v>en-US</v>
    <v>Map</v>
  </rv>
  <rv s="0">
    <v>536870912</v>
    <v>Canton of Geneva</v>
    <v>fb357cde-21c3-0878-8ec6-1e42a1a9db63</v>
    <v>en-US</v>
    <v>Map</v>
  </rv>
  <rv s="0">
    <v>536870912</v>
    <v>Canton of Glarus</v>
    <v>6cf7d446-0b69-661d-2aa7-1719c8a7d3ca</v>
    <v>en-US</v>
    <v>Map</v>
  </rv>
  <rv s="0">
    <v>536870912</v>
    <v>Grisons</v>
    <v>897c7b22-1822-9d6c-0404-564393a9433c</v>
    <v>en-US</v>
    <v>Map</v>
  </rv>
  <rv s="0">
    <v>536870912</v>
    <v>Canton of Jura</v>
    <v>7d474a26-e388-0d0f-3b50-6ba37562a6b8</v>
    <v>en-US</v>
    <v>Map</v>
  </rv>
  <rv s="0">
    <v>536870912</v>
    <v>Canton of Lucerne</v>
    <v>b4674fd7-3899-7adb-4ffb-315b0fe97c2d</v>
    <v>en-US</v>
    <v>Map</v>
  </rv>
  <rv s="0">
    <v>536870912</v>
    <v>Nidwalden</v>
    <v>58fe5a62-ac5e-752f-a9cf-e9cc16f0d3bb</v>
    <v>en-US</v>
    <v>Map</v>
  </rv>
  <rv s="0">
    <v>536870912</v>
    <v>Obwalden</v>
    <v>ed77cee0-5e66-ea48-95ac-b4a7f4179920</v>
    <v>en-US</v>
    <v>Map</v>
  </rv>
  <rv s="0">
    <v>536870912</v>
    <v>Canton of St. Gallen</v>
    <v>2c40a905-a53f-03e5-6ae8-ff0f2d23e1a1</v>
    <v>en-US</v>
    <v>Map</v>
  </rv>
  <rv s="0">
    <v>536870912</v>
    <v>Canton of Schaffhausen</v>
    <v>93019ae6-ba39-a502-0e6f-d0ea1311b868</v>
    <v>en-US</v>
    <v>Map</v>
  </rv>
  <rv s="0">
    <v>536870912</v>
    <v>Canton of Schwyz</v>
    <v>ff0399f7-2e79-eb3f-0618-78c79708ac42</v>
    <v>en-US</v>
    <v>Map</v>
  </rv>
  <rv s="0">
    <v>536870912</v>
    <v>Canton of Solothurn</v>
    <v>768c0474-5479-b9c8-75f8-f82efb8f0dde</v>
    <v>en-US</v>
    <v>Map</v>
  </rv>
  <rv s="0">
    <v>536870912</v>
    <v>Ticino</v>
    <v>b6c6799b-da2f-f3c7-c738-32ae5b148d64</v>
    <v>en-US</v>
    <v>Map</v>
  </rv>
  <rv s="0">
    <v>536870912</v>
    <v>Thurgau</v>
    <v>8065557e-7c96-3a5b-def2-3f06cf28b35d</v>
    <v>en-US</v>
    <v>Map</v>
  </rv>
  <rv s="0">
    <v>536870912</v>
    <v>Canton of Uri</v>
    <v>bd769763-fa18-cb72-13b9-1fc2356e69e2</v>
    <v>en-US</v>
    <v>Map</v>
  </rv>
  <rv s="0">
    <v>536870912</v>
    <v>Valais</v>
    <v>8f4a9c7f-1eaf-8f68-e219-aa3807fe0383</v>
    <v>en-US</v>
    <v>Map</v>
  </rv>
  <rv s="0">
    <v>536870912</v>
    <v>Vaud</v>
    <v>a705603f-d616-d617-8e28-389ba87a66fc</v>
    <v>en-US</v>
    <v>Map</v>
  </rv>
  <rv s="0">
    <v>536870912</v>
    <v>Canton of Zug</v>
    <v>e87417bb-ca41-7e6d-69d0-7a8484553a9d</v>
    <v>en-US</v>
    <v>Map</v>
  </rv>
  <rv s="0">
    <v>536870912</v>
    <v>Canton of Zurich</v>
    <v>91f44f19-7d2e-687e-1899-8b1d22d4a46b</v>
    <v>en-US</v>
    <v>Map</v>
  </rv>
  <rv s="3">
    <v>100</v>
  </rv>
  <rv s="1">
    <fb>0.10080933835403399</fb>
    <v>23</v>
  </rv>
  <rv s="1">
    <fb>4.5809998512268101E-2</fb>
    <v>31</v>
  </rv>
  <rv s="1">
    <fb>6332428</fb>
    <v>24</v>
  </rv>
  <rv s="19">
    <v>#VALUE!</v>
    <v>en-US</v>
    <v>c10c98b9-afcd-84bf-c5c8-4220fc76a2e3</v>
    <v>536870912</v>
    <v>1</v>
    <v>282</v>
    <v>268</v>
    <v>Switzerland</v>
    <v>19</v>
    <v>20</v>
    <v>Map</v>
    <v>21</v>
    <v>179</v>
    <v>CH</v>
    <v>1755</v>
    <v>1756</v>
    <v>1757</v>
    <v>1758</v>
    <v>1759</v>
    <v>1760</v>
    <v>1761</v>
    <v>1762</v>
    <v>1763</v>
    <v>CHF</v>
    <v>Switzerland, officially the Swiss Confederation, is a landlocked country located in west-central Europe. It is bordered by Italy to the south, France to the west, Germany to the north, and Austria and Liechtenstein to the east. Switzerland is ...</v>
    <v>1764</v>
    <v>1765</v>
    <v>1766</v>
    <v>1767</v>
    <v>1768</v>
    <v>1769</v>
    <v>1770</v>
    <v>1771</v>
    <v>1772</v>
    <v>1773</v>
    <v>1774</v>
    <v>1782</v>
    <v>1783</v>
    <v>1784</v>
    <v>1785</v>
    <v>1077</v>
    <v>Switzerland</v>
    <v>Swiss Psalm</v>
    <v>1786</v>
    <v>Confoederatio Helvetica</v>
    <v>1787</v>
    <v>1788</v>
    <v>1789</v>
    <v>925</v>
    <v>1790</v>
    <v>1515</v>
    <v>1791</v>
    <v>536</v>
    <v>822</v>
    <v>1792</v>
    <v>1793</v>
    <v>1819</v>
    <v>1820</v>
    <v>1210</v>
    <v>364</v>
    <v>1821</v>
    <v>Switzerland</v>
    <v>1822</v>
    <v>mdp/vdpid/223</v>
  </rv>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2">
    <v>57</v>
    <v>21</v>
    <v>284</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101</v>
  </rv>
  <rv s="4">
    <v>https://www.bing.com/search?q=brazil&amp;form=skydnc</v>
    <v>Learn more on Bing</v>
  </rv>
  <rv s="1">
    <fb>75.671999999999997</fb>
    <v>28</v>
  </rv>
  <rv s="1">
    <fb>1187361690000</fb>
    <v>30</v>
  </rv>
  <rv s="1">
    <fb>60</fb>
    <v>28</v>
  </rv>
  <rv s="1">
    <fb>1.53</fb>
    <v>29</v>
  </rv>
  <rv s="3">
    <v>102</v>
  </rv>
  <rv s="1">
    <fb>0.28289823089999999</fb>
    <v>23</v>
  </rv>
  <rv s="1">
    <fb>2.1499000000000001</fb>
    <v>25</v>
  </rv>
  <rv s="1">
    <fb>215313498</fb>
    <v>24</v>
  </rv>
  <rv s="1">
    <fb>0.42499999999999999</fb>
    <v>23</v>
  </rv>
  <rv s="1">
    <fb>0.58399999999999996</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103</v>
  </rv>
  <rv s="1">
    <fb>0.14178605589771201</fb>
    <v>23</v>
  </rv>
  <rv s="3">
    <v>104</v>
  </rv>
  <rv s="1">
    <fb>0.65099999999999991</fb>
    <v>23</v>
  </rv>
  <rv s="1">
    <fb>0.12083000183105501</fb>
    <v>31</v>
  </rv>
  <rv s="1">
    <fb>183241641</fb>
    <v>24</v>
  </rv>
  <rv s="5">
    <v>#VALUE!</v>
    <v>en-US</v>
    <v>a828cf41-b938-49fe-7986-4b336618d413</v>
    <v>536870912</v>
    <v>1</v>
    <v>287</v>
    <v>17</v>
    <v>Brazil</v>
    <v>19</v>
    <v>20</v>
    <v>Map</v>
    <v>21</v>
    <v>288</v>
    <v>BR</v>
    <v>1825</v>
    <v>1826</v>
    <v>1827</v>
    <v>1828</v>
    <v>1829</v>
    <v>1830</v>
    <v>1831</v>
    <v>1832</v>
    <v>1833</v>
    <v>BRL</v>
    <v>Brazil, officially the Federative Republic of Brazil, is the largest and easternmost country in South America. It is the world's fifth-largest country by area and the seventh largest by population, with over 212 million people. The country is a ...</v>
    <v>1834</v>
    <v>1835</v>
    <v>1836</v>
    <v>1837</v>
    <v>1838</v>
    <v>1839</v>
    <v>1840</v>
    <v>1841</v>
    <v>1842</v>
    <v>1843</v>
    <v>1844</v>
    <v>1847</v>
    <v>1848</v>
    <v>1849</v>
    <v>1850</v>
    <v>1851</v>
    <v>1852</v>
    <v>Brazil</v>
    <v>Brazilian National Anthem</v>
    <v>1853</v>
    <v>República Federativa do Brasil</v>
    <v>1854</v>
    <v>1855</v>
    <v>1856</v>
    <v>875</v>
    <v>1857</v>
    <v>1858</v>
    <v>851</v>
    <v>1791</v>
    <v>589</v>
    <v>1657</v>
    <v>1859</v>
    <v>1887</v>
    <v>1888</v>
    <v>1889</v>
    <v>1890</v>
    <v>1891</v>
    <v>Brazil</v>
    <v>1892</v>
    <v>mdp/vdpid/32</v>
  </rv>
  <rv s="0">
    <v>536870912</v>
    <v>Uruguay</v>
    <v>4d1c354d-d080-b633-86bc-0bad862c8cc1</v>
    <v>en-US</v>
    <v>Map</v>
  </rv>
  <rv s="1">
    <fb>0.82559705230116509</fb>
    <v>23</v>
  </rv>
  <rv s="1">
    <fb>176215</fb>
    <v>24</v>
  </rv>
  <rv s="1">
    <fb>22000</fb>
    <v>24</v>
  </rv>
  <rv s="1">
    <fb>13.856999999999999</fb>
    <v>25</v>
  </rv>
  <rv s="1">
    <fb>598</fb>
    <v>26</v>
  </rv>
  <rv s="0">
    <v>536870912</v>
    <v>Montevideo</v>
    <v>6f057c0a-9767-4c6b-b46f-6095e75df6ce</v>
    <v>en-US</v>
    <v>Map</v>
  </rv>
  <rv s="1">
    <fb>6765.6149999999998</fb>
    <v>24</v>
  </rv>
  <rv s="1">
    <fb>202.92198338614401</fb>
    <v>27</v>
  </rv>
  <rv s="1">
    <fb>7.8819887087962198E-2</fb>
    <v>23</v>
  </rv>
  <rv s="1">
    <fb>3085.1944193006002</fb>
    <v>24</v>
  </rv>
  <rv s="1">
    <fb>1.9730000000000001</fb>
    <v>25</v>
  </rv>
  <rv s="1">
    <fb>0.106715803350153</fb>
    <v>23</v>
  </rv>
  <rv s="1">
    <fb>46.270307888488801</fb>
    <v>28</v>
  </rv>
  <rv s="1">
    <fb>1.5</fb>
    <v>29</v>
  </rv>
  <rv s="1">
    <fb>56045912952.342003</fb>
    <v>30</v>
  </rv>
  <rv s="1">
    <fb>1.0845944000000001</fb>
    <v>23</v>
  </rv>
  <rv s="1">
    <fb>0.63125770000000003</fb>
    <v>23</v>
  </rv>
  <rv s="2">
    <v>58</v>
    <v>21</v>
    <v>290</v>
    <v>7</v>
    <v>0</v>
    <v>Image of Uruguay</v>
  </rv>
  <rv s="1">
    <fb>6.4</fb>
    <v>28</v>
  </rv>
  <rv s="0">
    <v>805306368</v>
    <v>Luis Lacalle Pou (President)</v>
    <v>45b12faf-c863-9c49-f448-8d6570636f58</v>
    <v>en-US</v>
    <v>Generic</v>
  </rv>
  <rv s="0">
    <v>805306368</v>
    <v>Beatriz Argimón (Vice president)</v>
    <v>fdad8b43-7954-7971-e1d7-65aea1df14f9</v>
    <v>en-US</v>
    <v>Generic</v>
  </rv>
  <rv s="3">
    <v>105</v>
  </rv>
  <rv s="4">
    <v>https://www.bing.com/search?q=uruguay&amp;form=skydnc</v>
    <v>Learn more on Bing</v>
  </rv>
  <rv s="1">
    <fb>77.77</fb>
    <v>28</v>
  </rv>
  <rv s="1">
    <fb>283800000</fb>
    <v>30</v>
  </rv>
  <rv s="1">
    <fb>17</fb>
    <v>28</v>
  </rv>
  <rv s="1">
    <fb>1.66</fb>
    <v>29</v>
  </rv>
  <rv s="3">
    <v>106</v>
  </rv>
  <rv s="1">
    <fb>0.16191438689999998</fb>
    <v>23</v>
  </rv>
  <rv s="1">
    <fb>5.0499000000000001</fb>
    <v>25</v>
  </rv>
  <rv s="1">
    <fb>3422794</fb>
    <v>24</v>
  </rv>
  <rv s="1">
    <fb>0.29699999999999999</fb>
    <v>23</v>
  </rv>
  <rv s="1">
    <fb>0.45899999999999996</fb>
    <v>23</v>
  </rv>
  <rv s="1">
    <fb>0.64021003723144498</fb>
    <v>23</v>
  </rv>
  <rv s="0">
    <v>536870912</v>
    <v>Artigas Department</v>
    <v>fba8474e-01a4-b560-b9db-3632789d7418</v>
    <v>en-US</v>
    <v>Map</v>
  </rv>
  <rv s="0">
    <v>536870912</v>
    <v>Canelones Department</v>
    <v>47a6cb77-1084-cc26-db7c-3a31f25cad6c</v>
    <v>en-US</v>
    <v>Map</v>
  </rv>
  <rv s="0">
    <v>536870912</v>
    <v>Cerro Largo Department</v>
    <v>17cbef99-9025-55af-1bf6-693b24e4cbf8</v>
    <v>en-US</v>
    <v>Map</v>
  </rv>
  <rv s="0">
    <v>536870912</v>
    <v>Colonia Department</v>
    <v>794441ed-35f5-6a38-65fe-1bd820a78487</v>
    <v>en-US</v>
    <v>Map</v>
  </rv>
  <rv s="0">
    <v>536870912</v>
    <v>Durazno Department</v>
    <v>812de676-d0a2-23e3-f7e6-3e002da3a2ca</v>
    <v>en-US</v>
    <v>Map</v>
  </rv>
  <rv s="0">
    <v>536870912</v>
    <v>Flores Department</v>
    <v>8744bd18-02b9-d69c-5205-c77980587fa8</v>
    <v>en-US</v>
    <v>Map</v>
  </rv>
  <rv s="0">
    <v>536870912</v>
    <v>Florida Department</v>
    <v>ea047b14-8780-2d2b-754d-7fb89f334f00</v>
    <v>en-US</v>
    <v>Map</v>
  </rv>
  <rv s="0">
    <v>536870912</v>
    <v>Lavalleja Department</v>
    <v>10d28e4e-b416-05ae-493b-27e45db3a2a5</v>
    <v>en-US</v>
    <v>Map</v>
  </rv>
  <rv s="0">
    <v>536870912</v>
    <v>Maldonado Department</v>
    <v>bc35c120-ecdd-02db-b583-d31b4a2752db</v>
    <v>en-US</v>
    <v>Map</v>
  </rv>
  <rv s="0">
    <v>536870912</v>
    <v>Montevideo Department</v>
    <v>b91bb4e2-7350-50c2-c5ec-7a29179101c8</v>
    <v>en-US</v>
    <v>Map</v>
  </rv>
  <rv s="0">
    <v>536870912</v>
    <v>Paysandú Department</v>
    <v>62ccb945-3081-60ca-acbc-2879d5666afa</v>
    <v>en-US</v>
    <v>Map</v>
  </rv>
  <rv s="0">
    <v>536870912</v>
    <v>Río Negro Department</v>
    <v>c51cdc11-8d24-b6c6-218e-1bf15937ed9f</v>
    <v>en-US</v>
    <v>Map</v>
  </rv>
  <rv s="0">
    <v>536870912</v>
    <v>Rivera Department</v>
    <v>93dab529-8b73-8eaa-840b-3bfd75594642</v>
    <v>en-US</v>
    <v>Map</v>
  </rv>
  <rv s="0">
    <v>536870912</v>
    <v>Rocha Department</v>
    <v>6ec9f1ef-cd41-1cd6-4b5b-098fdf2c9a42</v>
    <v>en-US</v>
    <v>Map</v>
  </rv>
  <rv s="0">
    <v>536870912</v>
    <v>Salto Department</v>
    <v>03610b7b-013c-0ee8-410e-862a629b2ea6</v>
    <v>en-US</v>
    <v>Map</v>
  </rv>
  <rv s="0">
    <v>536870912</v>
    <v>San José Department</v>
    <v>430941cb-a24d-6855-7fd1-c2de5e0eafb0</v>
    <v>en-US</v>
    <v>Map</v>
  </rv>
  <rv s="0">
    <v>536870912</v>
    <v>Soriano Department</v>
    <v>20c5f360-f062-1dba-7326-b35033e2d45b</v>
    <v>en-US</v>
    <v>Map</v>
  </rv>
  <rv s="0">
    <v>536870912</v>
    <v>Tacuarembó Department</v>
    <v>3d3ab1e0-e4dd-a712-e9ed-4e8019c73c8b</v>
    <v>en-US</v>
    <v>Map</v>
  </rv>
  <rv s="0">
    <v>536870912</v>
    <v>Treinta y Tres Department</v>
    <v>ce5de2e0-0829-6413-4cfe-22c8fb1f8bb1</v>
    <v>en-US</v>
    <v>Map</v>
  </rv>
  <rv s="3">
    <v>107</v>
  </rv>
  <rv s="1">
    <fb>0.20091963021411099</fb>
    <v>23</v>
  </rv>
  <rv s="3">
    <v>108</v>
  </rv>
  <rv s="1">
    <fb>0.41799999999999998</fb>
    <v>23</v>
  </rv>
  <rv s="1">
    <fb>8.7309999465942395E-2</fb>
    <v>31</v>
  </rv>
  <rv s="1">
    <fb>3303394</fb>
    <v>24</v>
  </rv>
  <rv s="5">
    <v>#VALUE!</v>
    <v>en-US</v>
    <v>4d1c354d-d080-b633-86bc-0bad862c8cc1</v>
    <v>536870912</v>
    <v>1</v>
    <v>293</v>
    <v>17</v>
    <v>Uruguay</v>
    <v>19</v>
    <v>20</v>
    <v>Map</v>
    <v>21</v>
    <v>294</v>
    <v>UY</v>
    <v>1895</v>
    <v>1896</v>
    <v>1897</v>
    <v>1898</v>
    <v>1899</v>
    <v>1900</v>
    <v>1901</v>
    <v>1902</v>
    <v>1903</v>
    <v>UYU</v>
    <v>Uruguay, officially the Oriental Republic of Uruguay, is a country in South America. It shares borders with Argentina to its west and southwest and Brazil to its north and northeast, while bordering the Río de la Plata to the south and the ...</v>
    <v>1904</v>
    <v>1905</v>
    <v>1906</v>
    <v>1907</v>
    <v>1908</v>
    <v>1909</v>
    <v>1910</v>
    <v>1911</v>
    <v>1912</v>
    <v>1913</v>
    <v>1900</v>
    <v>1916</v>
    <v>1917</v>
    <v>1918</v>
    <v>1919</v>
    <v>1920</v>
    <v>1921</v>
    <v>Uruguay</v>
    <v>National Anthem of Uruguay</v>
    <v>1922</v>
    <v>Repúbilca Oriental del Uruguay</v>
    <v>1923</v>
    <v>1924</v>
    <v>1925</v>
    <v>449</v>
    <v>1926</v>
    <v>1927</v>
    <v>481</v>
    <v>777</v>
    <v>563</v>
    <v>41</v>
    <v>1928</v>
    <v>1948</v>
    <v>1949</v>
    <v>1950</v>
    <v>1951</v>
    <v>1952</v>
    <v>Uruguay</v>
    <v>1953</v>
    <v>mdp/vdpid/246</v>
  </rv>
  <rv s="0">
    <v>536870912</v>
    <v>Singapore</v>
    <v>f5ffb882-7230-f3fe-7141-cde5f4b5ed1a</v>
    <v>en-US</v>
    <v>Map</v>
  </rv>
  <rv s="1">
    <fb>9.3088859241440211E-3</fb>
    <v>23</v>
  </rv>
  <rv s="1">
    <fb>719.1</fb>
    <v>24</v>
  </rv>
  <rv s="1">
    <fb>81000</fb>
    <v>24</v>
  </rv>
  <rv s="1">
    <fb>8.8000000000000007</fb>
    <v>25</v>
  </rv>
  <rv s="1">
    <fb>65</fb>
    <v>26</v>
  </rv>
  <rv s="0">
    <v>536870912</v>
    <v>Singapore</v>
    <v>bc4c8e45-2078-1a1c-ec5f-c53a31c59378</v>
    <v>en-US</v>
    <v>Map</v>
  </rv>
  <rv s="1">
    <fb>37535.411999999997</fb>
    <v>24</v>
  </rv>
  <rv s="1">
    <fb>114.40578588194499</fb>
    <v>27</v>
  </rv>
  <rv s="1">
    <fb>5.6526056878035804E-3</fb>
    <v>23</v>
  </rv>
  <rv s="1">
    <fb>8844.6875930120095</fb>
    <v>24</v>
  </rv>
  <rv s="1">
    <fb>1.1399999999999999</fb>
    <v>25</v>
  </rv>
  <rv s="1">
    <fb>0.23060648842866199</fb>
    <v>23</v>
  </rv>
  <rv s="1">
    <fb>90.578873580503199</fb>
    <v>28</v>
  </rv>
  <rv s="1">
    <fb>1.25</fb>
    <v>29</v>
  </rv>
  <rv s="1">
    <fb>372062527488.638</fb>
    <v>30</v>
  </rv>
  <rv s="1">
    <fb>1.0062694999999999</fb>
    <v>23</v>
  </rv>
  <rv s="1">
    <fb>0.8479291000000001</fb>
    <v>23</v>
  </rv>
  <rv s="2">
    <v>59</v>
    <v>21</v>
    <v>296</v>
    <v>7</v>
    <v>0</v>
    <v>Image of Singapore</v>
  </rv>
  <rv s="1">
    <fb>2.2999999999999998</fb>
    <v>28</v>
  </rv>
  <rv s="0">
    <v>805306368</v>
    <v>Tharman Shanmugaratnam (President)</v>
    <v>98678290-c25c-ece2-19bf-1b9d4e19eff5</v>
    <v>en-US</v>
    <v>Generic</v>
  </rv>
  <rv s="0">
    <v>805306368</v>
    <v>Lawrence Wong (Prime minister)</v>
    <v>23974a85-a24e-4314-ae44-6d1017f1cf9c</v>
    <v>en-US</v>
    <v>Generic</v>
  </rv>
  <rv s="3">
    <v>109</v>
  </rv>
  <rv s="4">
    <v>https://www.bing.com/search?q=singapore&amp;form=skydnc</v>
    <v>Learn more on Bing</v>
  </rv>
  <rv s="1">
    <fb>83.146341463414601</fb>
    <v>28</v>
  </rv>
  <rv s="1">
    <fb>697271330000</fb>
    <v>30</v>
  </rv>
  <rv s="3">
    <v>110</v>
  </rv>
  <rv s="1">
    <fb>0.367371636</fb>
    <v>23</v>
  </rv>
  <rv s="1">
    <fb>2.2936000000000001</fb>
    <v>25</v>
  </rv>
  <rv s="1">
    <fb>5637022</fb>
    <v>24</v>
  </rv>
  <rv s="1">
    <fb>0.70538002014160195</fb>
    <v>23</v>
  </rv>
  <rv s="1">
    <fb>0.131417170586072</fb>
    <v>23</v>
  </rv>
  <rv s="3">
    <v>111</v>
  </rv>
  <rv s="1">
    <fb>4.1090002059936494E-2</fb>
    <v>31</v>
  </rv>
  <rv s="1">
    <fb>5703569</fb>
    <v>24</v>
  </rv>
  <rv s="20">
    <v>#VALUE!</v>
    <v>en-US</v>
    <v>f5ffb882-7230-f3fe-7141-cde5f4b5ed1a</v>
    <v>536870912</v>
    <v>1</v>
    <v>299</v>
    <v>300</v>
    <v>Singapore</v>
    <v>19</v>
    <v>20</v>
    <v>Map</v>
    <v>21</v>
    <v>301</v>
    <v>SG</v>
    <v>1956</v>
    <v>1957</v>
    <v>1958</v>
    <v>1959</v>
    <v>1960</v>
    <v>1961</v>
    <v>1962</v>
    <v>1963</v>
    <v>1964</v>
    <v>SGD</v>
    <v>Singapore, officially the Republic of Singapore, is an island country and city-state in Southeast Asia. The country's territory comprises one main island, 63 satellite islands and islets, and one outlying islet. It is about one degree of ...</v>
    <v>1965</v>
    <v>1966</v>
    <v>1967</v>
    <v>1968</v>
    <v>1969</v>
    <v>1970</v>
    <v>1971</v>
    <v>1972</v>
    <v>1973</v>
    <v>1974</v>
    <v>1977</v>
    <v>1978</v>
    <v>1979</v>
    <v>1980</v>
    <v>1174</v>
    <v>Singapore</v>
    <v>Majulah Singapura</v>
    <v>1981</v>
    <v>Republic of Singapore</v>
    <v>1982</v>
    <v>1983</v>
    <v>1984</v>
    <v>1985</v>
    <v>1986</v>
    <v>1987</v>
    <v>750</v>
    <v>1988</v>
    <v>Singapore</v>
    <v>1989</v>
    <v>mdp/vdpid/215</v>
  </rv>
  <rv s="0">
    <v>536870912</v>
    <v>Republic of Ireland</v>
    <v>77f28672-5669-4775-a58a-b62b17779010</v>
    <v>en-US</v>
    <v>Map</v>
  </rv>
  <rv s="1">
    <fb>0.64537668747278298</fb>
    <v>23</v>
  </rv>
  <rv s="1">
    <fb>69797</fb>
    <v>24</v>
  </rv>
  <rv s="1">
    <fb>9000</fb>
    <v>24</v>
  </rv>
  <rv s="1">
    <fb>12.5</fb>
    <v>25</v>
  </rv>
  <rv s="1">
    <fb>353</fb>
    <v>26</v>
  </rv>
  <rv s="0">
    <v>536870912</v>
    <v>Dublin</v>
    <v>7e7d2832-97c8-afa4-d282-865c20a549c9</v>
    <v>en-US</v>
    <v>Map</v>
  </rv>
  <rv s="1">
    <fb>37711.428</fb>
    <v>24</v>
  </rv>
  <rv s="1">
    <fb>106.584326346003</fb>
    <v>27</v>
  </rv>
  <rv s="1">
    <fb>9.3904448105434097E-3</fb>
    <v>23</v>
  </rv>
  <rv s="1">
    <fb>5672.0641341079599</fb>
    <v>24</v>
  </rv>
  <rv s="1">
    <fb>1.75</fb>
    <v>25</v>
  </rv>
  <rv s="1">
    <fb>0.110277255364644</fb>
    <v>23</v>
  </rv>
  <rv s="1">
    <fb>85.342819766444293</fb>
    <v>28</v>
  </rv>
  <rv s="1">
    <fb>1.37</fb>
    <v>29</v>
  </rv>
  <rv s="1">
    <fb>388698711348.15601</fb>
    <v>30</v>
  </rv>
  <rv s="1">
    <fb>1.0085278</fb>
    <v>23</v>
  </rv>
  <rv s="1">
    <fb>0.7778062</fb>
    <v>23</v>
  </rv>
  <rv s="2">
    <v>60</v>
    <v>21</v>
    <v>303</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3">
    <v>112</v>
  </rv>
  <rv s="4">
    <v>https://www.bing.com/search?q=republic+of+ireland&amp;form=skydnc</v>
    <v>Learn more on Bing</v>
  </rv>
  <rv s="1">
    <fb>82.256097560975604</fb>
    <v>28</v>
  </rv>
  <rv s="1">
    <fb>110154370000</fb>
    <v>30</v>
  </rv>
  <rv s="1">
    <fb>10.79</fb>
    <v>29</v>
  </rv>
  <rv s="3">
    <v>113</v>
  </rv>
  <rv s="1">
    <fb>0.15164452009999999</fb>
    <v>23</v>
  </rv>
  <rv s="1">
    <fb>3.3125</fb>
    <v>25</v>
  </rv>
  <rv s="1">
    <fb>5086988</fb>
    <v>24</v>
  </rv>
  <rv s="1">
    <fb>0.22</fb>
    <v>23</v>
  </rv>
  <rv s="1">
    <fb>0.25900000000000001</fb>
    <v>23</v>
  </rv>
  <rv s="1">
    <fb>0.16300000000000001</fb>
    <v>23</v>
  </rv>
  <rv s="1">
    <fb>0.62067001342773398</fb>
    <v>23</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114</v>
  </rv>
  <rv s="1">
    <fb>0.18262353633181699</fb>
    <v>23</v>
  </rv>
  <rv s="3">
    <v>115</v>
  </rv>
  <rv s="1">
    <fb>4.9279999732971203E-2</fb>
    <v>31</v>
  </rv>
  <rv s="1">
    <fb>3133123</fb>
    <v>24</v>
  </rv>
  <rv s="21">
    <v>#VALUE!</v>
    <v>en-US</v>
    <v>77f28672-5669-4775-a58a-b62b17779010</v>
    <v>536870912</v>
    <v>1</v>
    <v>306</v>
    <v>307</v>
    <v>Republic of Ireland</v>
    <v>19</v>
    <v>20</v>
    <v>Map</v>
    <v>21</v>
    <v>308</v>
    <v>1992</v>
    <v>1993</v>
    <v>1994</v>
    <v>1995</v>
    <v>1996</v>
    <v>1997</v>
    <v>1998</v>
    <v>1999</v>
    <v>2000</v>
    <v>EUR</v>
    <v>Ireland, also known as the Republic of Ireland, is a country in Northwestern Europe consisting of 26 of the 32 counties of the island of Ireland, with a population of about 5.4 million. Its capital and largest city is Dublin, on the eastern side ...</v>
    <v>2001</v>
    <v>2002</v>
    <v>2003</v>
    <v>2004</v>
    <v>2005</v>
    <v>2006</v>
    <v>2007</v>
    <v>2008</v>
    <v>2009</v>
    <v>1364</v>
    <v>1997</v>
    <v>2013</v>
    <v>2014</v>
    <v>2015</v>
    <v>2016</v>
    <v>1077</v>
    <v>2017</v>
    <v>Republic of Ireland</v>
    <v>Amhrán na bhFiann</v>
    <v>2018</v>
    <v>Ireland</v>
    <v>2019</v>
    <v>2020</v>
    <v>2021</v>
    <v>2022</v>
    <v>2023</v>
    <v>1341</v>
    <v>1791</v>
    <v>424</v>
    <v>1586</v>
    <v>2024</v>
    <v>2025</v>
    <v>2052</v>
    <v>2053</v>
    <v>2054</v>
    <v>695</v>
    <v>2055</v>
    <v>Republic of Ireland</v>
    <v>2056</v>
    <v>mdp/vdpid/68</v>
  </rv>
  <rv s="1">
    <fb>114.99</fb>
    <v>24</v>
  </rv>
  <rv s="2">
    <v>61</v>
    <v>21</v>
    <v>310</v>
    <v>7</v>
    <v>0</v>
    <v>Image of Dublin</v>
  </rv>
  <rv s="1">
    <fb>53.349722222222198</fb>
    <v>43</v>
  </rv>
  <rv s="0">
    <v>805306368</v>
    <v>Emma Blain (Mayor)</v>
    <v>b5d63317-690f-39b5-8ae9-56eaac5c2452</v>
    <v>en-US</v>
    <v>Generic</v>
  </rv>
  <rv s="3">
    <v>116</v>
  </rv>
  <rv s="4">
    <v>https://www.bing.com/search?q=dublin+ireland&amp;form=skydnc</v>
    <v>Learn more on Bing</v>
  </rv>
  <rv s="1">
    <fb>-6.2602777777777803</fb>
    <v>43</v>
  </rv>
  <rv s="1">
    <fb>592713</fb>
    <v>24</v>
  </rv>
  <rv s="3">
    <v>117</v>
  </rv>
  <rv s="22">
    <v>#VALUE!</v>
    <v>en-US</v>
    <v>7e7d2832-97c8-afa4-d282-865c20a549c9</v>
    <v>536870912</v>
    <v>1</v>
    <v>311</v>
    <v>312</v>
    <v>Dublin</v>
    <v>19</v>
    <v>20</v>
    <v>Map</v>
    <v>21</v>
    <v>313</v>
    <v>2058</v>
    <v>1991</v>
    <v>Dublin is the capital city of Ireland. On a bay at the mouth of the River Liffey, it is in the province of Leinster, bordered on the south by the Dublin Mountains, a part of the Wicklow Mountains range. At the 2022 census, the city council area ...</v>
    <v>2059</v>
    <v>2060</v>
    <v>2062</v>
    <v>2063</v>
    <v>2064</v>
    <v>Dublin</v>
    <v>2065</v>
    <v>2066</v>
    <v>Dublin</v>
    <v>mdp/vdpid/5469235680884293633</v>
  </rv>
  <rv s="0">
    <v>536870912</v>
    <v>Denmark</v>
    <v>95710a2f-c32d-4c03-bec0-7ff079db158d</v>
    <v>en-US</v>
    <v>Map</v>
  </rv>
  <rv s="1">
    <fb>0.62014765420338203</fb>
    <v>23</v>
  </rv>
  <rv s="1">
    <fb>42925.46</fb>
    <v>24</v>
  </rv>
  <rv s="1">
    <fb>15000</fb>
    <v>24</v>
  </rv>
  <rv s="1">
    <fb>10.6</fb>
    <v>25</v>
  </rv>
  <rv s="1">
    <fb>45</fb>
    <v>26</v>
  </rv>
  <rv s="0">
    <v>536870912</v>
    <v>Copenhagen</v>
    <v>8052664d-a70c-e1fa-c761-489d8c924b80</v>
    <v>en-US</v>
    <v>Map</v>
  </rv>
  <rv s="1">
    <fb>31785.556</fb>
    <v>24</v>
  </rv>
  <rv s="1">
    <fb>110.347290420498</fb>
    <v>27</v>
  </rv>
  <rv s="1">
    <fb>7.5813157251161901E-3</fb>
    <v>23</v>
  </rv>
  <rv s="1">
    <fb>5858.8015362874803</fb>
    <v>24</v>
  </rv>
  <rv s="1">
    <fb>0.14699213400884101</fb>
    <v>23</v>
  </rv>
  <rv s="1">
    <fb>64.927089467566603</fb>
    <v>28</v>
  </rv>
  <rv s="1">
    <fb>1.55</fb>
    <v>29</v>
  </rv>
  <rv s="1">
    <fb>348078018463.90503</fb>
    <v>30</v>
  </rv>
  <rv s="1">
    <fb>1.0126809000000001</fb>
    <v>23</v>
  </rv>
  <rv s="1">
    <fb>0.8061602000000001</fb>
    <v>23</v>
  </rv>
  <rv s="2">
    <v>62</v>
    <v>21</v>
    <v>315</v>
    <v>7</v>
    <v>0</v>
    <v>Image of Denmark</v>
  </rv>
  <rv s="1">
    <fb>3.6</fb>
    <v>28</v>
  </rv>
  <rv s="0">
    <v>805306368</v>
    <v>Frederik X (Monarch)</v>
    <v>665fc785-58e1-6330-943b-e070a89f8231</v>
    <v>en-US</v>
    <v>Generic</v>
  </rv>
  <rv s="0">
    <v>805306368</v>
    <v>Mette Frederiksen (Prime minister)</v>
    <v>080235cf-4453-82c5-a952-a9e6000ac49b</v>
    <v>en-US</v>
    <v>Generic</v>
  </rv>
  <rv s="3">
    <v>118</v>
  </rv>
  <rv s="4">
    <v>https://www.bing.com/search?q=denmark&amp;form=skydnc</v>
    <v>Learn more on Bing</v>
  </rv>
  <rv s="1">
    <fb>80.953658536585394</fb>
    <v>28</v>
  </rv>
  <rv s="1">
    <fb>151349870000</fb>
    <v>30</v>
  </rv>
  <rv s="3">
    <v>119</v>
  </rv>
  <rv s="1">
    <fb>0.13722792379999998</fb>
    <v>23</v>
  </rv>
  <rv s="1">
    <fb>4.0099</fb>
    <v>25</v>
  </rv>
  <rv s="1">
    <fb>5903037</fb>
    <v>24</v>
  </rv>
  <rv s="1">
    <fb>0.24</fb>
    <v>23</v>
  </rv>
  <rv s="1">
    <fb>3.7000000000000005E-2</fb>
    <v>23</v>
  </rv>
  <rv s="1">
    <fb>0.62217998504638705</fb>
    <v>23</v>
  </rv>
  <rv s="0">
    <v>536870912</v>
    <v>Region of Southern Denmark</v>
    <v>2a8f2729-c9c7-0675-b9cf-c866bd52068a</v>
    <v>en-US</v>
    <v>Map</v>
  </rv>
  <rv s="0">
    <v>536870912</v>
    <v>Region Zealand</v>
    <v>34915c7b-bd4a-9bf2-32b8-e8dc2f40e373</v>
    <v>en-US</v>
    <v>Map</v>
  </rv>
  <rv s="0">
    <v>536870912</v>
    <v>North Jutland Region</v>
    <v>051568b1-127e-3d0e-1591-07491f1ab5a5</v>
    <v>en-US</v>
    <v>Map</v>
  </rv>
  <rv s="0">
    <v>536870912</v>
    <v>Central Denmark Region</v>
    <v>78bf590e-ce59-f821-ede9-ae2f548d476b</v>
    <v>en-US</v>
    <v>Map</v>
  </rv>
  <rv s="0">
    <v>536870912</v>
    <v>Capital Region of Denmark</v>
    <v>d04715be-1fef-ff73-393d-f12a6f24b6b4</v>
    <v>en-US</v>
    <v>Map</v>
  </rv>
  <rv s="3">
    <v>120</v>
  </rv>
  <rv s="1">
    <fb>0.32382317837334801</fb>
    <v>23</v>
  </rv>
  <rv s="1">
    <fb>4.9130001068115201E-2</fb>
    <v>31</v>
  </rv>
  <rv s="1">
    <fb>5119978</fb>
    <v>24</v>
  </rv>
  <rv s="19">
    <v>#VALUE!</v>
    <v>en-US</v>
    <v>95710a2f-c32d-4c03-bec0-7ff079db158d</v>
    <v>536870912</v>
    <v>1</v>
    <v>318</v>
    <v>268</v>
    <v>Denmark</v>
    <v>19</v>
    <v>20</v>
    <v>Map</v>
    <v>21</v>
    <v>319</v>
    <v>DK</v>
    <v>2069</v>
    <v>2070</v>
    <v>2071</v>
    <v>2072</v>
    <v>2073</v>
    <v>2074</v>
    <v>2075</v>
    <v>2076</v>
    <v>2077</v>
    <v>DKK</v>
    <v>Denmark is a Nordic country in Northern Europe. It is the metropole and most populous constituent of the Kingdom of Denmark, also known as the Danish Realm, a constitutionally unitary state that includes the autonomous territories of the Faroe ...</v>
    <v>2078</v>
    <v>1835</v>
    <v>2079</v>
    <v>2080</v>
    <v>2081</v>
    <v>2082</v>
    <v>2083</v>
    <v>2084</v>
    <v>2085</v>
    <v>2086</v>
    <v>2074</v>
    <v>2089</v>
    <v>2090</v>
    <v>2091</v>
    <v>2092</v>
    <v>1006</v>
    <v>Denmark</v>
    <v>Der er et yndigt land</v>
    <v>2093</v>
    <v>Kongeriget Danmark</v>
    <v>2094</v>
    <v>2095</v>
    <v>2096</v>
    <v>1180</v>
    <v>2097</v>
    <v>270</v>
    <v>2098</v>
    <v>669</v>
    <v>849</v>
    <v>1015</v>
    <v>2099</v>
    <v>2105</v>
    <v>2106</v>
    <v>1210</v>
    <v>176</v>
    <v>2107</v>
    <v>Denmark</v>
    <v>2108</v>
    <v>mdp/vdpid/61</v>
  </rv>
  <rv s="0">
    <v>536870912</v>
    <v>United Kingdom</v>
    <v>b1a5155a-6bb2-4646-8f7c-3e6b3a53c831</v>
    <v>en-US</v>
    <v>Map</v>
  </rv>
  <rv s="1">
    <fb>0.71714878141404492</fb>
    <v>23</v>
  </rv>
  <rv s="1">
    <fb>242495</fb>
    <v>24</v>
  </rv>
  <rv s="1">
    <fb>148000</fb>
    <v>24</v>
  </rv>
  <rv s="1">
    <fb>11</fb>
    <v>25</v>
  </rv>
  <rv s="1">
    <fb>44</fb>
    <v>26</v>
  </rv>
  <rv s="0">
    <v>536870912</v>
    <v>London</v>
    <v>8e0ba7b6-4225-fa8a-6369-1b5294e602a5</v>
    <v>en-US</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63</v>
    <v>21</v>
    <v>321</v>
    <v>7</v>
    <v>0</v>
    <v>Image of United Kingdom</v>
  </rv>
  <rv s="0">
    <v>805306368</v>
    <v>Keir Starmer (Prime minister)</v>
    <v>63a6ef59-71fd-db08-08c6-d47d973d47fb</v>
    <v>en-US</v>
    <v>Generic</v>
  </rv>
  <rv s="3">
    <v>121</v>
  </rv>
  <rv s="4">
    <v>https://www.bing.com/search?q=united+kingdom&amp;form=skydnc</v>
    <v>Learn more on Bing</v>
  </rv>
  <rv s="1">
    <fb>81.256097560975604</fb>
    <v>28</v>
  </rv>
  <rv s="1">
    <fb>1868152970000</fb>
    <v>30</v>
  </rv>
  <rv s="1">
    <fb>10.130000000000001</fb>
    <v>29</v>
  </rv>
  <rv s="1">
    <fb>0.14794489889999998</fb>
    <v>23</v>
  </rv>
  <rv s="1">
    <fb>2.8117000000000001</fb>
    <v>25</v>
  </rv>
  <rv s="1">
    <fb>66971411</fb>
    <v>24</v>
  </rv>
  <rv s="1">
    <fb>0.26800000000000002</fb>
    <v>23</v>
  </rv>
  <rv s="1">
    <fb>0.11900000000000001</fb>
    <v>23</v>
  </rv>
  <rv s="1">
    <fb>0.62773998260497998</fb>
    <v>23</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122</v>
  </rv>
  <rv s="1">
    <fb>0.255052921600669</fb>
    <v>23</v>
  </rv>
  <rv s="3">
    <v>123</v>
  </rv>
  <rv s="1">
    <fb>0.30599999999999999</fb>
    <v>23</v>
  </rv>
  <rv s="1">
    <fb>3.8510000705719E-2</fb>
    <v>31</v>
  </rv>
  <rv s="1">
    <fb>55908316</fb>
    <v>24</v>
  </rv>
  <rv s="5">
    <v>#VALUE!</v>
    <v>en-US</v>
    <v>b1a5155a-6bb2-4646-8f7c-3e6b3a53c831</v>
    <v>536870912</v>
    <v>1</v>
    <v>324</v>
    <v>17</v>
    <v>United Kingdom</v>
    <v>19</v>
    <v>20</v>
    <v>Map</v>
    <v>21</v>
    <v>325</v>
    <v>GB</v>
    <v>2111</v>
    <v>2112</v>
    <v>2113</v>
    <v>2114</v>
    <v>2115</v>
    <v>2116</v>
    <v>2117</v>
    <v>2118</v>
    <v>2119</v>
    <v>GBP</v>
    <v>The United Kingdom of Great Britain and Northern Ireland, commonly known as the United Kingdom or Britain, is a country in Northwestern Europe, off the coast of the continental mainland. It comprises England, Scotland, Wales, and Northern ...</v>
    <v>2120</v>
    <v>2121</v>
    <v>2122</v>
    <v>2123</v>
    <v>2124</v>
    <v>2125</v>
    <v>2126</v>
    <v>2127</v>
    <v>2128</v>
    <v>2086</v>
    <v>2116</v>
    <v>2130</v>
    <v>2131</v>
    <v>2132</v>
    <v>2133</v>
    <v>1444</v>
    <v>2134</v>
    <v>United Kingdom</v>
    <v>God Save the King</v>
    <v>31</v>
    <v>United Kingdom of Great Britain and Northern Ireland</v>
    <v>2135</v>
    <v>2136</v>
    <v>2137</v>
    <v>449</v>
    <v>2138</v>
    <v>1378</v>
    <v>333</v>
    <v>310</v>
    <v>2139</v>
    <v>165</v>
    <v>2140</v>
    <v>2145</v>
    <v>2146</v>
    <v>2147</v>
    <v>2148</v>
    <v>2149</v>
    <v>United Kingdom</v>
    <v>2150</v>
    <v>mdp/vdpid/242</v>
  </rv>
  <rv s="0">
    <v>536870912</v>
    <v>Greater London</v>
    <v>2ba8a441-178c-f2c0-26cb-a4b260b8c806</v>
    <v>en-US</v>
    <v>Map</v>
  </rv>
  <rv s="1">
    <fb>1572</fb>
    <v>24</v>
  </rv>
  <rv s="2">
    <v>64</v>
    <v>21</v>
    <v>326</v>
    <v>7</v>
    <v>0</v>
    <v>Image of London</v>
  </rv>
  <rv s="1">
    <fb>51.507222222221998</fb>
    <v>43</v>
  </rv>
  <rv s="0">
    <v>805306368</v>
    <v>Sadiq Khan (Mayor)</v>
    <v>d7862dc2-4c03-1dc8-3412-7fe03041fdcb</v>
    <v>en-US</v>
    <v>Generic</v>
  </rv>
  <rv s="3">
    <v>124</v>
  </rv>
  <rv s="4">
    <v>https://www.bing.com/search?q=london+england&amp;form=skydnc</v>
    <v>Learn more on Bing</v>
  </rv>
  <rv s="1">
    <fb>-0.1275</fb>
    <v>43</v>
  </rv>
  <rv s="1">
    <fb>8866180</fb>
    <v>24</v>
  </rv>
  <rv s="3">
    <v>125</v>
  </rv>
  <rv s="12">
    <v>#VALUE!</v>
    <v>en-US</v>
    <v>8e0ba7b6-4225-fa8a-6369-1b5294e602a5</v>
    <v>536870912</v>
    <v>1</v>
    <v>327</v>
    <v>164</v>
    <v>London</v>
    <v>19</v>
    <v>20</v>
    <v>Map</v>
    <v>21</v>
    <v>313</v>
    <v>2141</v>
    <v>2152</v>
    <v>2153</v>
    <v>2141</v>
    <v>London is the capital and largest city of both England and the United Kingdom, with a population of 8,866,180 in 2022. Its wider metropolitan area is the largest in Western Europe, with a population of 14.9 million. London stands on the River ...</v>
    <v>2154</v>
    <v>2155</v>
    <v>2157</v>
    <v>2158</v>
    <v>2159</v>
    <v>London</v>
    <v>2160</v>
    <v>2161</v>
    <v>London</v>
    <v>mdp/vdpid/5471798185326280713</v>
  </rv>
  <rv s="1">
    <fb>130278</fb>
    <v>24</v>
  </rv>
  <rv s="1">
    <fb>22063368</fb>
    <v>24</v>
  </rv>
  <rv s="1">
    <fb>22976066</fb>
    <v>24</v>
  </rv>
  <rv s="2">
    <v>65</v>
    <v>21</v>
    <v>328</v>
    <v>7</v>
    <v>0</v>
    <v>Image of England</v>
  </rv>
  <rv s="3">
    <v>126</v>
  </rv>
  <rv s="4">
    <v>https://www.bing.com/search?q=england&amp;form=skydnc</v>
    <v>Learn more on Bing</v>
  </rv>
  <rv s="1">
    <fb>2.4</fb>
    <v>25</v>
  </rv>
  <rv s="1">
    <fb>57106398</fb>
    <v>24</v>
  </rv>
  <rv s="23">
    <v>#VALUE!</v>
    <v>en-US</v>
    <v>280d39e8-7217-6863-6980-a8c20c211c89</v>
    <v>536870912</v>
    <v>1</v>
    <v>331</v>
    <v>332</v>
    <v>England</v>
    <v>19</v>
    <v>20</v>
    <v>Map</v>
    <v>21</v>
    <v>242</v>
    <v>GB-ENG</v>
    <v>2163</v>
    <v>2116</v>
    <v>2110</v>
    <v>England is a country that is part of the United Kingdom. It is located on the island of Great Britain, of which it covers about 62%, and more than 100 smaller adjacent islands. It shares a land border with Scotland to the north and another land ...</v>
    <v>2164</v>
    <v>2165</v>
    <v>2166</v>
    <v>2116</v>
    <v>2167</v>
    <v>2168</v>
    <v>England</v>
    <v>31</v>
    <v>2169</v>
    <v>2170</v>
    <v>2147</v>
    <v>England</v>
    <v>mdp/vdpid/10270</v>
  </rv>
  <rv s="0">
    <v>536870912</v>
    <v>Portugal</v>
    <v>9e917e65-c588-a0b7-f336-52fc6b5b2052</v>
    <v>en-US</v>
    <v>Map</v>
  </rv>
  <rv s="1">
    <fb>0.39452940398253294</fb>
    <v>23</v>
  </rv>
  <rv s="1">
    <fb>92225</fb>
    <v>24</v>
  </rv>
  <rv s="1">
    <fb>52000</fb>
    <v>24</v>
  </rv>
  <rv s="1">
    <fb>8.5</fb>
    <v>25</v>
  </rv>
  <rv s="1">
    <fb>351</fb>
    <v>26</v>
  </rv>
  <rv s="0">
    <v>536870912</v>
    <v>Lisbon</v>
    <v>9d006cb5-bff4-48b4-9c83-443eaf418b11</v>
    <v>en-US</v>
    <v>Map</v>
  </rv>
  <rv s="1">
    <fb>48741.764000000003</fb>
    <v>24</v>
  </rv>
  <rv s="1">
    <fb>110.624358614714</fb>
    <v>27</v>
  </rv>
  <rv s="1">
    <fb>3.3817841004612497E-3</fb>
    <v>23</v>
  </rv>
  <rv s="1">
    <fb>4662.6007998029399</fb>
    <v>24</v>
  </rv>
  <rv s="1">
    <fb>1.38</fb>
    <v>25</v>
  </rv>
  <rv s="1">
    <fb>0.34611423825368903</fb>
    <v>23</v>
  </rv>
  <rv s="1">
    <fb>77.024122555839</fb>
    <v>28</v>
  </rv>
  <rv s="1">
    <fb>1.54</fb>
    <v>29</v>
  </rv>
  <rv s="1">
    <fb>237686075634.698</fb>
    <v>30</v>
  </rv>
  <rv s="1">
    <fb>1.0618313000000001</fb>
    <v>23</v>
  </rv>
  <rv s="1">
    <fb>0.63935809999999993</fb>
    <v>23</v>
  </rv>
  <rv s="2">
    <v>66</v>
    <v>21</v>
    <v>334</v>
    <v>7</v>
    <v>0</v>
    <v>Image of Portugal</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3">
    <v>127</v>
  </rv>
  <rv s="4">
    <v>https://www.bing.com/search?q=portugal&amp;form=skydnc</v>
    <v>Learn more on Bing</v>
  </rv>
  <rv s="1">
    <fb>81.3243902439024</fb>
    <v>28</v>
  </rv>
  <rv s="1">
    <fb>61933604857.411003</fb>
    <v>30</v>
  </rv>
  <rv s="1">
    <fb>3.78</fb>
    <v>29</v>
  </rv>
  <rv s="1">
    <fb>0.27650697260000001</fb>
    <v>23</v>
  </rv>
  <rv s="1">
    <fb>5.1239999999999997</fb>
    <v>25</v>
  </rv>
  <rv s="1">
    <fb>10379007</fb>
    <v>24</v>
  </rv>
  <rv s="1">
    <fb>0.41600000000000004</fb>
    <v>23</v>
  </rv>
  <rv s="1">
    <fb>0.16500000000000001</fb>
    <v>23</v>
  </rv>
  <rv s="1">
    <fb>0.58811000823974602</fb>
    <v>23</v>
  </rv>
  <rv s="0">
    <v>536870912</v>
    <v>Lisbon District</v>
    <v>9aabe4c9-f2ff-745a-22b7-741589d147d3</v>
    <v>en-US</v>
    <v>Map</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3">
    <v>128</v>
  </rv>
  <rv s="1">
    <fb>0.227551770073532</fb>
    <v>23</v>
  </rv>
  <rv s="3">
    <v>129</v>
  </rv>
  <rv s="1">
    <fb>0.39799999999999996</fb>
    <v>23</v>
  </rv>
  <rv s="1">
    <fb>6.33400011062622E-2</fb>
    <v>31</v>
  </rv>
  <rv s="1">
    <fb>6753579</fb>
    <v>24</v>
  </rv>
  <rv s="5">
    <v>#VALUE!</v>
    <v>en-US</v>
    <v>9e917e65-c588-a0b7-f336-52fc6b5b2052</v>
    <v>536870912</v>
    <v>1</v>
    <v>337</v>
    <v>17</v>
    <v>Portugal</v>
    <v>19</v>
    <v>20</v>
    <v>Map</v>
    <v>21</v>
    <v>338</v>
    <v>PT</v>
    <v>2173</v>
    <v>2174</v>
    <v>2175</v>
    <v>2176</v>
    <v>2177</v>
    <v>2178</v>
    <v>2179</v>
    <v>2180</v>
    <v>2181</v>
    <v>EUR</v>
    <v>Portugal, officially the Portuguese Republic, is a country in the Iberian Peninsula in Southwestern Europe. Featuring the westernmost point in continental Europe, Portugal borders Spain to its north and east, with which it shares the longest ...</v>
    <v>2182</v>
    <v>2183</v>
    <v>2184</v>
    <v>2185</v>
    <v>2186</v>
    <v>2187</v>
    <v>2188</v>
    <v>2189</v>
    <v>2190</v>
    <v>1364</v>
    <v>2178</v>
    <v>2194</v>
    <v>2195</v>
    <v>2196</v>
    <v>2197</v>
    <v>1174</v>
    <v>2198</v>
    <v>Portugal</v>
    <v>A Portuguesa</v>
    <v>1853</v>
    <v>Portugalská republika</v>
    <v>2199</v>
    <v>2200</v>
    <v>2201</v>
    <v>667</v>
    <v>420</v>
    <v>2202</v>
    <v>131</v>
    <v>644</v>
    <v>1516</v>
    <v>2203</v>
    <v>2204</v>
    <v>2225</v>
    <v>2226</v>
    <v>2227</v>
    <v>2228</v>
    <v>2229</v>
    <v>Portugal</v>
    <v>2230</v>
    <v>mdp/vdpid/193</v>
  </rv>
  <rv s="0">
    <v>536870912</v>
    <v>Finland</v>
    <v>ceea53a9-734c-46c7-a9f7-185e7cf6826e</v>
    <v>en-US</v>
    <v>Map</v>
  </rv>
  <rv s="1">
    <fb>7.4857688131354697E-2</fb>
    <v>23</v>
  </rv>
  <rv s="1">
    <fb>338478.34</fb>
    <v>24</v>
  </rv>
  <rv s="1">
    <fb>25000</fb>
    <v>24</v>
  </rv>
  <rv s="1">
    <fb>8.6</fb>
    <v>25</v>
  </rv>
  <rv s="1">
    <fb>358</fb>
    <v>26</v>
  </rv>
  <rv s="0">
    <v>536870912</v>
    <v>Helsinki</v>
    <v>0aeca411-32eb-87fa-e67f-5c3dacc3532c</v>
    <v>en-US</v>
    <v>Map</v>
  </rv>
  <rv s="1">
    <fb>45870.502999999997</fb>
    <v>24</v>
  </rv>
  <rv s="1">
    <fb>112.331712088838</fb>
    <v>27</v>
  </rv>
  <rv s="1">
    <fb>1.0240939296342899E-2</fb>
    <v>23</v>
  </rv>
  <rv s="1">
    <fb>15249.989380230199</fb>
    <v>24</v>
  </rv>
  <rv s="1">
    <fb>1.41</fb>
    <v>25</v>
  </rv>
  <rv s="1">
    <fb>0.7310716988582151</fb>
    <v>23</v>
  </rv>
  <rv s="1">
    <fb>40.207982989952903</fb>
    <v>28</v>
  </rv>
  <rv s="1">
    <fb>268761201364.70499</fb>
    <v>30</v>
  </rv>
  <rv s="1">
    <fb>1.0015464000000001</fb>
    <v>23</v>
  </rv>
  <rv s="1">
    <fb>0.88197829999999999</fb>
    <v>23</v>
  </rv>
  <rv s="2">
    <v>67</v>
    <v>21</v>
    <v>340</v>
    <v>7</v>
    <v>0</v>
    <v>Image of Finland</v>
  </rv>
  <rv s="1">
    <fb>1.4</fb>
    <v>28</v>
  </rv>
  <rv s="0">
    <v>805306368</v>
    <v>Alexander Stubb (President)</v>
    <v>8b3d7a61-5ae2-62d2-5b7d-6052bac2305a</v>
    <v>en-US</v>
    <v>Generic</v>
  </rv>
  <rv s="0">
    <v>805306368</v>
    <v>Petteri Orpo (Prime minister)</v>
    <v>f89fd370-e67c-1205-35bf-ef0bc79a5a2e</v>
    <v>en-US</v>
    <v>Generic</v>
  </rv>
  <rv s="3">
    <v>130</v>
  </rv>
  <rv s="4">
    <v>https://www.bing.com/search?q=finland&amp;form=skydnc</v>
    <v>Learn more on Bing</v>
  </rv>
  <rv s="1">
    <fb>81.734146341463401</fb>
    <v>28</v>
  </rv>
  <rv s="1">
    <fb>183765380000</fb>
    <v>30</v>
  </rv>
  <rv s="1">
    <fb>3</fb>
    <v>28</v>
  </rv>
  <rv s="3">
    <v>131</v>
  </rv>
  <rv s="1">
    <fb>0.19890897120000001</fb>
    <v>23</v>
  </rv>
  <rv s="1">
    <fb>3.8079999999999998</fb>
    <v>25</v>
  </rv>
  <rv s="1">
    <fb>5556880</fb>
    <v>24</v>
  </rv>
  <rv s="1">
    <fb>0.36899999999999999</fb>
    <v>23</v>
  </rv>
  <rv s="1">
    <fb>0.17399999999999999</fb>
    <v>23</v>
  </rv>
  <rv s="1">
    <fb>0.59081001281738299</fb>
    <v>23</v>
  </rv>
  <rv s="0">
    <v>536870912</v>
    <v>Southwest Finland</v>
    <v>36f656ca-0603-8487-ecd9-ad449dcc8d00</v>
    <v>en-US</v>
    <v>Map</v>
  </rv>
  <rv s="0">
    <v>536870912</v>
    <v>Uusimaa</v>
    <v>aeb26ea9-2089-3324-80d3-641f3baa97bc</v>
    <v>en-US</v>
    <v>Map</v>
  </rv>
  <rv s="0">
    <v>536870912</v>
    <v>Satakunta</v>
    <v>62dab655-b1ff-c539-4d43-b29a865d202d</v>
    <v>en-US</v>
    <v>Map</v>
  </rv>
  <rv s="0">
    <v>536870912</v>
    <v>Päijät-Häme</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3">
    <v>132</v>
  </rv>
  <rv s="1">
    <fb>0.20839038093492801</fb>
    <v>23</v>
  </rv>
  <rv s="3">
    <v>133</v>
  </rv>
  <rv s="1">
    <fb>6.594999790191651E-2</fb>
    <v>31</v>
  </rv>
  <rv s="1">
    <fb>4716888</fb>
    <v>24</v>
  </rv>
  <rv s="19">
    <v>#VALUE!</v>
    <v>en-US</v>
    <v>ceea53a9-734c-46c7-a9f7-185e7cf6826e</v>
    <v>536870912</v>
    <v>1</v>
    <v>343</v>
    <v>268</v>
    <v>Finland</v>
    <v>19</v>
    <v>20</v>
    <v>Map</v>
    <v>21</v>
    <v>319</v>
    <v>FI</v>
    <v>2233</v>
    <v>2234</v>
    <v>2235</v>
    <v>2236</v>
    <v>2237</v>
    <v>2238</v>
    <v>2239</v>
    <v>2240</v>
    <v>2241</v>
    <v>EUR</v>
    <v>Finland, officially the Republic of Finland, is a Nordic country in Northern Europe. It borders Sweden to the northwest, Norway to the north, and Russia to the east, with the Gulf of Bothnia to the west and the Gulf of Finland to the south, ...</v>
    <v>2242</v>
    <v>2243</v>
    <v>2244</v>
    <v>2245</v>
    <v>1768</v>
    <v>2246</v>
    <v>2247</v>
    <v>2248</v>
    <v>2249</v>
    <v>2250</v>
    <v>2238</v>
    <v>2253</v>
    <v>2254</v>
    <v>2255</v>
    <v>2256</v>
    <v>2257</v>
    <v>Finland</v>
    <v>Maamme</v>
    <v>2258</v>
    <v>Suomen tasavalta</v>
    <v>2259</v>
    <v>2260</v>
    <v>2261</v>
    <v>776</v>
    <v>35</v>
    <v>2262</v>
    <v>244</v>
    <v>367</v>
    <v>393</v>
    <v>2263</v>
    <v>2264</v>
    <v>2284</v>
    <v>2285</v>
    <v>2286</v>
    <v>101</v>
    <v>2287</v>
    <v>Finland</v>
    <v>2288</v>
    <v>mdp/vdpid/77</v>
  </rv>
  <rv s="0">
    <v>536870912</v>
    <v>Norway</v>
    <v>51b69cb2-1924-e989-590b-712a7070a30f</v>
    <v>en-US</v>
    <v>Map</v>
  </rv>
  <rv s="1">
    <fb>2.6940783293922001E-2</fb>
    <v>23</v>
  </rv>
  <rv s="1">
    <fb>385207</fb>
    <v>24</v>
  </rv>
  <rv s="1">
    <fb>23000</fb>
    <v>24</v>
  </rv>
  <rv s="1">
    <fb>10.4</fb>
    <v>25</v>
  </rv>
  <rv s="1">
    <fb>47</fb>
    <v>26</v>
  </rv>
  <rv s="0">
    <v>536870912</v>
    <v>Oslo</v>
    <v>962ca6d0-04b2-b258-d6d5-ec31f6cc1d83</v>
    <v>en-US</v>
    <v>Map</v>
  </rv>
  <rv s="1">
    <fb>41022.728999999999</fb>
    <v>24</v>
  </rv>
  <rv s="1">
    <fb>120.269658854402</fb>
    <v>27</v>
  </rv>
  <rv s="1">
    <fb>2.1677300330540498E-2</fb>
    <v>23</v>
  </rv>
  <rv s="1">
    <fb>22999.934595128299</fb>
    <v>24</v>
  </rv>
  <rv s="1">
    <fb>0.331778599014523</fb>
    <v>23</v>
  </rv>
  <rv s="1">
    <fb>56.951628649981103</fb>
    <v>28</v>
  </rv>
  <rv s="1">
    <fb>1.78</fb>
    <v>29</v>
  </rv>
  <rv s="1">
    <fb>403336363636.36401</fb>
    <v>30</v>
  </rv>
  <rv s="1">
    <fb>1.0026021000000001</fb>
    <v>23</v>
  </rv>
  <rv s="1">
    <fb>0.81992350000000003</fb>
    <v>23</v>
  </rv>
  <rv s="2">
    <v>68</v>
    <v>21</v>
    <v>345</v>
    <v>7</v>
    <v>0</v>
    <v>Image of Norway</v>
  </rv>
  <rv s="1">
    <fb>2.1</fb>
    <v>28</v>
  </rv>
  <rv s="0">
    <v>805306368</v>
    <v>Harald V (Monarch)</v>
    <v>d501cea3-4c13-36b0-0641-e2d6452188bc</v>
    <v>en-US</v>
    <v>Generic</v>
  </rv>
  <rv s="0">
    <v>805306368</v>
    <v>Jonas Gahr Støre (Prime minister)</v>
    <v>22a97b4b-1d69-8ed3-e2ba-75ec00cac6ad</v>
    <v>en-US</v>
    <v>Generic</v>
  </rv>
  <rv s="0">
    <v>805306368</v>
    <v>Toril Marie Øie (Chief justice)</v>
    <v>ef71223b-60e9-6b7e-eed9-1343c144235c</v>
    <v>en-US</v>
    <v>Generic</v>
  </rv>
  <rv s="3">
    <v>134</v>
  </rv>
  <rv s="4">
    <v>https://www.bing.com/search?q=norway&amp;form=skydnc</v>
    <v>Learn more on Bing</v>
  </rv>
  <rv s="1">
    <fb>82.758536585365903</fb>
    <v>28</v>
  </rv>
  <rv s="1">
    <fb>295548630000</fb>
    <v>30</v>
  </rv>
  <rv s="3">
    <v>135</v>
  </rv>
  <rv s="1">
    <fb>0.14272576140000001</fb>
    <v>23</v>
  </rv>
  <rv s="1">
    <fb>2.9163999999999999</fb>
    <v>25</v>
  </rv>
  <rv s="1">
    <fb>5457127</fb>
    <v>24</v>
  </rv>
  <rv s="1">
    <fb>0.21600000000000003</fb>
    <v>23</v>
  </rv>
  <rv s="1">
    <fb>8.900000000000001E-2</fb>
    <v>23</v>
  </rv>
  <rv s="1">
    <fb>0.14300000000000002</fb>
    <v>23</v>
  </rv>
  <rv s="1">
    <fb>0.18</fb>
    <v>23</v>
  </rv>
  <rv s="1">
    <fb>0.63804000854492204</fb>
    <v>23</v>
  </rv>
  <rv s="0">
    <v>536870912</v>
    <v>Akershus</v>
    <v>5be911ff-2030-92a4-37f2-690abaa42056</v>
    <v>en-US</v>
    <v>Map</v>
  </rv>
  <rv s="0">
    <v>536870912</v>
    <v>Østfold</v>
    <v>61a32360-8194-db60-82a1-1e0c5086e63a</v>
    <v>en-US</v>
    <v>Map</v>
  </rv>
  <rv s="0">
    <v>536870912</v>
    <v>Vestfold</v>
    <v>5e401c8e-2c02-1ce2-5adb-d8b619814f47</v>
    <v>en-US</v>
    <v>Map</v>
  </rv>
  <rv s="0">
    <v>536870912</v>
    <v>Telemark</v>
    <v>85c1e229-f4df-f952-b782-45dc389f825e</v>
    <v>en-US</v>
    <v>Map</v>
  </rv>
  <rv s="0">
    <v>536870912</v>
    <v>Buskerud</v>
    <v>076bb117-59ff-07f7-e641-39689d26f94a</v>
    <v>en-US</v>
    <v>Map</v>
  </rv>
  <rv s="0">
    <v>536870912</v>
    <v>Rogaland</v>
    <v>986d3e77-c553-606b-9d2f-776a1c989ba2</v>
    <v>en-US</v>
    <v>Map</v>
  </rv>
  <rv s="0">
    <v>536870912</v>
    <v>Møre og Romsdal</v>
    <v>701c8996-b876-44d1-7f9c-2b299bcf08c6</v>
    <v>en-US</v>
    <v>Map</v>
  </rv>
  <rv s="0">
    <v>536870912</v>
    <v>Nordland</v>
    <v>35304f96-e4b8-aa47-fc00-57db63d0c883</v>
    <v>en-US</v>
    <v>Map</v>
  </rv>
  <rv s="0">
    <v>536870912</v>
    <v>Troms</v>
    <v>7ac3993c-4024-2260-60bb-061627473b63</v>
    <v>en-US</v>
    <v>Map</v>
  </rv>
  <rv s="0">
    <v>536870912</v>
    <v>Finnmark</v>
    <v>1cfcd8b0-45c9-4672-8d35-bc11dabfcfd7</v>
    <v>en-US</v>
    <v>Map</v>
  </rv>
  <rv s="0">
    <v>536870912</v>
    <v>Svalbard</v>
    <v>e0bdceb6-73d9-342d-a32c-dfba0b579752</v>
    <v>en-US</v>
    <v>Map</v>
  </rv>
  <rv s="0">
    <v>536870912</v>
    <v>Jan Mayen</v>
    <v>f56eb1ba-33b5-1e64-ae2b-258d8244ad2c</v>
    <v>en-US</v>
    <v>Map</v>
  </rv>
  <rv s="0">
    <v>536870912</v>
    <v>Bouvet Island</v>
    <v>0df9c34a-d3f0-c09f-d594-0d17e4ce27da</v>
    <v>en-US</v>
    <v>Map</v>
  </rv>
  <rv s="3">
    <v>136</v>
  </rv>
  <rv s="1">
    <fb>0.238617503950879</fb>
    <v>23</v>
  </rv>
  <rv s="1">
    <fb>0.36200000000000004</fb>
    <v>23</v>
  </rv>
  <rv s="1">
    <fb>3.3459999561309801E-2</fb>
    <v>31</v>
  </rv>
  <rv s="1">
    <fb>4418218</fb>
    <v>24</v>
  </rv>
  <rv s="19">
    <v>#VALUE!</v>
    <v>en-US</v>
    <v>51b69cb2-1924-e989-590b-712a7070a30f</v>
    <v>536870912</v>
    <v>1</v>
    <v>348</v>
    <v>268</v>
    <v>Norway</v>
    <v>19</v>
    <v>20</v>
    <v>Map</v>
    <v>21</v>
    <v>208</v>
    <v>NO</v>
    <v>2291</v>
    <v>2292</v>
    <v>2293</v>
    <v>2294</v>
    <v>2295</v>
    <v>2296</v>
    <v>2297</v>
    <v>2298</v>
    <v>2299</v>
    <v>NOK</v>
    <v>Norway, officially the Kingdom of Norway, is a Nordic country located on the Scandinavian Peninsula in Northern Europe. The remote Arctic island of Jan Mayen and the archipelago of Svalbard also form part of the Kingdom of Norway. Bouvet Island, ...</v>
    <v>2300</v>
    <v>1431</v>
    <v>2301</v>
    <v>2302</v>
    <v>2303</v>
    <v>2304</v>
    <v>2305</v>
    <v>2306</v>
    <v>2307</v>
    <v>2308</v>
    <v>2296</v>
    <v>2312</v>
    <v>2313</v>
    <v>2314</v>
    <v>2315</v>
    <v>1652</v>
    <v>Norway</v>
    <v>Ja, vi elsker dette landet</v>
    <v>2316</v>
    <v>Kongeriket Norge</v>
    <v>2317</v>
    <v>2318</v>
    <v>2319</v>
    <v>671</v>
    <v>2320</v>
    <v>871</v>
    <v>447</v>
    <v>2321</v>
    <v>2322</v>
    <v>2323</v>
    <v>2324</v>
    <v>2338</v>
    <v>2339</v>
    <v>1210</v>
    <v>2340</v>
    <v>2341</v>
    <v>Norway</v>
    <v>2342</v>
    <v>mdp/vdpid/177</v>
  </rv>
  <rv s="0">
    <v>536870912</v>
    <v>Mexico</v>
    <v>8e475659-4bdc-d912-6494-affce0096bc1</v>
    <v>en-US</v>
    <v>Map</v>
  </rv>
  <rv s="1">
    <fb>0.54649553743666202</fb>
    <v>23</v>
  </rv>
  <rv s="1">
    <fb>1972550</fb>
    <v>24</v>
  </rv>
  <rv s="1">
    <fb>336000</fb>
    <v>24</v>
  </rv>
  <rv s="1">
    <fb>17.602</fb>
    <v>25</v>
  </rv>
  <rv s="1">
    <fb>52</fb>
    <v>26</v>
  </rv>
  <rv s="0">
    <v>536870912</v>
    <v>Mexico City</v>
    <v>f1281260-8340-e258-c8ec-3522504400e5</v>
    <v>en-US</v>
    <v>Map</v>
  </rv>
  <rv s="1">
    <fb>486405.54800000001</fb>
    <v>24</v>
  </rv>
  <rv s="1">
    <fb>141.54252296997399</fb>
    <v>27</v>
  </rv>
  <rv s="1">
    <fb>3.6359614212704998E-2</fb>
    <v>23</v>
  </rv>
  <rv s="1">
    <fb>2157.32394883914</fb>
    <v>24</v>
  </rv>
  <rv s="1">
    <fb>2.129</fb>
    <v>25</v>
  </rv>
  <rv s="1">
    <fb>0.339249458255099</fb>
    <v>23</v>
  </rv>
  <rv s="1">
    <fb>90.426207910940704</fb>
    <v>28</v>
  </rv>
  <rv s="1">
    <fb>0.73</fb>
    <v>29</v>
  </rv>
  <rv s="1">
    <fb>1258286717124.53</fb>
    <v>30</v>
  </rv>
  <rv s="1">
    <fb>1.0577000999999999</fb>
    <v>23</v>
  </rv>
  <rv s="1">
    <fb>0.40228960000000002</fb>
    <v>23</v>
  </rv>
  <rv s="2">
    <v>69</v>
    <v>21</v>
    <v>350</v>
    <v>7</v>
    <v>0</v>
    <v>Image of Mexico</v>
  </rv>
  <rv s="1">
    <fb>11</fb>
    <v>28</v>
  </rv>
  <rv s="0">
    <v>805306368</v>
    <v>Claudia Sheinbaum (President)</v>
    <v>d0490c30-2b7a-cbfd-f6ed-dffdff40aeb0</v>
    <v>en-US</v>
    <v>Generic</v>
  </rv>
  <rv s="0">
    <v>805306368</v>
    <v>Norma Lucía Piña Hernández (Chief justice)</v>
    <v>c6ded009-db4d-d436-ada5-514c16278dd4</v>
    <v>en-US</v>
    <v>Generic</v>
  </rv>
  <rv s="3">
    <v>137</v>
  </rv>
  <rv s="4">
    <v>https://www.bing.com/search?q=mexico&amp;form=skydnc</v>
    <v>Learn more on Bing</v>
  </rv>
  <rv s="1">
    <fb>74.992000000000004</fb>
    <v>28</v>
  </rv>
  <rv s="1">
    <fb>413618820000</fb>
    <v>30</v>
  </rv>
  <rv s="1">
    <fb>33</fb>
    <v>28</v>
  </rv>
  <rv s="1">
    <fb>0.49</fb>
    <v>29</v>
  </rv>
  <rv s="3">
    <v>138</v>
  </rv>
  <rv s="1">
    <fb>0.41370018680000004</fb>
    <v>23</v>
  </rv>
  <rv s="1">
    <fb>2.3826999999999998</fb>
    <v>25</v>
  </rv>
  <rv s="1">
    <fb>127504125</fb>
    <v>24</v>
  </rv>
  <rv s="1">
    <fb>0.2</fb>
    <v>23</v>
  </rv>
  <rv s="1">
    <fb>0.36399999999999999</fb>
    <v>23</v>
  </rv>
  <rv s="1">
    <fb>0.51700000000000002</fb>
    <v>23</v>
  </rv>
  <rv s="1">
    <fb>0.60680000305175807</fb>
    <v>23</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139</v>
  </rv>
  <rv s="1">
    <fb>0.130829255322402</fb>
    <v>23</v>
  </rv>
  <rv s="3">
    <v>140</v>
  </rv>
  <rv s="1">
    <fb>0.55100000000000005</fb>
    <v>23</v>
  </rv>
  <rv s="1">
    <fb>3.4249999523162801E-2</fb>
    <v>31</v>
  </rv>
  <rv s="1">
    <fb>102626859</fb>
    <v>24</v>
  </rv>
  <rv s="5">
    <v>#VALUE!</v>
    <v>en-US</v>
    <v>8e475659-4bdc-d912-6494-affce0096bc1</v>
    <v>536870912</v>
    <v>1</v>
    <v>353</v>
    <v>17</v>
    <v>Mexico</v>
    <v>19</v>
    <v>20</v>
    <v>Map</v>
    <v>21</v>
    <v>354</v>
    <v>MX</v>
    <v>2345</v>
    <v>2346</v>
    <v>2347</v>
    <v>2348</v>
    <v>2349</v>
    <v>2350</v>
    <v>2351</v>
    <v>2352</v>
    <v>2353</v>
    <v>MXN</v>
    <v>Mexico, officially the United Mexican States, is a country in North America. It borders the United States to the north, and Guatemala and Belize to the southeast; while having maritime boundaries with the Pacific Ocean to the west, the Caribbean ...</v>
    <v>2354</v>
    <v>2355</v>
    <v>2356</v>
    <v>2357</v>
    <v>2358</v>
    <v>2359</v>
    <v>2360</v>
    <v>2361</v>
    <v>2362</v>
    <v>2363</v>
    <v>2350</v>
    <v>2366</v>
    <v>2367</v>
    <v>2368</v>
    <v>2369</v>
    <v>2370</v>
    <v>2371</v>
    <v>Mexico</v>
    <v>Himno Nacional Mexicano</v>
    <v>2372</v>
    <v>Estaos Xuníos Mexicanos</v>
    <v>2373</v>
    <v>2374</v>
    <v>2375</v>
    <v>2376</v>
    <v>2377</v>
    <v>2378</v>
    <v>209</v>
    <v>232</v>
    <v>749</v>
    <v>170</v>
    <v>2379</v>
    <v>2411</v>
    <v>2412</v>
    <v>2413</v>
    <v>2414</v>
    <v>2415</v>
    <v>Mexico</v>
    <v>2416</v>
    <v>mdp/vdpid/166</v>
  </rv>
  <rv s="0">
    <v>536870912</v>
    <v>Austria</v>
    <v>c3f78b59-5e8d-133a-d0e2-ff2e71c4a5d5</v>
    <v>en-US</v>
    <v>Map</v>
  </rv>
  <rv s="1">
    <fb>0.32356676139641499</fb>
    <v>23</v>
  </rv>
  <rv s="1">
    <fb>83878.990000000005</fb>
    <v>24</v>
  </rv>
  <rv s="1">
    <fb>43</fb>
    <v>26</v>
  </rv>
  <rv s="0">
    <v>536870912</v>
    <v>Vienna</v>
    <v>a844b6d2-ff6e-902b-d359-8f7db08f7bb9</v>
    <v>en-US</v>
    <v>Map</v>
  </rv>
  <rv s="1">
    <fb>61447.919000000002</fb>
    <v>24</v>
  </rv>
  <rv s="1">
    <fb>118.057979804947</fb>
    <v>27</v>
  </rv>
  <rv s="1">
    <fb>1.5308955342270201E-2</fb>
    <v>23</v>
  </rv>
  <rv s="1">
    <fb>8355.8419518213395</fb>
    <v>24</v>
  </rv>
  <rv s="1">
    <fb>1.47</fb>
    <v>25</v>
  </rv>
  <rv s="1">
    <fb>0.46905712836916402</fb>
    <v>23</v>
  </rv>
  <rv s="1">
    <fb>65.661821989472699</fb>
    <v>28</v>
  </rv>
  <rv s="1">
    <fb>1.2</fb>
    <v>29</v>
  </rv>
  <rv s="1">
    <fb>446314739528.46997</fb>
    <v>30</v>
  </rv>
  <rv s="1">
    <fb>1.0311315000000001</fb>
    <v>23</v>
  </rv>
  <rv s="1">
    <fb>0.85057140000000009</fb>
    <v>23</v>
  </rv>
  <rv s="2">
    <v>70</v>
    <v>21</v>
    <v>356</v>
    <v>7</v>
    <v>0</v>
    <v>Image of Austria</v>
  </rv>
  <rv s="1">
    <fb>2.9</fb>
    <v>28</v>
  </rv>
  <rv s="0">
    <v>805306368</v>
    <v>Alexander Van der Bellen (President)</v>
    <v>09a88c4e-ba78-3b88-7539-fedb6d48b4a2</v>
    <v>en-US</v>
    <v>Generic</v>
  </rv>
  <rv s="0">
    <v>805306368</v>
    <v>Alexander Schallenberg (Chancellor)</v>
    <v>6a2cc2d0-2c8f-3759-887b-96e073689083</v>
    <v>en-US</v>
    <v>Generic</v>
  </rv>
  <rv s="3">
    <v>141</v>
  </rv>
  <rv s="4">
    <v>https://www.bing.com/search?q=austria&amp;form=skydnc</v>
    <v>Learn more on Bing</v>
  </rv>
  <rv s="1">
    <fb>81.643902439024401</fb>
    <v>28</v>
  </rv>
  <rv s="1">
    <fb>133098220000</fb>
    <v>30</v>
  </rv>
  <rv s="3">
    <v>142</v>
  </rv>
  <rv s="1">
    <fb>0.179240277</fb>
    <v>23</v>
  </rv>
  <rv s="1">
    <fb>5.1696999999999997</fb>
    <v>25</v>
  </rv>
  <rv s="1">
    <fb>9042528</fb>
    <v>24</v>
  </rv>
  <rv s="1">
    <fb>0.37799999999999995</fb>
    <v>23</v>
  </rv>
  <rv s="1">
    <fb>0.08</fb>
    <v>23</v>
  </rv>
  <rv s="1">
    <fb>0.17800000000000002</fb>
    <v>23</v>
  </rv>
  <rv s="1">
    <fb>0.60683998107910198</fb>
    <v>23</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3">
    <v>143</v>
  </rv>
  <rv s="1">
    <fb>0.25405547466329398</fb>
    <v>23</v>
  </rv>
  <rv s="1">
    <fb>0.51400000000000001</fb>
    <v>23</v>
  </rv>
  <rv s="1">
    <fb>4.6739997863769499E-2</fb>
    <v>31</v>
  </rv>
  <rv s="1">
    <fb>5194416</fb>
    <v>24</v>
  </rv>
  <rv s="19">
    <v>#VALUE!</v>
    <v>en-US</v>
    <v>c3f78b59-5e8d-133a-d0e2-ff2e71c4a5d5</v>
    <v>536870912</v>
    <v>1</v>
    <v>359</v>
    <v>268</v>
    <v>Austria</v>
    <v>19</v>
    <v>20</v>
    <v>Map</v>
    <v>21</v>
    <v>179</v>
    <v>AT</v>
    <v>2419</v>
    <v>2420</v>
    <v>1757</v>
    <v>1294</v>
    <v>2421</v>
    <v>2422</v>
    <v>2423</v>
    <v>2424</v>
    <v>2425</v>
    <v>EUR</v>
    <v>Austria, formally the Republic of Austria, is a landlocked country in Central Europe, lying in the Eastern Alps. It is a federation of nine states, of which the capital Vienna is the most populous city and state. Austria is bordered by Germany ...</v>
    <v>2426</v>
    <v>2427</v>
    <v>2428</v>
    <v>2429</v>
    <v>2430</v>
    <v>2431</v>
    <v>2432</v>
    <v>2433</v>
    <v>2434</v>
    <v>2435</v>
    <v>2422</v>
    <v>2438</v>
    <v>2439</v>
    <v>2440</v>
    <v>2441</v>
    <v>1077</v>
    <v>Austria</v>
    <v>National anthem of Austria</v>
    <v>2442</v>
    <v>Österreich</v>
    <v>2443</v>
    <v>2444</v>
    <v>2445</v>
    <v>1714</v>
    <v>277</v>
    <v>2446</v>
    <v>505</v>
    <v>2447</v>
    <v>233</v>
    <v>2448</v>
    <v>2449</v>
    <v>2458</v>
    <v>2459</v>
    <v>1210</v>
    <v>2460</v>
    <v>2461</v>
    <v>Austria</v>
    <v>2462</v>
    <v>mdp/vdpid/14</v>
  </rv>
  <rv s="1">
    <fb>414.78</fb>
    <v>24</v>
  </rv>
  <rv s="0">
    <v>536870912</v>
    <v>First Austrian Republic</v>
    <v>08504730-c6e8-86a4-9307-8051d655f0d8</v>
    <v>en-US</v>
    <v>Map</v>
  </rv>
  <rv s="2">
    <v>71</v>
    <v>21</v>
    <v>360</v>
    <v>7</v>
    <v>0</v>
    <v>Image of Vienna</v>
  </rv>
  <rv s="0">
    <v>805306368</v>
    <v>Michael Ludwig (Mayor)</v>
    <v>1da03a85-b0cf-2d13-6856-a770e6be02d2</v>
    <v>en-US</v>
    <v>Generic</v>
  </rv>
  <rv s="3">
    <v>144</v>
  </rv>
  <rv s="4">
    <v>https://www.bing.com/search?q=vienna+austria&amp;form=skydnc</v>
    <v>Learn more on Bing</v>
  </rv>
  <rv s="1">
    <fb>1973403</fb>
    <v>24</v>
  </rv>
  <rv s="24">
    <v>#VALUE!</v>
    <v>en-US</v>
    <v>a844b6d2-ff6e-902b-d359-8f7db08f7bb9</v>
    <v>536870912</v>
    <v>1</v>
    <v>362</v>
    <v>363</v>
    <v>Vienna</v>
    <v>19</v>
    <v>20</v>
    <v>Map</v>
    <v>21</v>
    <v>313</v>
    <v>AT-9</v>
    <v>2464</v>
    <v>2465</v>
    <v>Vienna vee-EN-ə is the capital, most populous city, and one of nine federal states of Austria. It is Austria's primate city, with just over two million inhabitants. Its larger metropolitan area has a population of nearly 2.9 million, ...</v>
    <v>2466</v>
    <v>2468</v>
    <v>2469</v>
    <v>Vienna</v>
    <v>2470</v>
    <v>1210</v>
    <v>Vienna</v>
    <v>mdp/vdpid/7022209355197972481</v>
  </rv>
  <rv s="0">
    <v>536870912</v>
    <v>Russia</v>
    <v>ed4fce79-8ad4-352b-205b-e4db36c49bbe</v>
    <v>en-US</v>
    <v>Map</v>
  </rv>
  <rv s="1">
    <fb>0.13294470341402198</fb>
    <v>23</v>
  </rv>
  <rv s="1">
    <fb>17075400</fb>
    <v>24</v>
  </rv>
  <rv s="1">
    <fb>1454000</fb>
    <v>24</v>
  </rv>
  <rv s="1">
    <fb>11.5</fb>
    <v>25</v>
  </rv>
  <rv s="1">
    <fb>7</fb>
    <v>26</v>
  </rv>
  <rv s="0">
    <v>536870912</v>
    <v>Moscow</v>
    <v>6bb559e5-6af9-adf8-d8bc-7f999aba8a3a</v>
    <v>en-US</v>
    <v>Map</v>
  </rv>
  <rv s="1">
    <fb>1732026.7760000001</fb>
    <v>24</v>
  </rv>
  <rv s="1">
    <fb>180.74643865422601</fb>
    <v>27</v>
  </rv>
  <rv s="1">
    <fb>4.4703597689969995E-2</fb>
    <v>23</v>
  </rv>
  <rv s="1">
    <fb>6602.6575252928196</fb>
    <v>24</v>
  </rv>
  <rv s="1">
    <fb>1.57</fb>
    <v>25</v>
  </rv>
  <rv s="1">
    <fb>0.49758561923004796</fb>
    <v>23</v>
  </rv>
  <rv s="1">
    <fb>92.142875817828696</fb>
    <v>28</v>
  </rv>
  <rv s="1">
    <fb>0.59</fb>
    <v>29</v>
  </rv>
  <rv s="1">
    <fb>1699876578871.3501</fb>
    <v>30</v>
  </rv>
  <rv s="1">
    <fb>1.0258246</fb>
    <v>23</v>
  </rv>
  <rv s="1">
    <fb>0.81909310000000002</fb>
    <v>23</v>
  </rv>
  <rv s="2">
    <v>72</v>
    <v>21</v>
    <v>365</v>
    <v>7</v>
    <v>0</v>
    <v>Image of Russia</v>
  </rv>
  <rv s="1">
    <fb>6.1</fb>
    <v>28</v>
  </rv>
  <rv s="0">
    <v>805306368</v>
    <v>Vladimir Putin (President)</v>
    <v>60d41b9e-06ae-967b-bcc5-97ad4a13d29c</v>
    <v>en-US</v>
    <v>Generic</v>
  </rv>
  <rv s="0">
    <v>805306368</v>
    <v>Mikhail Mishustin (Prime minister)</v>
    <v>8176b935-a6dc-cfbe-2565-cfb891845a4a</v>
    <v>en-US</v>
    <v>Generic</v>
  </rv>
  <rv s="3">
    <v>145</v>
  </rv>
  <rv s="4">
    <v>https://www.bing.com/search?q=russia&amp;form=skydnc</v>
    <v>Learn more on Bing</v>
  </rv>
  <rv s="1">
    <fb>72.657317073170702</fb>
    <v>28</v>
  </rv>
  <rv s="1">
    <fb>576116340000</fb>
    <v>30</v>
  </rv>
  <rv s="1">
    <fb>0.53</fb>
    <v>29</v>
  </rv>
  <rv s="3">
    <v>146</v>
  </rv>
  <rv s="1">
    <fb>0.36436404289999996</fb>
    <v>23</v>
  </rv>
  <rv s="1">
    <fb>4.0138999999999996</fb>
    <v>25</v>
  </rv>
  <rv s="1">
    <fb>143555736</fb>
    <v>24</v>
  </rv>
  <rv s="1">
    <fb>0.214</fb>
    <v>23</v>
  </rv>
  <rv s="1">
    <fb>0.29899999999999999</fb>
    <v>23</v>
  </rv>
  <rv s="1">
    <fb>0.45100000000000001</fb>
    <v>23</v>
  </rv>
  <rv s="1">
    <fb>0.152</fb>
    <v>23</v>
  </rv>
  <rv s="1">
    <fb>0.61800998687744102</fb>
    <v>23</v>
  </rv>
  <rv s="0">
    <v>536870912</v>
    <v>Adygea</v>
    <v>22b5ba45-672e-34b8-e6f1-db4a112d6473</v>
    <v>en-US</v>
    <v>Map</v>
  </rv>
  <rv s="0">
    <v>536870912</v>
    <v>Altai Republic</v>
    <v>bc671e26-2d75-8823-293a-5af58859f724</v>
    <v>en-US</v>
    <v>Map</v>
  </rv>
  <rv s="0">
    <v>536870912</v>
    <v>Bashkortostan</v>
    <v>fc6eab09-3383-820f-1442-4f6dde32cbf9</v>
    <v>en-US</v>
    <v>Map</v>
  </rv>
  <rv s="0">
    <v>536870912</v>
    <v>Buryatia</v>
    <v>559aae54-84df-2df7-b208-d0e2975a541f</v>
    <v>en-US</v>
    <v>Map</v>
  </rv>
  <rv s="0">
    <v>536870912</v>
    <v>Dagestan</v>
    <v>7be0631e-08a6-71a2-bd8f-1be3fab541d4</v>
    <v>en-US</v>
    <v>Map</v>
  </rv>
  <rv s="0">
    <v>536870912</v>
    <v>Ingushetia</v>
    <v>d71ef53a-a58c-2149-fc5b-7f305c67d703</v>
    <v>en-US</v>
    <v>Map</v>
  </rv>
  <rv s="0">
    <v>536870912</v>
    <v>Kabardino-Balkaria</v>
    <v>3c3eefab-1013-5556-2903-4a792d0de818</v>
    <v>en-US</v>
    <v>Map</v>
  </rv>
  <rv s="0">
    <v>536870912</v>
    <v>Kalmykia</v>
    <v>aa5d46bb-1a45-ccab-629e-32a57e11433b</v>
    <v>en-US</v>
    <v>Map</v>
  </rv>
  <rv s="0">
    <v>536870912</v>
    <v>Karachay-Cherkessia</v>
    <v>427be6f6-6a91-8144-0b4b-023b249fb86c</v>
    <v>en-US</v>
    <v>Map</v>
  </rv>
  <rv s="0">
    <v>536870912</v>
    <v>Komi Republic</v>
    <v>7ef61531-763c-4148-8cc5-3804e7ea0b0f</v>
    <v>en-US</v>
    <v>Map</v>
  </rv>
  <rv s="0">
    <v>536870912</v>
    <v>Stavropol Krai</v>
    <v>cea31d3e-370c-d7b9-8aa9-739d9a55a85a</v>
    <v>en-US</v>
    <v>Map</v>
  </rv>
  <rv s="0">
    <v>536870912</v>
    <v>Mari El</v>
    <v>b89c03bf-1661-bc0b-45ea-52497ba4afaf</v>
    <v>en-US</v>
    <v>Map</v>
  </rv>
  <rv s="0">
    <v>536870912</v>
    <v>Mordovia</v>
    <v>f239c732-02c7-4a65-ceef-e3e0f395c4ad</v>
    <v>en-US</v>
    <v>Map</v>
  </rv>
  <rv s="0">
    <v>536870912</v>
    <v>Sakha Republic</v>
    <v>ea625ee4-93bc-476d-b81d-2daeb4e75cc9</v>
    <v>en-US</v>
    <v>Map</v>
  </rv>
  <rv s="0">
    <v>536870912</v>
    <v>North Ossetia–Alania</v>
    <v>d769211e-6a13-19e2-34f9-58681d88ee0e</v>
    <v>en-US</v>
    <v>Map</v>
  </rv>
  <rv s="0">
    <v>536870912</v>
    <v>Tatarstan</v>
    <v>7e36bead-7c24-03eb-3164-2a047e5b7eb1</v>
    <v>en-US</v>
    <v>Map</v>
  </rv>
  <rv s="0">
    <v>536870912</v>
    <v>Tuva</v>
    <v>ab07bfe8-07ff-28f8-5b60-d4cd5e7f48f8</v>
    <v>en-US</v>
    <v>Map</v>
  </rv>
  <rv s="0">
    <v>536870912</v>
    <v>Udmurtia</v>
    <v>9650b146-7f52-f62d-cc53-c0f71081c647</v>
    <v>en-US</v>
    <v>Map</v>
  </rv>
  <rv s="0">
    <v>536870912</v>
    <v>Khakassia</v>
    <v>f1e1928b-1461-ec9b-f1f0-d161dfb0ded0</v>
    <v>en-US</v>
    <v>Map</v>
  </rv>
  <rv s="0">
    <v>536870912</v>
    <v>Chechnya</v>
    <v>380a5b31-8fbf-1061-698e-34d4218fc514</v>
    <v>en-US</v>
    <v>Map</v>
  </rv>
  <rv s="0">
    <v>536870912</v>
    <v>Chuvashia</v>
    <v>52dde999-303c-705c-0053-8cd4a44ea3bc</v>
    <v>en-US</v>
    <v>Map</v>
  </rv>
  <rv s="0">
    <v>536870912</v>
    <v>Altai Krai</v>
    <v>5e9c8636-bfc7-6ace-eac3-4751db61d1cd</v>
    <v>en-US</v>
    <v>Map</v>
  </rv>
  <rv s="0">
    <v>536870912</v>
    <v>Krasnodar Krai</v>
    <v>9a429c3b-d4ba-835f-1b73-b43e11683d61</v>
    <v>en-US</v>
    <v>Map</v>
  </rv>
  <rv s="0">
    <v>536870912</v>
    <v>Krasnoyarsk Krai</v>
    <v>1266f13e-65bc-fc05-ccd0-3c7a17af0597</v>
    <v>en-US</v>
    <v>Map</v>
  </rv>
  <rv s="0">
    <v>536870912</v>
    <v>Primorsky Krai</v>
    <v>c162694d-0600-3d2a-14ab-bd32888d7c8d</v>
    <v>en-US</v>
    <v>Map</v>
  </rv>
  <rv s="0">
    <v>536870912</v>
    <v>Khabarovsk Krai</v>
    <v>02068939-5788-e619-fddd-7743d37b74b3</v>
    <v>en-US</v>
    <v>Map</v>
  </rv>
  <rv s="0">
    <v>536870912</v>
    <v>Amur Oblast</v>
    <v>706fd605-8507-bdd1-46b4-ee14136bf6f2</v>
    <v>en-US</v>
    <v>Map</v>
  </rv>
  <rv s="0">
    <v>536870912</v>
    <v>Astrakhan Oblast</v>
    <v>06c7a94b-2d3b-41f7-ad05-8d46bb820ade</v>
    <v>en-US</v>
    <v>Map</v>
  </rv>
  <rv s="0">
    <v>536870912</v>
    <v>Arkhangelsk Oblast</v>
    <v>a26f0229-f4b7-1b73-1448-9522bf6b8a00</v>
    <v>en-US</v>
    <v>Map</v>
  </rv>
  <rv s="0">
    <v>536870912</v>
    <v>Belgorod Oblast</v>
    <v>c8940f0f-9335-1cda-1a75-5dd0ab1960ff</v>
    <v>en-US</v>
    <v>Map</v>
  </rv>
  <rv s="0">
    <v>536870912</v>
    <v>Bryansk Oblast</v>
    <v>0ea1957d-9d7f-b8a7-f59b-31b5d6b1bd4a</v>
    <v>en-US</v>
    <v>Map</v>
  </rv>
  <rv s="0">
    <v>536870912</v>
    <v>Vladimir Oblast</v>
    <v>2d317c56-15fe-4a06-56e0-02319a666d05</v>
    <v>en-US</v>
    <v>Map</v>
  </rv>
  <rv s="0">
    <v>536870912</v>
    <v>Volgograd Oblast</v>
    <v>8b9d97f0-f2de-ac3e-5891-976a9a8b1e60</v>
    <v>en-US</v>
    <v>Map</v>
  </rv>
  <rv s="0">
    <v>536870912</v>
    <v>Vologda Oblast</v>
    <v>e52cd8ce-a2fe-316d-8b57-f4e3b77333a5</v>
    <v>en-US</v>
    <v>Map</v>
  </rv>
  <rv s="0">
    <v>536870912</v>
    <v>Voronezh Oblast</v>
    <v>9b7449fa-9d99-9753-8580-fc09a3e938a1</v>
    <v>en-US</v>
    <v>Map</v>
  </rv>
  <rv s="0">
    <v>536870912</v>
    <v>Ivanovo Oblast</v>
    <v>fdcd3a68-b12f-1397-beb5-b43095d4606b</v>
    <v>en-US</v>
    <v>Map</v>
  </rv>
  <rv s="0">
    <v>536870912</v>
    <v>Irkutsk Oblast</v>
    <v>d1d27863-f692-cd79-ec4a-a224cb9b6b50</v>
    <v>en-US</v>
    <v>Map</v>
  </rv>
  <rv s="0">
    <v>536870912</v>
    <v>Kaliningrad Oblast</v>
    <v>7898a7d2-2c53-4ac9-fd66-da04a64ed92e</v>
    <v>en-US</v>
    <v>Map</v>
  </rv>
  <rv s="0">
    <v>536870912</v>
    <v>Kaluga Oblast</v>
    <v>97df7123-82c1-1ae8-dc29-631fa213b57f</v>
    <v>en-US</v>
    <v>Map</v>
  </rv>
  <rv s="0">
    <v>536870912</v>
    <v>Kamchatka Krai</v>
    <v>aa601ace-14aa-0457-d7e0-cc6046c92351</v>
    <v>en-US</v>
    <v>Map</v>
  </rv>
  <rv s="0">
    <v>536870912</v>
    <v>Kemerovo Oblast</v>
    <v>1e6a003a-be48-9fa5-55bd-e117a8409e45</v>
    <v>en-US</v>
    <v>Map</v>
  </rv>
  <rv s="0">
    <v>536870912</v>
    <v>Kirov Oblast</v>
    <v>d59795b1-20b4-27f8-b756-5227d25439ae</v>
    <v>en-US</v>
    <v>Map</v>
  </rv>
  <rv s="0">
    <v>536870912</v>
    <v>Kostroma Oblast</v>
    <v>48255075-9db6-a984-2d1d-fcf0441e427b</v>
    <v>en-US</v>
    <v>Map</v>
  </rv>
  <rv s="0">
    <v>536870912</v>
    <v>Kurgan Oblast</v>
    <v>903834e8-fe8c-1307-487f-0fb6d8993461</v>
    <v>en-US</v>
    <v>Map</v>
  </rv>
  <rv s="0">
    <v>536870912</v>
    <v>Kursk Oblast</v>
    <v>567e1124-acb2-49af-175b-c71b4a0ba198</v>
    <v>en-US</v>
    <v>Map</v>
  </rv>
  <rv s="0">
    <v>536870912</v>
    <v>Leningrad Oblast</v>
    <v>5c4a620f-878c-b7a4-a401-7f5115731d25</v>
    <v>en-US</v>
    <v>Map</v>
  </rv>
  <rv s="0">
    <v>536870912</v>
    <v>Lipetsk Oblast</v>
    <v>f35c04f7-4cb7-0802-ca04-755f7af52074</v>
    <v>en-US</v>
    <v>Map</v>
  </rv>
  <rv s="0">
    <v>536870912</v>
    <v>Magadan Oblast</v>
    <v>41a617f0-e934-53ad-bb6c-2cac390b18ba</v>
    <v>en-US</v>
    <v>Map</v>
  </rv>
  <rv s="0">
    <v>536870912</v>
    <v>Moscow Oblast</v>
    <v>dd63de90-3429-69f1-11c7-7129ec818a44</v>
    <v>en-US</v>
    <v>Map</v>
  </rv>
  <rv s="0">
    <v>536870912</v>
    <v>Murmansk Oblast</v>
    <v>07a783e3-274d-ec11-cee4-83081096a87f</v>
    <v>en-US</v>
    <v>Map</v>
  </rv>
  <rv s="0">
    <v>536870912</v>
    <v>Nizhny Novgorod Oblast</v>
    <v>691cbf3e-b13a-27a2-730d-d3a89a54588c</v>
    <v>en-US</v>
    <v>Map</v>
  </rv>
  <rv s="0">
    <v>536870912</v>
    <v>Novgorod Oblast</v>
    <v>5c6f11f1-917e-4dd9-5f0f-bca854810e3e</v>
    <v>en-US</v>
    <v>Map</v>
  </rv>
  <rv s="0">
    <v>536870912</v>
    <v>Novosibirsk Oblast</v>
    <v>e05e3666-c6d4-b98c-cf0b-3f8fbdcca509</v>
    <v>en-US</v>
    <v>Map</v>
  </rv>
  <rv s="0">
    <v>536870912</v>
    <v>Omsk Oblast</v>
    <v>ca626861-e115-9a15-2bb4-9047d7b785cd</v>
    <v>en-US</v>
    <v>Map</v>
  </rv>
  <rv s="0">
    <v>536870912</v>
    <v>Orenburg Oblast</v>
    <v>e416ef3d-74dd-73c7-82c5-e10e02791bfb</v>
    <v>en-US</v>
    <v>Map</v>
  </rv>
  <rv s="0">
    <v>536870912</v>
    <v>Oryol Oblast</v>
    <v>30918ef9-6129-11eb-d922-92a0eda65b46</v>
    <v>en-US</v>
    <v>Map</v>
  </rv>
  <rv s="0">
    <v>536870912</v>
    <v>Penza Oblast</v>
    <v>6037735b-86a2-89e3-37b1-b7b82ed427b8</v>
    <v>en-US</v>
    <v>Map</v>
  </rv>
  <rv s="0">
    <v>536870912</v>
    <v>Perm Krai</v>
    <v>e3254562-12b4-8af6-5efc-c33e6b4cc2fd</v>
    <v>en-US</v>
    <v>Map</v>
  </rv>
  <rv s="0">
    <v>536870912</v>
    <v>Pskov Oblast</v>
    <v>c4c338de-2857-ea26-c274-85903024dee2</v>
    <v>en-US</v>
    <v>Map</v>
  </rv>
  <rv s="0">
    <v>536870912</v>
    <v>Rostov Oblast</v>
    <v>05c23ef3-37da-92dc-0d82-db4e339caaa8</v>
    <v>en-US</v>
    <v>Map</v>
  </rv>
  <rv s="0">
    <v>536870912</v>
    <v>Ryazan Oblast</v>
    <v>6c69b62c-3503-7ba4-5d89-faeb0fc23ab3</v>
    <v>en-US</v>
    <v>Map</v>
  </rv>
  <rv s="0">
    <v>536870912</v>
    <v>Samara Oblast</v>
    <v>13d9bea7-a7c1-1b2c-7fb1-e678ddcd7a71</v>
    <v>en-US</v>
    <v>Map</v>
  </rv>
  <rv s="0">
    <v>536870912</v>
    <v>Saratov Oblast</v>
    <v>a391453d-4362-449f-bbe1-00b8176ec2f8</v>
    <v>en-US</v>
    <v>Map</v>
  </rv>
  <rv s="0">
    <v>536870912</v>
    <v>Sakhalin Oblast</v>
    <v>a0ca8508-79a7-09d7-1e4f-84e80916d921</v>
    <v>en-US</v>
    <v>Map</v>
  </rv>
  <rv s="0">
    <v>536870912</v>
    <v>Sverdlovsk Oblast</v>
    <v>32643100-03ea-0c14-f58e-a7d70c8c1468</v>
    <v>en-US</v>
    <v>Map</v>
  </rv>
  <rv s="0">
    <v>536870912</v>
    <v>Smolensk Oblast</v>
    <v>d2bbaf83-1065-8b46-d8df-55a0e9dd6b3a</v>
    <v>en-US</v>
    <v>Map</v>
  </rv>
  <rv s="0">
    <v>536870912</v>
    <v>Tambov Oblast</v>
    <v>c8c484f3-ed59-31b5-c134-bc324e7837a7</v>
    <v>en-US</v>
    <v>Map</v>
  </rv>
  <rv s="0">
    <v>536870912</v>
    <v>Tver Oblast</v>
    <v>43dbfe25-b444-4ee4-6a06-4a0c84faf831</v>
    <v>en-US</v>
    <v>Map</v>
  </rv>
  <rv s="0">
    <v>536870912</v>
    <v>Tomsk Oblast</v>
    <v>4833e982-a51c-b27a-99ba-c7aa39fdbfc5</v>
    <v>en-US</v>
    <v>Map</v>
  </rv>
  <rv s="0">
    <v>536870912</v>
    <v>Tula Oblast</v>
    <v>06958213-9024-c72f-be1d-870a43124549</v>
    <v>en-US</v>
    <v>Map</v>
  </rv>
  <rv s="0">
    <v>536870912</v>
    <v>Tyumen Oblast</v>
    <v>f7074e1e-5809-6c44-a836-391d78cc63b0</v>
    <v>en-US</v>
    <v>Map</v>
  </rv>
  <rv s="0">
    <v>536870912</v>
    <v>Ulyanovsk Oblast</v>
    <v>285ad0e8-dfc5-6c4f-f919-783c565347c2</v>
    <v>en-US</v>
    <v>Map</v>
  </rv>
  <rv s="0">
    <v>536870912</v>
    <v>Chelyabinsk Oblast</v>
    <v>e8506c94-c78a-be96-22a5-f42d90ce4d85</v>
    <v>en-US</v>
    <v>Map</v>
  </rv>
  <rv s="0">
    <v>536870912</v>
    <v>Zabaykalsky Krai</v>
    <v>4eec5a15-6252-a5ba-a675-32f7c3941986</v>
    <v>en-US</v>
    <v>Map</v>
  </rv>
  <rv s="0">
    <v>536870912</v>
    <v>Yaroslavl Oblast</v>
    <v>78a787d0-5bd7-369e-abec-20334f55f284</v>
    <v>en-US</v>
    <v>Map</v>
  </rv>
  <rv s="0">
    <v>536870912</v>
    <v>Saint Petersburg</v>
    <v>e3ed1086-8cd2-4813-dfa1-22d6666852c7</v>
    <v>en-US</v>
    <v>Map</v>
  </rv>
  <rv s="0">
    <v>536870912</v>
    <v>Sevastopol</v>
    <v>1d4e43aa-65a2-a88a-3324-a9ac6e098708</v>
    <v>en-US</v>
    <v>Map</v>
  </rv>
  <rv s="0">
    <v>536870912</v>
    <v>Jewish Autonomous Oblast</v>
    <v>f238d267-34ac-88dc-5e18-ecd8a1d9f1bd</v>
    <v>en-US</v>
    <v>Map</v>
  </rv>
  <rv s="0">
    <v>536870912</v>
    <v>Nenets Autonomous Okrug</v>
    <v>0bfd44fb-94fd-9862-0994-343325ef0e56</v>
    <v>en-US</v>
    <v>Map</v>
  </rv>
  <rv s="0">
    <v>536870912</v>
    <v>Khanty-Mansi Autonomous Okrug</v>
    <v>c54c2f51-aac8-6ea4-fc82-3027ba8cc45b</v>
    <v>en-US</v>
    <v>Map</v>
  </rv>
  <rv s="0">
    <v>536870912</v>
    <v>Chukotka Autonomous Okrug</v>
    <v>32d0b1a4-54c8-f9af-b97c-f05f93680504</v>
    <v>en-US</v>
    <v>Map</v>
  </rv>
  <rv s="0">
    <v>536870912</v>
    <v>Yamalo-Nenets Autonomous Okrug</v>
    <v>9ad3fb88-2ff4-83f3-32a9-b85ad7f10c6c</v>
    <v>en-US</v>
    <v>Map</v>
  </rv>
  <rv s="3">
    <v>147</v>
  </rv>
  <rv s="1">
    <fb>0.11384595754929799</fb>
    <v>23</v>
  </rv>
  <rv s="3">
    <v>148</v>
  </rv>
  <rv s="1">
    <fb>0.46200000000000002</fb>
    <v>23</v>
  </rv>
  <rv s="1">
    <fb>4.5850000381469698E-2</fb>
    <v>31</v>
  </rv>
  <rv s="1">
    <fb>107683889</fb>
    <v>24</v>
  </rv>
  <rv s="5">
    <v>#VALUE!</v>
    <v>en-US</v>
    <v>ed4fce79-8ad4-352b-205b-e4db36c49bbe</v>
    <v>536870912</v>
    <v>1</v>
    <v>368</v>
    <v>17</v>
    <v>Russia</v>
    <v>19</v>
    <v>20</v>
    <v>Map</v>
    <v>21</v>
    <v>369</v>
    <v>RU</v>
    <v>2473</v>
    <v>2474</v>
    <v>2475</v>
    <v>2476</v>
    <v>2477</v>
    <v>2478</v>
    <v>2479</v>
    <v>2480</v>
    <v>2481</v>
    <v>RUB</v>
    <v>Russia, or the Russian Federation, is a country spanning Eastern Europe and North Asia. It is the largest country in the world by land area, and extends across eleven time zones; sharing land borders with fourteen countries. Russia is the most ...</v>
    <v>2482</v>
    <v>2483</v>
    <v>2484</v>
    <v>2485</v>
    <v>2486</v>
    <v>2487</v>
    <v>2488</v>
    <v>2489</v>
    <v>2490</v>
    <v>2491</v>
    <v>2478</v>
    <v>2494</v>
    <v>2495</v>
    <v>2496</v>
    <v>2497</v>
    <v>1920</v>
    <v>2498</v>
    <v>Russia</v>
    <v>National anthem of Russia</v>
    <v>2499</v>
    <v>Российская Федерация</v>
    <v>2500</v>
    <v>2501</v>
    <v>2502</v>
    <v>2503</v>
    <v>2504</v>
    <v>2505</v>
    <v>276</v>
    <v>310</v>
    <v>479</v>
    <v>2506</v>
    <v>2507</v>
    <v>2590</v>
    <v>2591</v>
    <v>2592</v>
    <v>2593</v>
    <v>2594</v>
    <v>Russia</v>
    <v>2595</v>
    <v>mdp/vdpid/203</v>
  </rv>
  <rv s="0">
    <v>536870912</v>
    <v>South Africa</v>
    <v>38a9fd4a-4f7c-6d91-d6dd-4eed3131672d</v>
    <v>en-US</v>
    <v>Map</v>
  </rv>
  <rv s="1">
    <fb>0.79830020855830996</fb>
    <v>23</v>
  </rv>
  <rv s="1">
    <fb>1221037</fb>
    <v>24</v>
  </rv>
  <rv s="1">
    <fb>80000</fb>
    <v>24</v>
  </rv>
  <rv s="1">
    <fb>20.51</fb>
    <v>25</v>
  </rv>
  <rv s="1">
    <fb>27</fb>
    <v>26</v>
  </rv>
  <rv s="0">
    <v>536870912</v>
    <v>Pretoria</v>
    <v>3fa43cca-3409-4d81-f4f9-2df74e37e177</v>
    <v>en-US</v>
    <v>Map</v>
  </rv>
  <rv s="1">
    <fb>476643.99400000001</fb>
    <v>24</v>
  </rv>
  <rv s="1">
    <fb>158.92793752218699</fb>
    <v>27</v>
  </rv>
  <rv s="1">
    <fb>4.1243507248623905E-2</fb>
    <v>23</v>
  </rv>
  <rv s="1">
    <fb>4197.9070469175304</fb>
    <v>24</v>
  </rv>
  <rv s="1">
    <fb>2.4049999999999998</fb>
    <v>25</v>
  </rv>
  <rv s="1">
    <fb>7.6177365240831296E-2</fb>
    <v>23</v>
  </rv>
  <rv s="1">
    <fb>86.791431691401598</fb>
    <v>28</v>
  </rv>
  <rv s="1">
    <fb>0.92</fb>
    <v>29</v>
  </rv>
  <rv s="1">
    <fb>351431649241.43903</fb>
    <v>30</v>
  </rv>
  <rv s="1">
    <fb>1.0086473</fb>
    <v>23</v>
  </rv>
  <rv s="1">
    <fb>0.22366029999999998</fb>
    <v>23</v>
  </rv>
  <rv s="2">
    <v>73</v>
    <v>21</v>
    <v>371</v>
    <v>7</v>
    <v>0</v>
    <v>Image of South Africa</v>
  </rv>
  <rv s="1">
    <fb>28.5</fb>
    <v>28</v>
  </rv>
  <rv s="0">
    <v>536870912</v>
    <v>Johannesburg</v>
    <v>fdf01f15-cb04-8b6c-43e6-a8b2138c0312</v>
    <v>en-US</v>
    <v>Map</v>
  </rv>
  <rv s="0">
    <v>805306368</v>
    <v>Cyril Ramaphosa (President)</v>
    <v>c3bf14fa-ef5e-696f-af28-746c7d0b22a9</v>
    <v>en-US</v>
    <v>Generic</v>
  </rv>
  <rv s="0">
    <v>805306368</v>
    <v>Mandisa Maya (Chief justice)</v>
    <v>d7f4df4e-1431-de9c-d625-ad5005dd70e1</v>
    <v>en-US</v>
    <v>Generic</v>
  </rv>
  <rv s="3">
    <v>149</v>
  </rv>
  <rv s="4">
    <v>https://www.bing.com/search?q=south+africa&amp;form=skydnc</v>
    <v>Learn more on Bing</v>
  </rv>
  <rv s="1">
    <fb>63.856999999999999</fb>
    <v>28</v>
  </rv>
  <rv s="1">
    <fb>1056341440000</fb>
    <v>30</v>
  </rv>
  <rv s="1">
    <fb>119</fb>
    <v>28</v>
  </rv>
  <rv s="3">
    <v>150</v>
  </rv>
  <rv s="1">
    <fb>7.6985469299999998E-2</fb>
    <v>23</v>
  </rv>
  <rv s="1">
    <fb>0.90539999999999998</fb>
    <v>25</v>
  </rv>
  <rv s="1">
    <fb>59893885</fb>
    <v>24</v>
  </rv>
  <rv s="1">
    <fb>0.505</fb>
    <v>23</v>
  </rv>
  <rv s="1">
    <fb>0.68200000000000005</fb>
    <v>23</v>
  </rv>
  <rv s="1">
    <fb>9.0000000000000011E-3</fb>
    <v>23</v>
  </rv>
  <rv s="1">
    <fb>0.56016998291015596</fb>
    <v>23</v>
  </rv>
  <rv s="0">
    <v>536870912</v>
    <v>Eastern Cape</v>
    <v>52d32047-22e4-2498-c546-1854275462d0</v>
    <v>en-US</v>
    <v>Map</v>
  </rv>
  <rv s="0">
    <v>536870912</v>
    <v>Free State</v>
    <v>a80d303a-f84e-1047-ecc5-821b167d82e2</v>
    <v>en-US</v>
    <v>Map</v>
  </rv>
  <rv s="0">
    <v>536870912</v>
    <v>Gauteng</v>
    <v>adc304a6-9c62-702f-7ed7-29afec5c41a8</v>
    <v>en-US</v>
    <v>Map</v>
  </rv>
  <rv s="0">
    <v>536870912</v>
    <v>KwaZulu-Natal</v>
    <v>b18f871a-4296-ec9f-bd43-fc7b0e94f309</v>
    <v>en-US</v>
    <v>Map</v>
  </rv>
  <rv s="0">
    <v>536870912</v>
    <v>Limpopo</v>
    <v>1145af3c-da05-7eb5-c05e-8dbdf794ccd4</v>
    <v>en-US</v>
    <v>Map</v>
  </rv>
  <rv s="0">
    <v>536870912</v>
    <v>Mpumalanga</v>
    <v>fe8e43ff-3125-ea79-5306-db1bee5c12d8</v>
    <v>en-US</v>
    <v>Map</v>
  </rv>
  <rv s="0">
    <v>536870912</v>
    <v>North West</v>
    <v>a9ca554b-55e2-f0d1-dbe6-796b1fc29dff</v>
    <v>en-US</v>
    <v>Map</v>
  </rv>
  <rv s="0">
    <v>536870912</v>
    <v>Northern Cape</v>
    <v>c7811f0b-afea-afb9-4c2d-695826b9ca98</v>
    <v>en-US</v>
    <v>Map</v>
  </rv>
  <rv s="0">
    <v>536870912</v>
    <v>Western Cape</v>
    <v>c7b124b8-e75d-0b9b-5245-dda6bbb13800</v>
    <v>en-US</v>
    <v>Map</v>
  </rv>
  <rv s="3">
    <v>151</v>
  </rv>
  <rv s="1">
    <fb>0.27465217966612804</fb>
    <v>23</v>
  </rv>
  <rv s="3">
    <v>152</v>
  </rv>
  <rv s="1">
    <fb>0.29199999999999998</fb>
    <v>23</v>
  </rv>
  <rv s="1">
    <fb>0.28180999755859398</fb>
    <v>31</v>
  </rv>
  <rv s="1">
    <fb>39149717</fb>
    <v>24</v>
  </rv>
  <rv s="19">
    <v>#VALUE!</v>
    <v>en-US</v>
    <v>38a9fd4a-4f7c-6d91-d6dd-4eed3131672d</v>
    <v>536870912</v>
    <v>1</v>
    <v>374</v>
    <v>268</v>
    <v>South Africa</v>
    <v>19</v>
    <v>20</v>
    <v>Map</v>
    <v>21</v>
    <v>375</v>
    <v>ZA</v>
    <v>2598</v>
    <v>2599</v>
    <v>2600</v>
    <v>2601</v>
    <v>2602</v>
    <v>2603</v>
    <v>2604</v>
    <v>2605</v>
    <v>2606</v>
    <v>ZAR</v>
    <v>South Africa, officially the Republic of South Africa, is the southernmost country in Africa. Its nine provinces are bounded to the south by 2,798 kilometres of coastline that stretches along the South Atlantic and Indian Ocean; to the north by ...</v>
    <v>2607</v>
    <v>2608</v>
    <v>2609</v>
    <v>2610</v>
    <v>2611</v>
    <v>2612</v>
    <v>2613</v>
    <v>2614</v>
    <v>2615</v>
    <v>2616</v>
    <v>2617</v>
    <v>2620</v>
    <v>2621</v>
    <v>2622</v>
    <v>2623</v>
    <v>2624</v>
    <v>South Africa</v>
    <v>National anthem of South Africa</v>
    <v>2625</v>
    <v>Republic of South Africa</v>
    <v>2626</v>
    <v>2627</v>
    <v>2628</v>
    <v>2203</v>
    <v>2629</v>
    <v>2630</v>
    <v>2631</v>
    <v>419</v>
    <v>169</v>
    <v>175</v>
    <v>2632</v>
    <v>2642</v>
    <v>2643</v>
    <v>2644</v>
    <v>2645</v>
    <v>2646</v>
    <v>South Africa</v>
    <v>2647</v>
    <v>mdp/vdpid/209</v>
  </rv>
  <rv s="0">
    <v>536870912</v>
    <v>Belgium</v>
    <v>ac5bcc34-e1cd-2e76-9d31-fb1be1159a5e</v>
    <v>en-US</v>
    <v>Map</v>
  </rv>
  <rv s="1">
    <fb>0.44610305443465298</fb>
    <v>23</v>
  </rv>
  <rv s="1">
    <fb>30688</fb>
    <v>24</v>
  </rv>
  <rv s="1">
    <fb>32000</fb>
    <v>24</v>
  </rv>
  <rv s="1">
    <fb>10.3</fb>
    <v>25</v>
  </rv>
  <rv s="1">
    <fb>32</fb>
    <v>26</v>
  </rv>
  <rv s="0">
    <v>536870912</v>
    <v>City of Brussels</v>
    <v>95e13b04-adba-5f35-d2c5-f828990ca1fd</v>
    <v>en-US</v>
    <v>Map</v>
  </rv>
  <rv s="1">
    <fb>96889.474000000002</fb>
    <v>24</v>
  </rv>
  <rv s="1">
    <fb>117.11045718797099</fb>
    <v>27</v>
  </rv>
  <rv s="1">
    <fb>1.43681956996435E-2</fb>
    <v>23</v>
  </rv>
  <rv s="1">
    <fb>7709.1230778824702</fb>
    <v>24</v>
  </rv>
  <rv s="1">
    <fb>1.62</fb>
    <v>25</v>
  </rv>
  <rv s="1">
    <fb>0.22583884638555801</fb>
    <v>23</v>
  </rv>
  <rv s="1">
    <fb>75.870784353682396</fb>
    <v>28</v>
  </rv>
  <rv s="1">
    <fb>1.43</fb>
    <v>29</v>
  </rv>
  <rv s="1">
    <fb>529606710418.03802</fb>
    <v>30</v>
  </rv>
  <rv s="1">
    <fb>1.0390557</fb>
    <v>23</v>
  </rv>
  <rv s="1">
    <fb>0.79661730000000008</fb>
    <v>23</v>
  </rv>
  <rv s="2">
    <v>74</v>
    <v>21</v>
    <v>377</v>
    <v>7</v>
    <v>0</v>
    <v>Image of Belgium</v>
  </rv>
  <rv s="0">
    <v>536870912</v>
    <v>Brussels</v>
    <v>f77206fd-fe4f-6c8e-5588-1d0651b151ea</v>
    <v>en-US</v>
    <v>Map</v>
  </rv>
  <rv s="0">
    <v>805306368</v>
    <v>Philippe of Belgium (Monarch)</v>
    <v>a665fab7-fb7f-7057-7ae8-bfd895ec6e4d</v>
    <v>en-US</v>
    <v>Generic</v>
  </rv>
  <rv s="0">
    <v>805306368</v>
    <v>Bart De Wever (Prime minister)</v>
    <v>b612ad4e-f70e-98c6-7b14-c49f120304f0</v>
    <v>en-US</v>
    <v>Generic</v>
  </rv>
  <rv s="3">
    <v>153</v>
  </rv>
  <rv s="4">
    <v>https://www.bing.com/search?q=belgium&amp;form=skydnc</v>
    <v>Learn more on Bing</v>
  </rv>
  <rv s="1">
    <fb>81.595121951219497</fb>
    <v>28</v>
  </rv>
  <rv s="1">
    <fb>321093542983.70203</fb>
    <v>30</v>
  </rv>
  <rv s="1">
    <fb>10.31</fb>
    <v>29</v>
  </rv>
  <rv s="3">
    <v>154</v>
  </rv>
  <rv s="1">
    <fb>0.17567192210000002</fb>
    <v>23</v>
  </rv>
  <rv s="1">
    <fb>3.0709</fb>
    <v>25</v>
  </rv>
  <rv s="1">
    <fb>11669446</fb>
    <v>24</v>
  </rv>
  <rv s="1">
    <fb>8.6999999999999994E-2</fb>
    <v>23</v>
  </rv>
  <rv s="1">
    <fb>0.18100000000000002</fb>
    <v>23</v>
  </rv>
  <rv s="1">
    <fb>0.53562000274658206</fb>
    <v>23</v>
  </rv>
  <rv s="0">
    <v>536870912</v>
    <v>Flemish Region</v>
    <v>f250b992-acb5-d7d5-db4f-47fb684176fd</v>
    <v>en-US</v>
    <v>Map</v>
  </rv>
  <rv s="0">
    <v>536870912</v>
    <v>Wallonia</v>
    <v>077dc74d-75df-1a0d-c05f-5dc9a9747925</v>
    <v>en-US</v>
    <v>Map</v>
  </rv>
  <rv s="3">
    <v>155</v>
  </rv>
  <rv s="1">
    <fb>0.23994106172459101</fb>
    <v>23</v>
  </rv>
  <rv s="3">
    <v>156</v>
  </rv>
  <rv s="1">
    <fb>5.5890002250671394E-2</fb>
    <v>31</v>
  </rv>
  <rv s="1">
    <fb>11259082</fb>
    <v>24</v>
  </rv>
  <rv s="5">
    <v>#VALUE!</v>
    <v>en-US</v>
    <v>ac5bcc34-e1cd-2e76-9d31-fb1be1159a5e</v>
    <v>536870912</v>
    <v>1</v>
    <v>380</v>
    <v>17</v>
    <v>Belgium</v>
    <v>19</v>
    <v>20</v>
    <v>Map</v>
    <v>21</v>
    <v>338</v>
    <v>BE</v>
    <v>2650</v>
    <v>2651</v>
    <v>2652</v>
    <v>2653</v>
    <v>2654</v>
    <v>2655</v>
    <v>2656</v>
    <v>2657</v>
    <v>2658</v>
    <v>EUR</v>
    <v>Belgium, officially the Kingdom of Belgium, is a country in Northwestern Europe. Situated in a coastal lowland region known as the Low Countries, it is bordered by the Netherlands to the north, Germany to the east, Luxembourg to the southeast, ...</v>
    <v>2659</v>
    <v>2660</v>
    <v>2661</v>
    <v>2662</v>
    <v>2663</v>
    <v>2664</v>
    <v>2665</v>
    <v>2666</v>
    <v>2667</v>
    <v>2435</v>
    <v>2668</v>
    <v>2671</v>
    <v>2672</v>
    <v>2673</v>
    <v>2674</v>
    <v>1077</v>
    <v>2675</v>
    <v>Belgium</v>
    <v>La Brabançonne</v>
    <v>2676</v>
    <v>Königreich Belgien</v>
    <v>2677</v>
    <v>2678</v>
    <v>2679</v>
    <v>800</v>
    <v>1180</v>
    <v>896</v>
    <v>447</v>
    <v>2680</v>
    <v>390</v>
    <v>2681</v>
    <v>2682</v>
    <v>2685</v>
    <v>2686</v>
    <v>2687</v>
    <v>1584</v>
    <v>2688</v>
    <v>Belgium</v>
    <v>2689</v>
    <v>mdp/vdpid/21</v>
  </rv>
  <rv s="1">
    <fb>161.38</fb>
    <v>24</v>
  </rv>
  <rv s="2">
    <v>75</v>
    <v>21</v>
    <v>381</v>
    <v>7</v>
    <v>0</v>
    <v>Image of Brussels</v>
  </rv>
  <rv s="1">
    <fb>50.8466666666667</fb>
    <v>43</v>
  </rv>
  <rv s="0">
    <v>805306368</v>
    <v>Rachid Madrane (Speaker)</v>
    <v>53415c53-94d6-4d5b-a2e2-e0a1340ed8ca</v>
    <v>en-US</v>
    <v>Generic</v>
  </rv>
  <rv s="3">
    <v>157</v>
  </rv>
  <rv s="4">
    <v>https://www.bing.com/search?q=brussels&amp;form=skydnc</v>
    <v>Learn more on Bing</v>
  </rv>
  <rv s="1">
    <fb>4.3525</fb>
    <v>43</v>
  </rv>
  <rv s="1">
    <fb>1218255</fb>
    <v>24</v>
  </rv>
  <rv s="3">
    <v>158</v>
  </rv>
  <rv s="22">
    <v>#VALUE!</v>
    <v>en-US</v>
    <v>f77206fd-fe4f-6c8e-5588-1d0651b151ea</v>
    <v>536870912</v>
    <v>1</v>
    <v>382</v>
    <v>312</v>
    <v>Brussels</v>
    <v>19</v>
    <v>20</v>
    <v>Map</v>
    <v>21</v>
    <v>42</v>
    <v>2691</v>
    <v>2649</v>
    <v>Brussels, officially the Brussels-Capital Region, is a region of Belgium comprising 19 municipalities, including the City of Brussels, which is the capital of Belgium. The Brussels-Capital Region is located in the central portion of the country ...</v>
    <v>2692</v>
    <v>2693</v>
    <v>2695</v>
    <v>2696</v>
    <v>2697</v>
    <v>Brussels</v>
    <v>2698</v>
    <v>2699</v>
    <v>Brussels</v>
    <v>mdp/vdpid/10103253</v>
  </rv>
  <rv s="0">
    <v>536870912</v>
    <v>Miami</v>
    <v>0f9ee715-4425-4f86-a2e6-2fe7befe1ac6</v>
    <v>en-US</v>
    <v>Map</v>
  </rv>
  <rv s="0">
    <v>536870912</v>
    <v>Miami-Dade County, Florida</v>
    <v>011ca011-9462-caa9-fe46-e0bfd960472e</v>
    <v>en-US</v>
    <v>Map</v>
  </rv>
  <rv s="1">
    <fb>145.204218</fb>
    <v>24</v>
  </rv>
  <rv s="2">
    <v>76</v>
    <v>21</v>
    <v>383</v>
    <v>7</v>
    <v>0</v>
    <v>Image of Miami</v>
  </rv>
  <rv s="1">
    <fb>25.783333333333001</fb>
    <v>43</v>
  </rv>
  <rv s="0">
    <v>805306368</v>
    <v>Francis Suarez (Mayor)</v>
    <v>e0123078-942d-04f1-659c-2e1b624aa4bc</v>
    <v>en-US</v>
    <v>Generic</v>
  </rv>
  <rv s="3">
    <v>159</v>
  </rv>
  <rv s="4">
    <v>https://www.bing.com/search?q=miami+florida&amp;form=skydnc</v>
    <v>Learn more on Bing</v>
  </rv>
  <rv s="1">
    <fb>-80.216666666666995</fb>
    <v>43</v>
  </rv>
  <rv s="1">
    <fb>455924</fb>
    <v>24</v>
  </rv>
  <rv s="12">
    <v>#VALUE!</v>
    <v>en-US</v>
    <v>0f9ee715-4425-4f86-a2e6-2fe7befe1ac6</v>
    <v>536870912</v>
    <v>1</v>
    <v>384</v>
    <v>164</v>
    <v>Miami</v>
    <v>19</v>
    <v>20</v>
    <v>Map</v>
    <v>21</v>
    <v>165</v>
    <v>51</v>
    <v>2702</v>
    <v>2703</v>
    <v>0</v>
    <v>Miami is a coastal city in the U.S. state of Florida and the county seat of Miami-Dade County in South Florida. It is the core of the Miami metropolitan area, which, with a population of 6.14 million, is the second-largest metropolitan area in ...</v>
    <v>2704</v>
    <v>2705</v>
    <v>2707</v>
    <v>2708</v>
    <v>2709</v>
    <v>Miami</v>
    <v>2710</v>
    <v>135</v>
    <v>Miami</v>
    <v>mdp/vdpid/5502110112036159489</v>
  </rv>
  <rv s="0">
    <v>536870912</v>
    <v>South Korea</v>
    <v>c0e15be0-5113-402c-c03f-516a6265e9cb</v>
    <v>en-US</v>
    <v>Map</v>
  </rv>
  <rv s="1">
    <fb>0.17446070640579101</fb>
    <v>23</v>
  </rv>
  <rv s="1">
    <fb>100295</fb>
    <v>24</v>
  </rv>
  <rv s="1">
    <fb>634000</fb>
    <v>24</v>
  </rv>
  <rv s="1">
    <fb>6.4</fb>
    <v>25</v>
  </rv>
  <rv s="1">
    <fb>82</fb>
    <v>26</v>
  </rv>
  <rv s="0">
    <v>536870912</v>
    <v>Seoul</v>
    <v>669b47ba-40b4-0147-3657-a7dd0861132c</v>
    <v>en-US</v>
    <v>Map</v>
  </rv>
  <rv s="1">
    <fb>620302.38600000006</fb>
    <v>24</v>
  </rv>
  <rv s="1">
    <fb>115.15858742558</fb>
    <v>27</v>
  </rv>
  <rv s="1">
    <fb>3.8294613224406E-3</fb>
    <v>23</v>
  </rv>
  <rv s="1">
    <fb>10496.5136719641</fb>
    <v>24</v>
  </rv>
  <rv s="1">
    <fb>0.97699999999999998</fb>
    <v>25</v>
  </rv>
  <rv s="1">
    <fb>0.63354836492977906</fb>
    <v>23</v>
  </rv>
  <rv s="1">
    <fb>81.028475807144503</fb>
    <v>28</v>
  </rv>
  <rv s="1">
    <fb>1.22</fb>
    <v>29</v>
  </rv>
  <rv s="1">
    <fb>2029000000000</fb>
    <v>30</v>
  </rv>
  <rv s="1">
    <fb>0.98088600000000004</fb>
    <v>23</v>
  </rv>
  <rv s="1">
    <fb>0.94349689999999997</fb>
    <v>23</v>
  </rv>
  <rv s="2">
    <v>77</v>
    <v>21</v>
    <v>386</v>
    <v>7</v>
    <v>0</v>
    <v>Image of South Korea</v>
  </rv>
  <rv s="1">
    <fb>2.7</fb>
    <v>28</v>
  </rv>
  <rv s="0">
    <v>805306368</v>
    <v>Yoon Suk Yeol (President)</v>
    <v>af8383ab-575b-52df-438a-1678504626cd</v>
    <v>en-US</v>
    <v>Generic</v>
  </rv>
  <rv s="0">
    <v>805306368</v>
    <v>Choi Sang-mok (President)</v>
    <v>6d3217c1-26df-bcef-6a5b-413608e6ec60</v>
    <v>en-US</v>
    <v>Generic</v>
  </rv>
  <rv s="0">
    <v>805306368</v>
    <v>Han Duck-soo (Prime minister)</v>
    <v>058dfd81-df36-7fb6-eadf-9736baef167f</v>
    <v>en-US</v>
    <v>Generic</v>
  </rv>
  <rv s="0">
    <v>805306368</v>
    <v>Choi Sang-mok (Prime minister)</v>
    <v>6d3217c1-26df-bcef-6a5b-413608e6ec60</v>
    <v>en-US</v>
    <v>Generic</v>
  </rv>
  <rv s="3">
    <v>160</v>
  </rv>
  <rv s="4">
    <v>https://www.bing.com/search?q=south+korea&amp;form=skydnc</v>
    <v>Learn more on Bing</v>
  </rv>
  <rv s="1">
    <fb>82.626829268292695</fb>
    <v>28</v>
  </rv>
  <rv s="1">
    <fb>1413716510000</fb>
    <v>30</v>
  </rv>
  <rv s="1">
    <fb>6.49</fb>
    <v>29</v>
  </rv>
  <rv s="3">
    <v>161</v>
  </rv>
  <rv s="1">
    <fb>0.36792971710000005</fb>
    <v>23</v>
  </rv>
  <rv s="1">
    <fb>2.3607999999999998</fb>
    <v>25</v>
  </rv>
  <rv s="1">
    <fb>51628117</fb>
    <v>24</v>
  </rv>
  <rv s="1">
    <fb>0.23199999999999998</fb>
    <v>23</v>
  </rv>
  <rv s="1">
    <fb>0.39</fb>
    <v>23</v>
  </rv>
  <rv s="1">
    <fb>0.62970001220703098</fb>
    <v>23</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North Jeolla Province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162</v>
  </rv>
  <rv s="1">
    <fb>0.15574911728035101</fb>
    <v>23</v>
  </rv>
  <rv s="3">
    <v>163</v>
  </rv>
  <rv s="1">
    <fb>0.33200000000000002</fb>
    <v>23</v>
  </rv>
  <rv s="1">
    <fb>4.1479997634887703E-2</fb>
    <v>31</v>
  </rv>
  <rv s="1">
    <fb>42106719</fb>
    <v>24</v>
  </rv>
  <rv s="5">
    <v>#VALUE!</v>
    <v>en-US</v>
    <v>c0e15be0-5113-402c-c03f-516a6265e9cb</v>
    <v>536870912</v>
    <v>1</v>
    <v>390</v>
    <v>17</v>
    <v>South Korea</v>
    <v>19</v>
    <v>20</v>
    <v>Map</v>
    <v>21</v>
    <v>391</v>
    <v>KR</v>
    <v>2713</v>
    <v>2714</v>
    <v>2715</v>
    <v>2716</v>
    <v>2717</v>
    <v>2718</v>
    <v>2719</v>
    <v>2720</v>
    <v>2721</v>
    <v>KRW</v>
    <v>South Korea, officially the Republic of Korea, is a country in East Asia. It constitutes the southern half of the Korean Peninsula and borders North Korea along the Korean Demilitarized Zone, with the Yellow Sea to the west and the Sea of Japan ...</v>
    <v>2722</v>
    <v>2723</v>
    <v>2724</v>
    <v>2725</v>
    <v>2726</v>
    <v>2727</v>
    <v>2728</v>
    <v>2729</v>
    <v>2730</v>
    <v>2731</v>
    <v>2718</v>
    <v>2736</v>
    <v>2737</v>
    <v>2738</v>
    <v>2739</v>
    <v>2363</v>
    <v>2740</v>
    <v>South Korea</v>
    <v>Aegukga</v>
    <v>2741</v>
    <v>대한민국</v>
    <v>2742</v>
    <v>2743</v>
    <v>2744</v>
    <v>2745</v>
    <v>176</v>
    <v>2746</v>
    <v>616</v>
    <v>589</v>
    <v>267</v>
    <v>1322</v>
    <v>2747</v>
    <v>2764</v>
    <v>2765</v>
    <v>2766</v>
    <v>2767</v>
    <v>2768</v>
    <v>South Korea</v>
    <v>2769</v>
    <v>mdp/vdpid/134</v>
  </rv>
  <rv s="0">
    <v>536870912</v>
    <v>Argentina</v>
    <v>87153d87-9bb0-166a-3d56-613bdc274e1b</v>
    <v>en-US</v>
    <v>Map</v>
  </rv>
  <rv s="1">
    <fb>0.54335712119385104</fb>
    <v>23</v>
  </rv>
  <rv s="1">
    <fb>2780400</fb>
    <v>24</v>
  </rv>
  <rv s="1">
    <fb>105000</fb>
    <v>24</v>
  </rv>
  <rv s="1">
    <fb>17.021000000000001</fb>
    <v>25</v>
  </rv>
  <rv s="1">
    <fb>54</fb>
    <v>26</v>
  </rv>
  <rv s="0">
    <v>536870912</v>
    <v>Buenos Aires</v>
    <v>857a6814-3fe8-c414-84da-24018be87fce</v>
    <v>en-US</v>
    <v>Map</v>
  </rv>
  <rv s="1">
    <fb>201347.636</fb>
    <v>24</v>
  </rv>
  <rv s="1">
    <fb>232.75109166666701</fb>
    <v>27</v>
  </rv>
  <rv s="1">
    <fb>0.53548304349234199</fb>
    <v>23</v>
  </rv>
  <rv s="1">
    <fb>3074.70207056563</fb>
    <v>24</v>
  </rv>
  <rv s="1">
    <fb>2.2610000000000001</fb>
    <v>25</v>
  </rv>
  <rv s="1">
    <fb>9.7984058182512504E-2</fb>
    <v>23</v>
  </rv>
  <rv s="1">
    <fb>87.722407479689195</fb>
    <v>28</v>
  </rv>
  <rv s="1">
    <fb>1.1000000000000001</fb>
    <v>29</v>
  </rv>
  <rv s="1">
    <fb>449663446954.073</fb>
    <v>30</v>
  </rv>
  <rv s="1">
    <fb>1.0974146</fb>
    <v>23</v>
  </rv>
  <rv s="1">
    <fb>0.89958519999999997</fb>
    <v>23</v>
  </rv>
  <rv s="2">
    <v>78</v>
    <v>21</v>
    <v>393</v>
    <v>7</v>
    <v>0</v>
    <v>Image of Argentina</v>
  </rv>
  <rv s="1">
    <fb>8.8000000000000007</fb>
    <v>28</v>
  </rv>
  <rv s="0">
    <v>805306368</v>
    <v>Javier Milei (President)</v>
    <v>9e292152-d659-8459-891a-e2e34df73a4f</v>
    <v>en-US</v>
    <v>Generic</v>
  </rv>
  <rv s="0">
    <v>805306368</v>
    <v>Victoria Villarruel (Vice president)</v>
    <v>c9d496be-e912-ca9e-b72e-cd37e371c69a</v>
    <v>en-US</v>
    <v>Generic</v>
  </rv>
  <rv s="3">
    <v>164</v>
  </rv>
  <rv s="4">
    <v>https://www.bing.com/search?q=argentina&amp;form=skydnc</v>
    <v>Learn more on Bing</v>
  </rv>
  <rv s="1">
    <fb>76.52</fb>
    <v>28</v>
  </rv>
  <rv s="1">
    <fb>39393540000</fb>
    <v>30</v>
  </rv>
  <rv s="1">
    <fb>39</fb>
    <v>28</v>
  </rv>
  <rv s="1">
    <fb>3.35</fb>
    <v>29</v>
  </rv>
  <rv s="3">
    <v>165</v>
  </rv>
  <rv s="1">
    <fb>0.17628076140000001</fb>
    <v>23</v>
  </rv>
  <rv s="1">
    <fb>3.96</fb>
    <v>25</v>
  </rv>
  <rv s="1">
    <fb>46234830</fb>
    <v>24</v>
  </rv>
  <rv s="1">
    <fb>0.46500000000000002</fb>
    <v>23</v>
  </rv>
  <rv s="1">
    <fb>0.61301998138427694</fb>
    <v>23</v>
  </rv>
  <rv s="0">
    <v>536870912</v>
    <v>Buenos Aires Province</v>
    <v>83e02b50-6d03-7c2c-eadf-7346066b2dea</v>
    <v>en-US</v>
    <v>Map</v>
  </rv>
  <rv s="0">
    <v>536870912</v>
    <v>Catamarca Province</v>
    <v>3c1c44fb-1be4-0807-a41a-389b53882281</v>
    <v>en-US</v>
    <v>Map</v>
  </rv>
  <rv s="0">
    <v>536870912</v>
    <v>Chaco Province</v>
    <v>7ba7eceb-7d6e-ca38-3de8-8edff91abe6c</v>
    <v>en-US</v>
    <v>Map</v>
  </rv>
  <rv s="0">
    <v>536870912</v>
    <v>Córdoba Province, Argentina</v>
    <v>ee360e95-eb6e-6500-1854-d0ba2979c8c5</v>
    <v>en-US</v>
    <v>Map</v>
  </rv>
  <rv s="0">
    <v>536870912</v>
    <v>Corrientes Province</v>
    <v>370306e6-e553-7210-5bdd-cba530b5bb5e</v>
    <v>en-US</v>
    <v>Map</v>
  </rv>
  <rv s="0">
    <v>536870912</v>
    <v>Entre Ríos Province</v>
    <v>8f271891-a2e7-4452-b33a-32b209204098</v>
    <v>en-US</v>
    <v>Map</v>
  </rv>
  <rv s="0">
    <v>536870912</v>
    <v>Formosa Province</v>
    <v>2c10e13d-832d-d54f-08b1-364c9870d186</v>
    <v>en-US</v>
    <v>Map</v>
  </rv>
  <rv s="0">
    <v>536870912</v>
    <v>Jujuy Province</v>
    <v>4336eba8-fc73-200e-9d91-4273dd01d498</v>
    <v>en-US</v>
    <v>Map</v>
  </rv>
  <rv s="0">
    <v>536870912</v>
    <v>La Pampa Province</v>
    <v>44de277d-e840-a824-59d9-b6a9740aba03</v>
    <v>en-US</v>
    <v>Map</v>
  </rv>
  <rv s="0">
    <v>536870912</v>
    <v>La Rioja Province, Argentina</v>
    <v>dac821c4-934d-98a0-3515-ecf294d05f34</v>
    <v>en-US</v>
    <v>Map</v>
  </rv>
  <rv s="0">
    <v>536870912</v>
    <v>Mendoza Province</v>
    <v>67d55d79-bbf5-f1ea-b2b6-9eaf7f8cbf5c</v>
    <v>en-US</v>
    <v>Map</v>
  </rv>
  <rv s="0">
    <v>536870912</v>
    <v>Misiones Province</v>
    <v>b5dd089e-a58d-3344-220d-67d53fbe2b62</v>
    <v>en-US</v>
    <v>Map</v>
  </rv>
  <rv s="0">
    <v>536870912</v>
    <v>Neuquén Province</v>
    <v>bf5efd04-a076-eedb-ad38-b133bbf30276</v>
    <v>en-US</v>
    <v>Map</v>
  </rv>
  <rv s="0">
    <v>536870912</v>
    <v>Río Negro Province</v>
    <v>d2c8f222-11b8-dd86-e0ab-8d14cb406edc</v>
    <v>en-US</v>
    <v>Map</v>
  </rv>
  <rv s="0">
    <v>536870912</v>
    <v>Salta Province</v>
    <v>f6ae2fbd-0520-148c-3526-8bf23d36cb82</v>
    <v>en-US</v>
    <v>Map</v>
  </rv>
  <rv s="0">
    <v>536870912</v>
    <v>San Juan Province, Argentina</v>
    <v>17fa2e93-239c-11e6-f03e-d1c2f5cce2fe</v>
    <v>en-US</v>
    <v>Map</v>
  </rv>
  <rv s="0">
    <v>536870912</v>
    <v>San Luis Province</v>
    <v>5bdf188c-b213-ac45-dd24-12759c1ef35f</v>
    <v>en-US</v>
    <v>Map</v>
  </rv>
  <rv s="0">
    <v>536870912</v>
    <v>Santa Cruz Province, Argentina</v>
    <v>33b38460-8bb6-75dd-5a16-ccfffb6378dc</v>
    <v>en-US</v>
    <v>Map</v>
  </rv>
  <rv s="0">
    <v>536870912</v>
    <v>Santa Fe Province</v>
    <v>7e0bc671-7ee3-bfe7-3fbf-0780b251b2f6</v>
    <v>en-US</v>
    <v>Map</v>
  </rv>
  <rv s="0">
    <v>536870912</v>
    <v>Santiago del Estero Province</v>
    <v>ec88ec56-2be0-4304-ab71-391ce9c013de</v>
    <v>en-US</v>
    <v>Map</v>
  </rv>
  <rv s="0">
    <v>536870912</v>
    <v>Tierra del Fuego Province, Argentina</v>
    <v>3bb8cbb1-ced9-fc53-1bf4-d1685a3435ea</v>
    <v>en-US</v>
    <v>Map</v>
  </rv>
  <rv s="0">
    <v>536870912</v>
    <v>Tucumán Province</v>
    <v>4f81112c-c69e-b6cc-2acc-73c36fc9a0aa</v>
    <v>en-US</v>
    <v>Map</v>
  </rv>
  <rv s="0">
    <v>536870912</v>
    <v>Chubut Province</v>
    <v>893cfb2e-6128-06e8-d927-6cdee06773f8</v>
    <v>en-US</v>
    <v>Map</v>
  </rv>
  <rv s="3">
    <v>166</v>
  </rv>
  <rv s="1">
    <fb>0.10087499305375699</fb>
    <v>23</v>
  </rv>
  <rv s="3">
    <v>167</v>
  </rv>
  <rv s="1">
    <fb>1.0629999999999999</fb>
    <v>23</v>
  </rv>
  <rv s="1">
    <fb>9.7889995574951205E-2</fb>
    <v>31</v>
  </rv>
  <rv s="1">
    <fb>41339571</fb>
    <v>24</v>
  </rv>
  <rv s="5">
    <v>#VALUE!</v>
    <v>en-US</v>
    <v>87153d87-9bb0-166a-3d56-613bdc274e1b</v>
    <v>536870912</v>
    <v>1</v>
    <v>396</v>
    <v>17</v>
    <v>Argentina</v>
    <v>19</v>
    <v>20</v>
    <v>Map</v>
    <v>21</v>
    <v>397</v>
    <v>AR</v>
    <v>2772</v>
    <v>2773</v>
    <v>2774</v>
    <v>2775</v>
    <v>2776</v>
    <v>2777</v>
    <v>2778</v>
    <v>2779</v>
    <v>2780</v>
    <v>ARS</v>
    <v>Argentina, officially the Argentine Republic, is a country in the southern half of South America. It covers an area of 2,780,085 km², making it the second-largest country in South America after Brazil, the fourth-largest country in the Americas, ...</v>
    <v>2781</v>
    <v>2782</v>
    <v>2783</v>
    <v>2784</v>
    <v>2785</v>
    <v>2786</v>
    <v>2787</v>
    <v>2788</v>
    <v>2789</v>
    <v>2790</v>
    <v>2777</v>
    <v>2793</v>
    <v>2794</v>
    <v>2795</v>
    <v>2796</v>
    <v>2797</v>
    <v>2798</v>
    <v>Argentina</v>
    <v>Argentine National Anthem</v>
    <v>2799</v>
    <v>República Argentina</v>
    <v>2800</v>
    <v>2801</v>
    <v>2802</v>
    <v>2745</v>
    <v>2504</v>
    <v>2803</v>
    <v>425</v>
    <v>452</v>
    <v>698</v>
    <v>308</v>
    <v>2804</v>
    <v>2828</v>
    <v>2829</v>
    <v>2830</v>
    <v>2831</v>
    <v>2832</v>
    <v>Argentina</v>
    <v>2833</v>
    <v>mdp/vdpid/11</v>
  </rv>
  <rv s="0">
    <v>536870912</v>
    <v>Czech Republic</v>
    <v>fad646aa-8363-3101-5672-40c77f3e5f2e</v>
    <v>en-US</v>
    <v>Map</v>
  </rv>
  <rv s="1">
    <fb>0.45182595182595198</fb>
    <v>23</v>
  </rv>
  <rv s="1">
    <fb>78866</fb>
    <v>24</v>
  </rv>
  <rv s="1">
    <fb>10.7</fb>
    <v>25</v>
  </rv>
  <rv s="1">
    <fb>420</fb>
    <v>26</v>
  </rv>
  <rv s="0">
    <v>536870912</v>
    <v>Prague</v>
    <v>a3446df9-1e81-03b1-d08c-0593eead811a</v>
    <v>en-US</v>
    <v>Map</v>
  </rv>
  <rv s="1">
    <fb>102217.625</fb>
    <v>24</v>
  </rv>
  <rv s="1">
    <fb>116.47554201756</fb>
    <v>27</v>
  </rv>
  <rv s="1">
    <fb>2.8478759591804698E-2</fb>
    <v>23</v>
  </rv>
  <rv s="1">
    <fb>6258.8910370365902</fb>
    <v>24</v>
  </rv>
  <rv s="1">
    <fb>1.69</fb>
    <v>25</v>
  </rv>
  <rv s="1">
    <fb>0.34563584563584598</fb>
    <v>23</v>
  </rv>
  <rv s="1">
    <fb>77.734587058078404</fb>
    <v>28</v>
  </rv>
  <rv s="1">
    <fb>1.17</fb>
    <v>29</v>
  </rv>
  <rv s="1">
    <fb>246489245494.88199</fb>
    <v>30</v>
  </rv>
  <rv s="1">
    <fb>1.0067098999999999</fb>
    <v>23</v>
  </rv>
  <rv s="1">
    <fb>0.64078689999999994</fb>
    <v>23</v>
  </rv>
  <rv s="2">
    <v>79</v>
    <v>21</v>
    <v>399</v>
    <v>7</v>
    <v>0</v>
    <v>Image of Czech Republic</v>
  </rv>
  <rv s="0">
    <v>805306368</v>
    <v>Petr Pavel (President)</v>
    <v>d133c401-15a5-39bf-10bf-1972348f28d4</v>
    <v>en-US</v>
    <v>Generic</v>
  </rv>
  <rv s="0">
    <v>805306368</v>
    <v>Petr Fiala (Prime minister)</v>
    <v>94c5e109-309a-4d02-82a1-0a375d38ebb6</v>
    <v>en-US</v>
    <v>Generic</v>
  </rv>
  <rv s="3">
    <v>168</v>
  </rv>
  <rv s="4">
    <v>https://www.bing.com/search?q=czech+republic&amp;form=skydnc</v>
    <v>Learn more on Bing</v>
  </rv>
  <rv s="1">
    <fb>78.978048780487796</fb>
    <v>28</v>
  </rv>
  <rv s="1">
    <fb>40912350000</fb>
    <v>30</v>
  </rv>
  <rv s="1">
    <fb>3</fb>
    <v>29</v>
  </rv>
  <rv s="3">
    <v>169</v>
  </rv>
  <rv s="1">
    <fb>0.14828394619999999</fb>
    <v>23</v>
  </rv>
  <rv s="1">
    <fb>4.1208</fb>
    <v>25</v>
  </rv>
  <rv s="1">
    <fb>10526073</fb>
    <v>24</v>
  </rv>
  <rv s="1">
    <fb>0.215</fb>
    <v>23</v>
  </rv>
  <rv s="1">
    <fb>0.35399999999999998</fb>
    <v>23</v>
  </rv>
  <rv s="1">
    <fb>0.17699999999999999</fb>
    <v>23</v>
  </rv>
  <rv s="1">
    <fb>0.605589981079102</fb>
    <v>23</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3">
    <v>170</v>
  </rv>
  <rv s="1">
    <fb>0.14886478136042899</fb>
    <v>23</v>
  </rv>
  <rv s="1">
    <fb>0.46100000000000002</fb>
    <v>23</v>
  </rv>
  <rv s="1">
    <fb>1.9329999685287501E-2</fb>
    <v>31</v>
  </rv>
  <rv s="1">
    <fb>7887156</fb>
    <v>24</v>
  </rv>
  <rv s="5">
    <v>#VALUE!</v>
    <v>en-US</v>
    <v>fad646aa-8363-3101-5672-40c77f3e5f2e</v>
    <v>536870912</v>
    <v>1</v>
    <v>402</v>
    <v>17</v>
    <v>Czech Republic</v>
    <v>19</v>
    <v>20</v>
    <v>Map</v>
    <v>21</v>
    <v>403</v>
    <v>CZ</v>
    <v>2836</v>
    <v>2837</v>
    <v>2293</v>
    <v>2838</v>
    <v>2839</v>
    <v>2840</v>
    <v>2841</v>
    <v>2842</v>
    <v>2843</v>
    <v>CZK</v>
    <v>The Czech Republic, also known as Czechia, and historically known as Bohemia, is a landlocked country in Central Europe. The country is bordered by Austria to the south, Germany to the west, Poland to the northeast, and Slovakia to the ...</v>
    <v>2844</v>
    <v>2845</v>
    <v>2846</v>
    <v>2847</v>
    <v>2848</v>
    <v>2849</v>
    <v>2850</v>
    <v>2851</v>
    <v>2852</v>
    <v>2731</v>
    <v>2840</v>
    <v>2855</v>
    <v>2856</v>
    <v>2857</v>
    <v>2858</v>
    <v>2257</v>
    <v>2859</v>
    <v>Czech Republic</v>
    <v>Kde domov můj</v>
    <v>2860</v>
    <v>Česká republika</v>
    <v>2861</v>
    <v>2862</v>
    <v>2863</v>
    <v>2022</v>
    <v>2864</v>
    <v>2865</v>
    <v>122</v>
    <v>266</v>
    <v>235</v>
    <v>2866</v>
    <v>2867</v>
    <v>2874</v>
    <v>2875</v>
    <v>2687</v>
    <v>2876</v>
    <v>2877</v>
    <v>Czech Republic</v>
    <v>2878</v>
    <v>mdp/vdpid/75</v>
  </rv>
  <rv s="1">
    <fb>496.21</fb>
    <v>24</v>
  </rv>
  <rv s="0">
    <v>536870912</v>
    <v>Austria-Hungary</v>
    <v>09b8630d-3ac1-93e8-a27e-b8a55de26a17</v>
    <v>en-US</v>
    <v>Map</v>
  </rv>
  <rv s="2">
    <v>80</v>
    <v>21</v>
    <v>404</v>
    <v>7</v>
    <v>0</v>
    <v>Image of Prague</v>
  </rv>
  <rv s="0">
    <v>805306368</v>
    <v>Bohuslav Svoboda (Mayor)</v>
    <v>d22dc65d-617c-120b-8290-4e1215938b85</v>
    <v>en-US</v>
    <v>Generic</v>
  </rv>
  <rv s="3">
    <v>171</v>
  </rv>
  <rv s="4">
    <v>https://www.bing.com/search?q=prague+czech+republic&amp;form=skydnc</v>
    <v>Learn more on Bing</v>
  </rv>
  <rv s="1">
    <fb>1357326</fb>
    <v>24</v>
  </rv>
  <rv s="24">
    <v>#VALUE!</v>
    <v>en-US</v>
    <v>a3446df9-1e81-03b1-d08c-0593eead811a</v>
    <v>536870912</v>
    <v>1</v>
    <v>406</v>
    <v>363</v>
    <v>Prague</v>
    <v>19</v>
    <v>20</v>
    <v>Map</v>
    <v>21</v>
    <v>165</v>
    <v>CZ-10</v>
    <v>2880</v>
    <v>2881</v>
    <v>Prague is the capital and largest city of the Czech Republic and the historical capital of Bohemia. Situated on the Vltava river, Prague is home to about 1.4 million people. Prague is a political, cultural, and economic hub of Central Europe, ...</v>
    <v>2882</v>
    <v>2884</v>
    <v>2885</v>
    <v>Prague</v>
    <v>2886</v>
    <v>1037</v>
    <v>Prague</v>
    <v>mdp/vdpid/9446826</v>
  </rv>
  <rv s="0">
    <v>536870912</v>
    <v>Slovakia</v>
    <v>edb4720a-f85f-2ef3-4669-e9de895513b0</v>
    <v>en-US</v>
    <v>Map</v>
  </rv>
  <rv s="1">
    <fb>0.39226289517470903</fb>
    <v>23</v>
  </rv>
  <rv s="1">
    <fb>49035</fb>
    <v>24</v>
  </rv>
  <rv s="1">
    <fb>16000</fb>
    <v>24</v>
  </rv>
  <rv s="1">
    <fb>421</fb>
    <v>26</v>
  </rv>
  <rv s="0">
    <v>536870912</v>
    <v>Bratislava</v>
    <v>58b70fde-dfcf-1beb-05ed-c5baeec68486</v>
    <v>en-US</v>
    <v>Map</v>
  </rv>
  <rv s="1">
    <fb>32423.614000000001</fb>
    <v>24</v>
  </rv>
  <rv s="1">
    <fb>115.338987748767</fb>
    <v>27</v>
  </rv>
  <rv s="1">
    <fb>2.6645613342544297E-2</fb>
    <v>23</v>
  </rv>
  <rv s="1">
    <fb>5137.0738351939799</fb>
    <v>24</v>
  </rv>
  <rv s="1">
    <fb>0.40353576355488302</fb>
    <v>23</v>
  </rv>
  <rv s="1">
    <fb>64.091495098880202</fb>
    <v>28</v>
  </rv>
  <rv s="1">
    <fb>1.32</fb>
    <v>29</v>
  </rv>
  <rv s="1">
    <fb>105422304975.576</fb>
    <v>30</v>
  </rv>
  <rv s="1">
    <fb>0.98732050000000005</fb>
    <v>23</v>
  </rv>
  <rv s="1">
    <fb>0.46634390000000003</fb>
    <v>23</v>
  </rv>
  <rv s="2">
    <v>81</v>
    <v>21</v>
    <v>408</v>
    <v>7</v>
    <v>0</v>
    <v>Image of Slovakia</v>
  </rv>
  <rv s="1">
    <fb>4.5999999999999996</fb>
    <v>28</v>
  </rv>
  <rv s="0">
    <v>805306368</v>
    <v>Peter Pellegrini (President)</v>
    <v>f629decd-819c-5335-3056-a303e967b3ef</v>
    <v>en-US</v>
    <v>Generic</v>
  </rv>
  <rv s="0">
    <v>805306368</v>
    <v>Robert Fico (Prime minister)</v>
    <v>8e083165-c1e0-fe2d-8b3f-c60ab5f7ccbc</v>
    <v>en-US</v>
    <v>Generic</v>
  </rv>
  <rv s="3">
    <v>172</v>
  </rv>
  <rv s="4">
    <v>https://www.bing.com/search?q=slovakia&amp;form=skydnc</v>
    <v>Learn more on Bing</v>
  </rv>
  <rv s="1">
    <fb>77.165853658536605</fb>
    <v>28</v>
  </rv>
  <rv s="1">
    <fb>4801320000</fb>
    <v>30</v>
  </rv>
  <rv s="1">
    <fb>3.11</fb>
    <v>29</v>
  </rv>
  <rv s="3">
    <v>173</v>
  </rv>
  <rv s="1">
    <fb>0.18443573520000001</fb>
    <v>23</v>
  </rv>
  <rv s="1">
    <fb>3.4156</fb>
    <v>25</v>
  </rv>
  <rv s="1">
    <fb>5431752</fb>
    <v>24</v>
  </rv>
  <rv s="1">
    <fb>0.19</fb>
    <v>23</v>
  </rv>
  <rv s="1">
    <fb>0.59541000366210906</fb>
    <v>23</v>
  </rv>
  <rv s="0">
    <v>536870912</v>
    <v>Bratislava Region</v>
    <v>e637bf19-eeaa-4459-9caf-f56123dbf175</v>
    <v>en-US</v>
    <v>Map</v>
  </rv>
  <rv s="0">
    <v>536870912</v>
    <v>Trnava Region</v>
    <v>4f2bb7cb-6583-4c39-9bf0-d4e3bb63dc18</v>
    <v>en-US</v>
    <v>Map</v>
  </rv>
  <rv s="0">
    <v>536870912</v>
    <v>Nitra Region</v>
    <v>d1ead58e-466d-468e-a927-7b14d511bee9</v>
    <v>en-US</v>
    <v>Map</v>
  </rv>
  <rv s="0">
    <v>536870912</v>
    <v>Trenčín Region</v>
    <v>20297534-639a-464f-90d3-81da4026bd2b</v>
    <v>en-US</v>
    <v>Map</v>
  </rv>
  <rv s="0">
    <v>536870912</v>
    <v>Žilina Region</v>
    <v>712f0aa7-5c71-4ca0-b231-743ce5252eb2</v>
    <v>en-US</v>
    <v>Map</v>
  </rv>
  <rv s="0">
    <v>536870912</v>
    <v>Banská Bystrica Region</v>
    <v>2e442f08-059f-48a2-8f6e-cbe382c50935</v>
    <v>en-US</v>
    <v>Map</v>
  </rv>
  <rv s="0">
    <v>536870912</v>
    <v>Košice Region</v>
    <v>d93306fe-d07e-40fc-876e-e0ebf15d5b24</v>
    <v>en-US</v>
    <v>Map</v>
  </rv>
  <rv s="0">
    <v>536870912</v>
    <v>Prešov Region</v>
    <v>9ed1d64f-c597-423c-8a57-6c255167c0ef</v>
    <v>en-US</v>
    <v>Map</v>
  </rv>
  <rv s="3">
    <v>174</v>
  </rv>
  <rv s="1">
    <fb>0.18701973520562698</fb>
    <v>23</v>
  </rv>
  <rv s="1">
    <fb>0.49700000000000005</fb>
    <v>23</v>
  </rv>
  <rv s="1">
    <fb>5.56099987030029E-2</fb>
    <v>31</v>
  </rv>
  <rv s="1">
    <fb>2930419</fb>
    <v>24</v>
  </rv>
  <rv s="5">
    <v>#VALUE!</v>
    <v>en-US</v>
    <v>edb4720a-f85f-2ef3-4669-e9de895513b0</v>
    <v>536870912</v>
    <v>1</v>
    <v>411</v>
    <v>17</v>
    <v>Slovakia</v>
    <v>19</v>
    <v>20</v>
    <v>Map</v>
    <v>21</v>
    <v>412</v>
    <v>SK</v>
    <v>2889</v>
    <v>2890</v>
    <v>2891</v>
    <v>2072</v>
    <v>2892</v>
    <v>2893</v>
    <v>2894</v>
    <v>2895</v>
    <v>2896</v>
    <v>EUR</v>
    <v>Slovakia, officially the Slovak Republic, is a landlocked country in Central Europe. It is bordered by Poland to the north, Ukraine to the east, Hungary to the south, Austria to the west, and the Czech Republic to the northwest. Slovakia's ...</v>
    <v>2897</v>
    <v>1765</v>
    <v>2898</v>
    <v>2899</v>
    <v>2900</v>
    <v>2901</v>
    <v>2902</v>
    <v>2903</v>
    <v>2904</v>
    <v>2905</v>
    <v>2893</v>
    <v>2908</v>
    <v>2909</v>
    <v>2910</v>
    <v>2911</v>
    <v>1077</v>
    <v>2912</v>
    <v>Slovakia</v>
    <v>Nad Tatrou sa blýska</v>
    <v>2913</v>
    <v>Slovenská republika</v>
    <v>2914</v>
    <v>2915</v>
    <v>2916</v>
    <v>2745</v>
    <v>1582</v>
    <v>1277</v>
    <v>276</v>
    <v>2680</v>
    <v>665</v>
    <v>2917</v>
    <v>2918</v>
    <v>2927</v>
    <v>2928</v>
    <v>1210</v>
    <v>2929</v>
    <v>2930</v>
    <v>Slovakia</v>
    <v>2931</v>
    <v>mdp/vdpid/143</v>
  </rv>
  <rv s="0">
    <v>536870912</v>
    <v>Turkey</v>
    <v>fbfb6418-e8cf-0d18-8b81-28d0fcccda7c</v>
    <v>en-US</v>
    <v>Map</v>
  </rv>
  <rv s="1">
    <fb>0.49799254187076897</fb>
    <v>23</v>
  </rv>
  <rv s="1">
    <fb>783562</fb>
    <v>24</v>
  </rv>
  <rv s="1">
    <fb>512000</fb>
    <v>24</v>
  </rv>
  <rv s="1">
    <fb>16.027000000000001</fb>
    <v>25</v>
  </rv>
  <rv s="1">
    <fb>90</fb>
    <v>26</v>
  </rv>
  <rv s="0">
    <v>536870912</v>
    <v>Ankara</v>
    <v>85c37289-d0cf-bf9c-89e0-a375b7d3c4e7</v>
    <v>en-US</v>
    <v>Map</v>
  </rv>
  <rv s="1">
    <fb>372724.88099999999</fb>
    <v>24</v>
  </rv>
  <rv s="1">
    <fb>234.437126307922</fb>
    <v>27</v>
  </rv>
  <rv s="1">
    <fb>0.151768215720023</fb>
    <v>23</v>
  </rv>
  <rv s="1">
    <fb>2847.1263826231798</fb>
    <v>24</v>
  </rv>
  <rv s="1">
    <fb>2.069</fb>
    <v>25</v>
  </rv>
  <rv s="1">
    <fb>0.15354651443713199</fb>
    <v>23</v>
  </rv>
  <rv s="1">
    <fb>86.843187660707997</fb>
    <v>28</v>
  </rv>
  <rv s="1">
    <fb>754411708202.61597</fb>
    <v>30</v>
  </rv>
  <rv s="1">
    <fb>0.93154979999999998</fb>
    <v>23</v>
  </rv>
  <rv s="1">
    <fb>0.2386259</fb>
    <v>23</v>
  </rv>
  <rv s="2">
    <v>82</v>
    <v>21</v>
    <v>414</v>
    <v>7</v>
    <v>0</v>
    <v>Image of Turkey</v>
  </rv>
  <rv s="1">
    <fb>9.1</fb>
    <v>28</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Kadir Özkaya (Chief justice)</v>
    <v>3a615135-4ad8-579e-206c-5d50e9aa366a</v>
    <v>en-US</v>
    <v>Generic</v>
  </rv>
  <rv s="3">
    <v>175</v>
  </rv>
  <rv s="4">
    <v>https://www.bing.com/search?q=turkey&amp;form=skydnc</v>
    <v>Learn more on Bing</v>
  </rv>
  <rv s="1">
    <fb>77.436999999999998</fb>
    <v>28</v>
  </rv>
  <rv s="1">
    <fb>184966060000</fb>
    <v>30</v>
  </rv>
  <rv s="1">
    <fb>3.45</fb>
    <v>29</v>
  </rv>
  <rv s="3">
    <v>176</v>
  </rv>
  <rv s="1">
    <fb>0.16948329139999999</fb>
    <v>23</v>
  </rv>
  <rv s="1">
    <fb>1.8492</fb>
    <v>25</v>
  </rv>
  <rv s="1">
    <fb>85341241</fb>
    <v>24</v>
  </rv>
  <rv s="1">
    <fb>0.32600000000000001</fb>
    <v>23</v>
  </rv>
  <rv s="1">
    <fb>0.48499999999999999</fb>
    <v>23</v>
  </rv>
  <rv s="1">
    <fb>0.14499999999999999</fb>
    <v>23</v>
  </rv>
  <rv s="1">
    <fb>0.52828998565673801</fb>
    <v>23</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177</v>
  </rv>
  <rv s="1">
    <fb>0.178640331232954</fb>
    <v>23</v>
  </rv>
  <rv s="3">
    <v>178</v>
  </rv>
  <rv s="1">
    <fb>0.42299999999999999</fb>
    <v>23</v>
  </rv>
  <rv s="1">
    <fb>0.134899997711182</fb>
    <v>31</v>
  </rv>
  <rv s="1">
    <fb>63097818</fb>
    <v>24</v>
  </rv>
  <rv s="5">
    <v>#VALUE!</v>
    <v>en-US</v>
    <v>fbfb6418-e8cf-0d18-8b81-28d0fcccda7c</v>
    <v>536870912</v>
    <v>1</v>
    <v>417</v>
    <v>17</v>
    <v>Turkey</v>
    <v>19</v>
    <v>20</v>
    <v>Map</v>
    <v>21</v>
    <v>418</v>
    <v>TR</v>
    <v>2934</v>
    <v>2935</v>
    <v>2936</v>
    <v>2937</v>
    <v>2938</v>
    <v>2939</v>
    <v>2940</v>
    <v>2941</v>
    <v>2942</v>
    <v>TRL</v>
    <v>Turkey, officially the Republic of Türkiye, is a country mainly located in Anatolia in West Asia, with a relatively small part called East Thrace in Southeast Europe. It borders the Black Sea to the north; Georgia, Armenia, Azerbaijan, and Iran ...</v>
    <v>2943</v>
    <v>2944</v>
    <v>2945</v>
    <v>2946</v>
    <v>1698</v>
    <v>2947</v>
    <v>2948</v>
    <v>2949</v>
    <v>2950</v>
    <v>2951</v>
    <v>2952</v>
    <v>2956</v>
    <v>2957</v>
    <v>2958</v>
    <v>2959</v>
    <v>1920</v>
    <v>2960</v>
    <v>Turkey</v>
    <v>İstiklal Marşı</v>
    <v>2961</v>
    <v>Türkiye Cumhuriyeti</v>
    <v>2962</v>
    <v>2963</v>
    <v>2964</v>
    <v>202</v>
    <v>2965</v>
    <v>2966</v>
    <v>311</v>
    <v>511</v>
    <v>620</v>
    <v>2967</v>
    <v>2968</v>
    <v>3050</v>
    <v>3051</v>
    <v>3052</v>
    <v>3053</v>
    <v>3054</v>
    <v>Turkey</v>
    <v>3055</v>
    <v>mdp/vdpid/235</v>
  </rv>
  <rv s="0">
    <v>536870912</v>
    <v>Ukraine</v>
    <v>ad599477-9e6d-4a0e-bab5-0edf9db7115a</v>
    <v>en-US</v>
    <v>Map</v>
  </rv>
  <rv s="1">
    <fb>0.71665314436637995</fb>
    <v>23</v>
  </rv>
  <rv s="1">
    <fb>603550</fb>
    <v>24</v>
  </rv>
  <rv s="1">
    <fb>297000</fb>
    <v>24</v>
  </rv>
  <rv s="1">
    <fb>8.6999999999999993</fb>
    <v>25</v>
  </rv>
  <rv s="1">
    <fb>380</fb>
    <v>26</v>
  </rv>
  <rv s="0">
    <v>536870912</v>
    <v>Kyiv</v>
    <v>79c78723-042d-4572-bc87-599fa1203134</v>
    <v>en-US</v>
    <v>Map</v>
  </rv>
  <rv s="1">
    <fb>202249.71799999999</fb>
    <v>24</v>
  </rv>
  <rv s="1">
    <fb>281.658595641646</fb>
    <v>27</v>
  </rv>
  <rv s="1">
    <fb>7.8867174561113002E-2</fb>
    <v>23</v>
  </rv>
  <rv s="1">
    <fb>3418.56924154441</fb>
    <v>24</v>
  </rv>
  <rv s="1">
    <fb>1.3009999999999999</fb>
    <v>25</v>
  </rv>
  <rv s="1">
    <fb>0.167080388142165</fb>
    <v>23</v>
  </rv>
  <rv s="1">
    <fb>75.3495057807649</fb>
    <v>28</v>
  </rv>
  <rv s="1">
    <fb>0.83</fb>
    <v>29</v>
  </rv>
  <rv s="1">
    <fb>153781069118.14801</fb>
    <v>30</v>
  </rv>
  <rv s="1">
    <fb>0.99040940000000011</fb>
    <v>23</v>
  </rv>
  <rv s="1">
    <fb>0.82671180000000011</fb>
    <v>23</v>
  </rv>
  <rv s="2">
    <v>83</v>
    <v>21</v>
    <v>420</v>
    <v>7</v>
    <v>0</v>
    <v>Image of Ukraine</v>
  </rv>
  <rv s="1">
    <fb>7.5</fb>
    <v>28</v>
  </rv>
  <rv s="0">
    <v>805306368</v>
    <v>Volodymyr Zelenskyy (President)</v>
    <v>9bae3411-f7b7-35a0-00a8-57f94c361da9</v>
    <v>en-US</v>
    <v>Generic</v>
  </rv>
  <rv s="0">
    <v>805306368</v>
    <v>Denys Shmyhal (Prime minister)</v>
    <v>be5cbc70-24e7-afe9-a0b1-49d91b73bd1a</v>
    <v>en-US</v>
    <v>Generic</v>
  </rv>
  <rv s="0">
    <v>805306368</v>
    <v>Ruslan Stefanchuk (Chairman)</v>
    <v>f285b81d-480f-2679-16cf-096a649d7b5e</v>
    <v>en-US</v>
    <v>Generic</v>
  </rv>
  <rv s="3">
    <v>179</v>
  </rv>
  <rv s="4">
    <v>https://www.bing.com/search?q=ukraine&amp;form=skydnc</v>
    <v>Learn more on Bing</v>
  </rv>
  <rv s="1">
    <fb>71.582682926829307</fb>
    <v>28</v>
  </rv>
  <rv s="1">
    <fb>4415440000</fb>
    <v>30</v>
  </rv>
  <rv s="1">
    <fb>0.84</fb>
    <v>29</v>
  </rv>
  <rv s="3">
    <v>180</v>
  </rv>
  <rv s="1">
    <fb>0.47811215909999999</fb>
    <v>23</v>
  </rv>
  <rv s="1">
    <fb>2.9923000000000002</fb>
    <v>25</v>
  </rv>
  <rv s="1">
    <fb>38000000</fb>
    <v>24</v>
  </rv>
  <rv s="1">
    <fb>0.36099999999999999</fb>
    <v>23</v>
  </rv>
  <rv s="1">
    <fb>0.54151000976562502</fb>
    <v>23</v>
  </rv>
  <rv s="0">
    <v>536870912</v>
    <v>Cherkasy Oblast</v>
    <v>c9976b82-1310-ef4d-b0c9-a9afe6a1007f</v>
    <v>en-US</v>
    <v>Map</v>
  </rv>
  <rv s="0">
    <v>536870912</v>
    <v>Chernihiv Oblast</v>
    <v>4d3c108d-9f83-97bb-6c45-e5206908c9ba</v>
    <v>en-US</v>
    <v>Map</v>
  </rv>
  <rv s="0">
    <v>536870912</v>
    <v>Chernivtsi Oblast</v>
    <v>2b816ee4-0e8d-8ada-257c-6b9b23a72ad0</v>
    <v>en-US</v>
    <v>Map</v>
  </rv>
  <rv s="0">
    <v>536870912</v>
    <v>Dnipropetrovsk Oblast</v>
    <v>83b98499-16b8-bb03-d593-dd4bdf6eca84</v>
    <v>en-US</v>
    <v>Map</v>
  </rv>
  <rv s="0">
    <v>536870912</v>
    <v>Donetsk Oblast</v>
    <v>66af6664-7bd4-318e-e6c4-a5eba1b797fa</v>
    <v>en-US</v>
    <v>Map</v>
  </rv>
  <rv s="0">
    <v>536870912</v>
    <v>Ivano-Frankivsk Oblast</v>
    <v>5ab8bbed-4d8c-3a6e-ce49-db79ef72183f</v>
    <v>en-US</v>
    <v>Map</v>
  </rv>
  <rv s="0">
    <v>536870912</v>
    <v>Kharkiv Oblast</v>
    <v>80a0fd15-8a6f-05e0-ef8e-3ac5b137b76c</v>
    <v>en-US</v>
    <v>Map</v>
  </rv>
  <rv s="0">
    <v>536870912</v>
    <v>Kherson Oblast</v>
    <v>3d03caa9-910c-b257-2449-cb94ef57e497</v>
    <v>en-US</v>
    <v>Map</v>
  </rv>
  <rv s="0">
    <v>536870912</v>
    <v>Khmelnytskyi Oblast</v>
    <v>d8d2d1e1-25b5-cc8e-95a9-dd2af8f5b7a7</v>
    <v>en-US</v>
    <v>Map</v>
  </rv>
  <rv s="0">
    <v>536870912</v>
    <v>Kyiv Oblast</v>
    <v>4c971681-9dca-2885-9bc5-18f1d3b975b1</v>
    <v>en-US</v>
    <v>Map</v>
  </rv>
  <rv s="0">
    <v>536870912</v>
    <v>Kirovohrad Oblast</v>
    <v>ef8d4608-76c2-a832-264e-4cf51a0c5dbd</v>
    <v>en-US</v>
    <v>Map</v>
  </rv>
  <rv s="0">
    <v>536870912</v>
    <v>Luhansk Oblast</v>
    <v>cccfd56b-f7a9-dd2a-d268-68084adf28b4</v>
    <v>en-US</v>
    <v>Map</v>
  </rv>
  <rv s="0">
    <v>536870912</v>
    <v>Lviv Oblast</v>
    <v>aa5637b1-7fe1-a3c0-42df-6616eb84675a</v>
    <v>en-US</v>
    <v>Map</v>
  </rv>
  <rv s="0">
    <v>536870912</v>
    <v>Mykolaiv Oblast</v>
    <v>11f87280-610e-7272-da94-5f8890fcf23d</v>
    <v>en-US</v>
    <v>Map</v>
  </rv>
  <rv s="0">
    <v>536870912</v>
    <v>Odesa Oblast</v>
    <v>ab1bf172-10d2-6650-704b-07f524561e0c</v>
    <v>en-US</v>
    <v>Map</v>
  </rv>
  <rv s="0">
    <v>536870912</v>
    <v>Poltava Oblast</v>
    <v>e5ca22a5-cbe2-e9f8-df2a-c271030dccc7</v>
    <v>en-US</v>
    <v>Map</v>
  </rv>
  <rv s="0">
    <v>536870912</v>
    <v>Rivne Oblast</v>
    <v>d6cdb68d-5af6-afd9-b456-affff06b0df7</v>
    <v>en-US</v>
    <v>Map</v>
  </rv>
  <rv s="0">
    <v>536870912</v>
    <v>Sumy Oblast</v>
    <v>f7532844-70f6-fa1d-38eb-23fd0dbcb818</v>
    <v>en-US</v>
    <v>Map</v>
  </rv>
  <rv s="0">
    <v>536870912</v>
    <v>Ternopil Oblast</v>
    <v>8546d368-622f-6499-3510-030c076e5f17</v>
    <v>en-US</v>
    <v>Map</v>
  </rv>
  <rv s="0">
    <v>536870912</v>
    <v>Vinnytsia Oblast</v>
    <v>f740bcec-499b-0dee-db2b-31a5e212bb43</v>
    <v>en-US</v>
    <v>Map</v>
  </rv>
  <rv s="0">
    <v>536870912</v>
    <v>Volyn Oblast</v>
    <v>0e1b7fc3-81cf-e44d-b558-4f6a739d4ab5</v>
    <v>en-US</v>
    <v>Map</v>
  </rv>
  <rv s="0">
    <v>536870912</v>
    <v>Zakarpattia Oblast</v>
    <v>2b40bf9f-f59e-2eda-4e2c-ab42a853d304</v>
    <v>en-US</v>
    <v>Map</v>
  </rv>
  <rv s="0">
    <v>536870912</v>
    <v>Zaporizhzhia Oblast</v>
    <v>cfdae36e-e003-7dea-83b3-d9f416b99469</v>
    <v>en-US</v>
    <v>Map</v>
  </rv>
  <rv s="0">
    <v>536870912</v>
    <v>Zhytomyr Oblast</v>
    <v>8a86953e-fa05-4b29-ba68-763eb4012703</v>
    <v>en-US</v>
    <v>Map</v>
  </rv>
  <rv s="0">
    <v>536870912</v>
    <v>Autonomous Republic of Crimea</v>
    <v>79c3dba3-7806-419d-9763-6a5bc8e8e810</v>
    <v>en-US</v>
    <v>Map</v>
  </rv>
  <rv s="3">
    <v>181</v>
  </rv>
  <rv s="1">
    <fb>0.201408893342575</fb>
    <v>23</v>
  </rv>
  <rv s="3">
    <v>182</v>
  </rv>
  <rv s="1">
    <fb>0.45200000000000001</fb>
    <v>23</v>
  </rv>
  <rv s="1">
    <fb>8.8819999694824195E-2</fb>
    <v>31</v>
  </rv>
  <rv s="1">
    <fb>30835699</fb>
    <v>24</v>
  </rv>
  <rv s="5">
    <v>#VALUE!</v>
    <v>en-US</v>
    <v>ad599477-9e6d-4a0e-bab5-0edf9db7115a</v>
    <v>536870912</v>
    <v>1</v>
    <v>423</v>
    <v>17</v>
    <v>Ukraine</v>
    <v>19</v>
    <v>20</v>
    <v>Map</v>
    <v>21</v>
    <v>424</v>
    <v>UA</v>
    <v>3058</v>
    <v>3059</v>
    <v>3060</v>
    <v>3061</v>
    <v>3062</v>
    <v>3063</v>
    <v>3064</v>
    <v>3065</v>
    <v>3066</v>
    <v>UAH</v>
    <v>Ukraine is a country in Eastern Europe. It is the second-largest country in Europe after Russia, which borders it to the east and northeast. Ukraine also borders Belarus to the north; Poland and Slovakia to the west; Hungary, Romania and Moldova ...</v>
    <v>3067</v>
    <v>3068</v>
    <v>3069</v>
    <v>3070</v>
    <v>3071</v>
    <v>3072</v>
    <v>3073</v>
    <v>3074</v>
    <v>3075</v>
    <v>3076</v>
    <v>3063</v>
    <v>3080</v>
    <v>3081</v>
    <v>3082</v>
    <v>3083</v>
    <v>29</v>
    <v>3084</v>
    <v>Ukraine</v>
    <v>National anthem of Ukraine</v>
    <v>3085</v>
    <v>Україна</v>
    <v>3086</v>
    <v>3087</v>
    <v>3088</v>
    <v>776</v>
    <v>2022</v>
    <v>3089</v>
    <v>122</v>
    <v>698</v>
    <v>125</v>
    <v>2448</v>
    <v>3090</v>
    <v>3116</v>
    <v>3117</v>
    <v>3118</v>
    <v>3119</v>
    <v>3120</v>
    <v>Ukraine</v>
    <v>3121</v>
    <v>mdp/vdpid/241</v>
  </rv>
  <rv s="0">
    <v>536870912</v>
    <v>Indonesia</v>
    <v>b4a5bd62-2259-21e3-4627-bf249ae6ee84</v>
    <v>en-US</v>
    <v>Map</v>
  </rv>
  <rv s="1">
    <fb>0.31464420364656098</fb>
    <v>23</v>
  </rv>
  <rv s="1">
    <fb>1904570</fb>
    <v>24</v>
  </rv>
  <rv s="1">
    <fb>676000</fb>
    <v>24</v>
  </rv>
  <rv s="1">
    <fb>18.071999999999999</fb>
    <v>25</v>
  </rv>
  <rv s="1">
    <fb>62</fb>
    <v>26</v>
  </rv>
  <rv s="0">
    <v>536870912</v>
    <v>Jakarta</v>
    <v>6261fc72-a172-5cdd-9c67-a7644a026c29</v>
    <v>en-US</v>
    <v>Map</v>
  </rv>
  <rv s="1">
    <fb>563324.54</fb>
    <v>24</v>
  </rv>
  <rv s="1">
    <fb>151.17667507135201</fb>
    <v>27</v>
  </rv>
  <rv s="1">
    <fb>3.0305866496949097E-2</fb>
    <v>23</v>
  </rv>
  <rv s="1">
    <fb>811.90690494758496</fb>
    <v>24</v>
  </rv>
  <rv s="1">
    <fb>2.3109999999999999</fb>
    <v>25</v>
  </rv>
  <rv s="1">
    <fb>0.49860398197419897</fb>
    <v>23</v>
  </rv>
  <rv s="1">
    <fb>66.089475456589</fb>
    <v>28</v>
  </rv>
  <rv s="1">
    <fb>0.63</fb>
    <v>29</v>
  </rv>
  <rv s="1">
    <fb>1119190780752.8</fb>
    <v>30</v>
  </rv>
  <rv s="1">
    <fb>1.0641081999999999</fb>
    <v>23</v>
  </rv>
  <rv s="1">
    <fb>0.3631104</fb>
    <v>23</v>
  </rv>
  <rv s="2">
    <v>84</v>
    <v>21</v>
    <v>426</v>
    <v>7</v>
    <v>0</v>
    <v>Image of Indonesia</v>
  </rv>
  <rv s="1">
    <fb>21.1</fb>
    <v>28</v>
  </rv>
  <rv s="0">
    <v>805306368</v>
    <v>Prabowo Subianto (President)</v>
    <v>0356dbb9-1da7-3c83-437a-0e7f85c9b902</v>
    <v>en-US</v>
    <v>Generic</v>
  </rv>
  <rv s="0">
    <v>805306368</v>
    <v>Gibran Rakabuming Raka (Vice president)</v>
    <v>014321a1-e983-74ac-d4a9-648e88776d13</v>
    <v>en-US</v>
    <v>Generic</v>
  </rv>
  <rv s="0">
    <v>805306368</v>
    <v>Puan Maharani (Speaker)</v>
    <v>bce5e50c-23e7-f796-fb15-4e7093b47fbe</v>
    <v>en-US</v>
    <v>Generic</v>
  </rv>
  <rv s="3">
    <v>183</v>
  </rv>
  <rv s="4">
    <v>https://www.bing.com/search?q=indonesia&amp;form=skydnc</v>
    <v>Learn more on Bing</v>
  </rv>
  <rv s="1">
    <fb>71.509</fb>
    <v>28</v>
  </rv>
  <rv s="1">
    <fb>523321860000</fb>
    <v>30</v>
  </rv>
  <rv s="1">
    <fb>177</fb>
    <v>28</v>
  </rv>
  <rv s="1">
    <fb>0.48</fb>
    <v>29</v>
  </rv>
  <rv s="3">
    <v>184</v>
  </rv>
  <rv s="1">
    <fb>0.48302203660000004</fb>
    <v>23</v>
  </rv>
  <rv s="1">
    <fb>0.4269</fb>
    <v>25</v>
  </rv>
  <rv s="1">
    <fb>275501339</fb>
    <v>24</v>
  </rv>
  <rv s="1">
    <fb>0.30399999999999999</fb>
    <v>23</v>
  </rv>
  <rv s="1">
    <fb>0.105</fb>
    <v>23</v>
  </rv>
  <rv s="1">
    <fb>0.14899999999999999</fb>
    <v>23</v>
  </rv>
  <rv s="1">
    <fb>0.67496002197265592</fb>
    <v>23</v>
  </rv>
  <rv s="0">
    <v>536870912</v>
    <v>Bali</v>
    <v>c4f6d9fa-e141-4316-1f4b-6dff75b71985</v>
    <v>en-US</v>
    <v>Map</v>
  </rv>
  <rv s="0">
    <v>536870912</v>
    <v>Bangka Belitung Islands</v>
    <v>3af40073-e8c1-5118-afe5-3cbc63eec4de</v>
    <v>en-US</v>
    <v>Map</v>
  </rv>
  <rv s="0">
    <v>536870912</v>
    <v>Banten</v>
    <v>b4e3eb01-c9fd-7eab-acf2-789027f22206</v>
    <v>en-US</v>
    <v>Map</v>
  </rv>
  <rv s="0">
    <v>536870912</v>
    <v>Bengkulu</v>
    <v>ca439385-218f-1525-c930-ce7acb910fd2</v>
    <v>en-US</v>
    <v>Map</v>
  </rv>
  <rv s="0">
    <v>536870912</v>
    <v>West Java</v>
    <v>931eb2be-2b48-b0ff-4997-05f06cf85b18</v>
    <v>en-US</v>
    <v>Map</v>
  </rv>
  <rv s="0">
    <v>536870912</v>
    <v>Central Java</v>
    <v>39b12ecc-e3fb-184d-0602-e36314b32c5d</v>
    <v>en-US</v>
    <v>Map</v>
  </rv>
  <rv s="0">
    <v>536870912</v>
    <v>East Java</v>
    <v>f76a129e-0160-9c71-d6b5-fb788a91af78</v>
    <v>en-US</v>
    <v>Map</v>
  </rv>
  <rv s="0">
    <v>536870912</v>
    <v>Riau Islands</v>
    <v>e3471e28-8f42-6ecf-4ccf-4698fdb6ba7b</v>
    <v>en-US</v>
    <v>Map</v>
  </rv>
  <rv s="0">
    <v>536870912</v>
    <v>Jambi</v>
    <v>f9f17551-f6f4-8e98-3914-364646c1f529</v>
    <v>en-US</v>
    <v>Map</v>
  </rv>
  <rv s="0">
    <v>536870912</v>
    <v>Central Kalimantan</v>
    <v>8d3f7094-f4c0-94dc-e426-1fcab06739ff</v>
    <v>en-US</v>
    <v>Map</v>
  </rv>
  <rv s="0">
    <v>536870912</v>
    <v>South Kalimantan</v>
    <v>d0e9b3fa-cc83-7afb-07e9-c2d457864e16</v>
    <v>en-US</v>
    <v>Map</v>
  </rv>
  <rv s="0">
    <v>536870912</v>
    <v>West Kalimantan</v>
    <v>5febf7f0-5901-95c6-deac-984325a2c927</v>
    <v>en-US</v>
    <v>Map</v>
  </rv>
  <rv s="0">
    <v>536870912</v>
    <v>East Kalimantan</v>
    <v>1c25ef68-f0fa-78fc-107b-520cea759d8a</v>
    <v>en-US</v>
    <v>Map</v>
  </rv>
  <rv s="0">
    <v>536870912</v>
    <v>Lampung</v>
    <v>c37bf0bc-29d7-8a9d-c9ca-5d41aeee72da</v>
    <v>en-US</v>
    <v>Map</v>
  </rv>
  <rv s="0">
    <v>536870912</v>
    <v>West Nusa Tenggara</v>
    <v>0407c75f-c808-9cce-028b-f2d85975e54a</v>
    <v>en-US</v>
    <v>Map</v>
  </rv>
  <rv s="0">
    <v>536870912</v>
    <v>East Nusa Tenggara</v>
    <v>0f9a80a8-52fa-396b-9da0-b9128a05870d</v>
    <v>en-US</v>
    <v>Map</v>
  </rv>
  <rv s="0">
    <v>536870912</v>
    <v>Gorontalo</v>
    <v>e2330abd-3509-8dcd-5446-d0bdb068233e</v>
    <v>en-US</v>
    <v>Map</v>
  </rv>
  <rv s="0">
    <v>536870912</v>
    <v>Maluku</v>
    <v>39a3c290-4f4b-b61e-f197-a09ae7642267</v>
    <v>en-US</v>
    <v>Map</v>
  </rv>
  <rv s="0">
    <v>536870912</v>
    <v>North Maluku</v>
    <v>4d1d7c2d-e3a4-666c-5b1d-1a8b18de3a5c</v>
    <v>en-US</v>
    <v>Map</v>
  </rv>
  <rv s="0">
    <v>536870912</v>
    <v>Papua</v>
    <v>0f2c1326-0491-269f-31e1-74488078a32a</v>
    <v>en-US</v>
    <v>Map</v>
  </rv>
  <rv s="0">
    <v>536870912</v>
    <v>West Papua</v>
    <v>2bd66757-1154-0845-4ab3-b533eaafb66a</v>
    <v>en-US</v>
    <v>Map</v>
  </rv>
  <rv s="0">
    <v>536870912</v>
    <v>Central Sulawesi</v>
    <v>fca0651b-c50d-6497-3564-cf378d76f7ca</v>
    <v>en-US</v>
    <v>Map</v>
  </rv>
  <rv s="0">
    <v>536870912</v>
    <v>West Sulawesi</v>
    <v>50e1c5b6-8c37-abe2-96fd-7b0ddfe17455</v>
    <v>en-US</v>
    <v>Map</v>
  </rv>
  <rv s="0">
    <v>536870912</v>
    <v>South Sulawesi</v>
    <v>f6bf6682-f96f-24d6-1b1b-b05c77b899cd</v>
    <v>en-US</v>
    <v>Map</v>
  </rv>
  <rv s="0">
    <v>536870912</v>
    <v>North Sulawesi</v>
    <v>70a8dc2d-0ecd-0471-3c78-516c671329a4</v>
    <v>en-US</v>
    <v>Map</v>
  </rv>
  <rv s="0">
    <v>536870912</v>
    <v>Southeast Sulawesi</v>
    <v>4aff599f-5e3f-801e-344a-16dcaacba1b8</v>
    <v>en-US</v>
    <v>Map</v>
  </rv>
  <rv s="0">
    <v>536870912</v>
    <v>South Sumatra</v>
    <v>3f0b33c1-6f1e-a592-3d72-2b8e053c5609</v>
    <v>en-US</v>
    <v>Map</v>
  </rv>
  <rv s="0">
    <v>536870912</v>
    <v>West Sumatra</v>
    <v>3ad5cdb7-7630-6662-ae72-367bbd112dc0</v>
    <v>en-US</v>
    <v>Map</v>
  </rv>
  <rv s="0">
    <v>536870912</v>
    <v>North Sumatra</v>
    <v>42ca1f6c-e43e-bf42-fe72-4ad9e000d932</v>
    <v>en-US</v>
    <v>Map</v>
  </rv>
  <rv s="0">
    <v>536870912</v>
    <v>Aceh</v>
    <v>a7512e23-3525-d514-b5ee-6adb3af70ca0</v>
    <v>en-US</v>
    <v>Map</v>
  </rv>
  <rv s="0">
    <v>536870912</v>
    <v>Special Region of Yogyakarta</v>
    <v>7a5ea5db-f9d5-434b-8ed3-d1dbe5b4e377</v>
    <v>en-US</v>
    <v>Map</v>
  </rv>
  <rv s="0">
    <v>536870912</v>
    <v>North Kalimantan</v>
    <v>669e45da-91e6-45ec-af06-a29b2ed52f69</v>
    <v>en-US</v>
    <v>Map</v>
  </rv>
  <rv s="0">
    <v>536870912</v>
    <v>Riau</v>
    <v>f537ab07-cdad-a175-50d8-b58eb136e125</v>
    <v>en-US</v>
    <v>Map</v>
  </rv>
  <rv s="3">
    <v>185</v>
  </rv>
  <rv s="1">
    <fb>0.10230449477737399</fb>
    <v>23</v>
  </rv>
  <rv s="3">
    <v>186</v>
  </rv>
  <rv s="1">
    <fb>0.30099999999999999</fb>
    <v>23</v>
  </rv>
  <rv s="1">
    <fb>4.6869997978210398E-2</fb>
    <v>31</v>
  </rv>
  <rv s="1">
    <fb>151509724</fb>
    <v>24</v>
  </rv>
  <rv s="5">
    <v>#VALUE!</v>
    <v>en-US</v>
    <v>b4a5bd62-2259-21e3-4627-bf249ae6ee84</v>
    <v>536870912</v>
    <v>1</v>
    <v>429</v>
    <v>17</v>
    <v>Indonesia</v>
    <v>19</v>
    <v>20</v>
    <v>Map</v>
    <v>21</v>
    <v>262</v>
    <v>ID</v>
    <v>3124</v>
    <v>3125</v>
    <v>3126</v>
    <v>3127</v>
    <v>3128</v>
    <v>3129</v>
    <v>3130</v>
    <v>3131</v>
    <v>3132</v>
    <v>IDR</v>
    <v>Indonesia, officially the Republic of Indonesia, is a country in Southeast Asia and Oceania, between the Indian and Pacific oceans. Comprising over 17,000 islands, including Sumatra, Java, Sulawesi, and parts of Borneo and New Guinea, Indonesia ...</v>
    <v>3133</v>
    <v>3134</v>
    <v>3135</v>
    <v>3136</v>
    <v>3137</v>
    <v>3138</v>
    <v>3139</v>
    <v>3140</v>
    <v>3141</v>
    <v>3142</v>
    <v>3129</v>
    <v>3146</v>
    <v>3147</v>
    <v>3148</v>
    <v>3149</v>
    <v>3150</v>
    <v>3151</v>
    <v>Indonesia</v>
    <v>Indonesia Raya</v>
    <v>3152</v>
    <v>Republik Indonesia</v>
    <v>3153</v>
    <v>3154</v>
    <v>3155</v>
    <v>1083</v>
    <v>3156</v>
    <v>2876</v>
    <v>333</v>
    <v>456</v>
    <v>3157</v>
    <v>3158</v>
    <v>3159</v>
    <v>3193</v>
    <v>3194</v>
    <v>3195</v>
    <v>3196</v>
    <v>3197</v>
    <v>Indonesia</v>
    <v>3198</v>
    <v>mdp/vdpid/111</v>
  </rv>
</rvData>
</file>

<file path=xl/richData/rdrichvaluestructure.xml><?xml version="1.0" encoding="utf-8"?>
<rvStructures xmlns="http://schemas.microsoft.com/office/spreadsheetml/2017/richdata" count="25">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household income"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20">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Median household income</v>
      <v t="s">Building permits</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spbArrays>
  <spbData count="430">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9">
      <v>32</v>
      <v>32</v>
      <v>6</v>
      <v>32</v>
      <v>32</v>
      <v>32</v>
      <v>33</v>
      <v>6</v>
      <v>32</v>
      <v>6</v>
      <v>34</v>
      <v>6</v>
      <v>6</v>
      <v>6</v>
      <v>6</v>
      <v>34</v>
      <v>6</v>
      <v>6</v>
      <v>6</v>
      <v>6</v>
      <v>6</v>
      <v>6</v>
      <v>6</v>
      <v>6</v>
      <v>6</v>
      <v>34</v>
      <v>6</v>
      <v>6</v>
      <v>6</v>
      <v>6</v>
    </spb>
    <spb s="2">
      <v>1</v>
      <v>Name</v>
      <v>LearnMoreOnLink</v>
    </spb>
    <spb s="10">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12</v>
    </spb>
    <spb s="0">
      <v xml:space="preserve">Wikipedia	</v>
      <v xml:space="preserve">CC BY-SA 3.0	</v>
      <v xml:space="preserve">https://en.wikipedia.org/wiki/New_York_City	</v>
      <v xml:space="preserve">https://creativecommons.org/licenses/by-sa/3.0	</v>
    </spb>
    <spb s="11">
      <v>39</v>
      <v>39</v>
      <v>39</v>
      <v>39</v>
      <v>39</v>
      <v>39</v>
      <v>39</v>
      <v>39</v>
      <v>39</v>
    </spb>
    <spb s="2">
      <v>2</v>
      <v>Name</v>
      <v>LearnMoreOnLink</v>
    </spb>
    <spb s="12">
      <v>square km</v>
      <v>2020</v>
    </spb>
    <spb s="8">
      <v>13</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3">
      <v>44</v>
      <v>44</v>
      <v>6</v>
      <v>44</v>
      <v>44</v>
      <v>44</v>
      <v>45</v>
      <v>44</v>
      <v>6</v>
      <v>44</v>
      <v>6</v>
      <v>46</v>
      <v>44</v>
      <v>6</v>
      <v>6</v>
      <v>6</v>
      <v>6</v>
      <v>46</v>
      <v>6</v>
      <v>6</v>
      <v>6</v>
      <v>6</v>
      <v>6</v>
      <v>6</v>
      <v>6</v>
      <v>6</v>
      <v>6</v>
      <v>46</v>
      <v>6</v>
      <v>6</v>
      <v>6</v>
      <v>6</v>
    </spb>
    <spb s="2">
      <v>3</v>
      <v>Name</v>
      <v>LearnMoreOnLink</v>
    </spb>
    <spb s="10">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3">
      <v>50</v>
      <v>50</v>
      <v>6</v>
      <v>50</v>
      <v>50</v>
      <v>50</v>
      <v>51</v>
      <v>50</v>
      <v>6</v>
      <v>50</v>
      <v>6</v>
      <v>52</v>
      <v>50</v>
      <v>6</v>
      <v>6</v>
      <v>6</v>
      <v>6</v>
      <v>52</v>
      <v>6</v>
      <v>6</v>
      <v>6</v>
      <v>6</v>
      <v>6</v>
      <v>6</v>
      <v>6</v>
      <v>6</v>
      <v>6</v>
      <v>52</v>
      <v>6</v>
      <v>6</v>
      <v>6</v>
      <v>6</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3">
      <v>54</v>
      <v>54</v>
      <v>6</v>
      <v>54</v>
      <v>54</v>
      <v>54</v>
      <v>55</v>
      <v>54</v>
      <v>6</v>
      <v>54</v>
      <v>6</v>
      <v>56</v>
      <v>54</v>
      <v>6</v>
      <v>6</v>
      <v>6</v>
      <v>6</v>
      <v>56</v>
      <v>6</v>
      <v>6</v>
      <v>6</v>
      <v>6</v>
      <v>6</v>
      <v>6</v>
      <v>6</v>
      <v>6</v>
      <v>6</v>
      <v>56</v>
      <v>6</v>
      <v>6</v>
      <v>6</v>
      <v>6</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3">
      <v>58</v>
      <v>58</v>
      <v>6</v>
      <v>58</v>
      <v>58</v>
      <v>58</v>
      <v>59</v>
      <v>58</v>
      <v>6</v>
      <v>58</v>
      <v>6</v>
      <v>60</v>
      <v>58</v>
      <v>6</v>
      <v>6</v>
      <v>6</v>
      <v>6</v>
      <v>60</v>
      <v>6</v>
      <v>6</v>
      <v>6</v>
      <v>6</v>
      <v>6</v>
      <v>6</v>
      <v>6</v>
      <v>6</v>
      <v>6</v>
      <v>60</v>
      <v>6</v>
      <v>6</v>
      <v>6</v>
      <v>6</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3">
      <v>62</v>
      <v>62</v>
      <v>6</v>
      <v>62</v>
      <v>62</v>
      <v>62</v>
      <v>63</v>
      <v>62</v>
      <v>6</v>
      <v>62</v>
      <v>6</v>
      <v>64</v>
      <v>62</v>
      <v>6</v>
      <v>6</v>
      <v>6</v>
      <v>6</v>
      <v>64</v>
      <v>6</v>
      <v>6</v>
      <v>6</v>
      <v>6</v>
      <v>6</v>
      <v>6</v>
      <v>6</v>
      <v>6</v>
      <v>6</v>
      <v>64</v>
      <v>6</v>
      <v>6</v>
      <v>6</v>
      <v>6</v>
    </spb>
    <spb s="2">
      <v>4</v>
      <v>Name</v>
      <v>LearnMoreOnLink</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3">
      <v>67</v>
      <v>67</v>
      <v>6</v>
      <v>67</v>
      <v>67</v>
      <v>67</v>
      <v>68</v>
      <v>67</v>
      <v>6</v>
      <v>67</v>
      <v>6</v>
      <v>69</v>
      <v>67</v>
      <v>6</v>
      <v>6</v>
      <v>6</v>
      <v>6</v>
      <v>69</v>
      <v>6</v>
      <v>6</v>
      <v>6</v>
      <v>6</v>
      <v>6</v>
      <v>6</v>
      <v>6</v>
      <v>6</v>
      <v>6</v>
      <v>69</v>
      <v>6</v>
      <v>6</v>
      <v>6</v>
      <v>6</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3">
      <v>71</v>
      <v>71</v>
      <v>6</v>
      <v>71</v>
      <v>71</v>
      <v>71</v>
      <v>72</v>
      <v>71</v>
      <v>6</v>
      <v>71</v>
      <v>6</v>
      <v>73</v>
      <v>71</v>
      <v>6</v>
      <v>6</v>
      <v>6</v>
      <v>6</v>
      <v>73</v>
      <v>6</v>
      <v>6</v>
      <v>6</v>
      <v>6</v>
      <v>6</v>
      <v>6</v>
      <v>6</v>
      <v>6</v>
      <v>6</v>
      <v>73</v>
      <v>6</v>
      <v>6</v>
      <v>6</v>
      <v>6</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3">
      <v>75</v>
      <v>75</v>
      <v>6</v>
      <v>75</v>
      <v>75</v>
      <v>75</v>
      <v>76</v>
      <v>75</v>
      <v>6</v>
      <v>75</v>
      <v>6</v>
      <v>77</v>
      <v>75</v>
      <v>6</v>
      <v>6</v>
      <v>6</v>
      <v>6</v>
      <v>77</v>
      <v>6</v>
      <v>6</v>
      <v>6</v>
      <v>6</v>
      <v>6</v>
      <v>6</v>
      <v>6</v>
      <v>6</v>
      <v>6</v>
      <v>77</v>
      <v>6</v>
      <v>6</v>
      <v>6</v>
      <v>6</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3">
      <v>79</v>
      <v>79</v>
      <v>6</v>
      <v>79</v>
      <v>79</v>
      <v>79</v>
      <v>80</v>
      <v>79</v>
      <v>6</v>
      <v>79</v>
      <v>6</v>
      <v>81</v>
      <v>79</v>
      <v>6</v>
      <v>6</v>
      <v>6</v>
      <v>6</v>
      <v>81</v>
      <v>6</v>
      <v>6</v>
      <v>6</v>
      <v>6</v>
      <v>6</v>
      <v>6</v>
      <v>6</v>
      <v>6</v>
      <v>6</v>
      <v>81</v>
      <v>6</v>
      <v>6</v>
      <v>6</v>
      <v>6</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3">
      <v>83</v>
      <v>83</v>
      <v>6</v>
      <v>83</v>
      <v>83</v>
      <v>83</v>
      <v>84</v>
      <v>83</v>
      <v>6</v>
      <v>83</v>
      <v>6</v>
      <v>85</v>
      <v>83</v>
      <v>6</v>
      <v>6</v>
      <v>6</v>
      <v>6</v>
      <v>85</v>
      <v>6</v>
      <v>6</v>
      <v>6</v>
      <v>6</v>
      <v>6</v>
      <v>6</v>
      <v>6</v>
      <v>6</v>
      <v>6</v>
      <v>85</v>
      <v>6</v>
      <v>6</v>
      <v>6</v>
      <v>6</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3">
      <v>87</v>
      <v>87</v>
      <v>6</v>
      <v>87</v>
      <v>87</v>
      <v>87</v>
      <v>88</v>
      <v>87</v>
      <v>6</v>
      <v>87</v>
      <v>6</v>
      <v>89</v>
      <v>87</v>
      <v>6</v>
      <v>6</v>
      <v>6</v>
      <v>6</v>
      <v>89</v>
      <v>6</v>
      <v>6</v>
      <v>6</v>
      <v>6</v>
      <v>6</v>
      <v>6</v>
      <v>6</v>
      <v>6</v>
      <v>6</v>
      <v>89</v>
      <v>6</v>
      <v>6</v>
      <v>6</v>
      <v>6</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4">
      <v>91</v>
      <v>91</v>
      <v>6</v>
      <v>91</v>
      <v>91</v>
      <v>91</v>
      <v>92</v>
      <v>91</v>
      <v>6</v>
      <v>91</v>
      <v>6</v>
      <v>93</v>
      <v>91</v>
      <v>6</v>
      <v>6</v>
      <v>6</v>
      <v>6</v>
      <v>93</v>
      <v>6</v>
      <v>6</v>
      <v>6</v>
      <v>6</v>
      <v>6</v>
      <v>6</v>
      <v>6</v>
      <v>6</v>
      <v>6</v>
      <v>93</v>
      <v>6</v>
      <v>6</v>
      <v>6</v>
    </spb>
    <spb s="2">
      <v>5</v>
      <v>Name</v>
      <v>LearnMoreOnLink</v>
    </spb>
    <spb s="15">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3">
      <v>97</v>
      <v>97</v>
      <v>6</v>
      <v>97</v>
      <v>97</v>
      <v>97</v>
      <v>98</v>
      <v>97</v>
      <v>6</v>
      <v>97</v>
      <v>6</v>
      <v>99</v>
      <v>97</v>
      <v>6</v>
      <v>6</v>
      <v>6</v>
      <v>6</v>
      <v>99</v>
      <v>6</v>
      <v>6</v>
      <v>6</v>
      <v>6</v>
      <v>6</v>
      <v>6</v>
      <v>6</v>
      <v>6</v>
      <v>6</v>
      <v>99</v>
      <v>6</v>
      <v>6</v>
      <v>6</v>
      <v>6</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3">
      <v>101</v>
      <v>101</v>
      <v>6</v>
      <v>101</v>
      <v>101</v>
      <v>101</v>
      <v>102</v>
      <v>101</v>
      <v>6</v>
      <v>101</v>
      <v>6</v>
      <v>103</v>
      <v>101</v>
      <v>6</v>
      <v>6</v>
      <v>6</v>
      <v>6</v>
      <v>103</v>
      <v>6</v>
      <v>6</v>
      <v>6</v>
      <v>6</v>
      <v>6</v>
      <v>6</v>
      <v>6</v>
      <v>6</v>
      <v>6</v>
      <v>103</v>
      <v>6</v>
      <v>6</v>
      <v>6</v>
      <v>6</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3">
      <v>105</v>
      <v>105</v>
      <v>6</v>
      <v>105</v>
      <v>105</v>
      <v>105</v>
      <v>106</v>
      <v>105</v>
      <v>6</v>
      <v>105</v>
      <v>6</v>
      <v>107</v>
      <v>105</v>
      <v>6</v>
      <v>6</v>
      <v>6</v>
      <v>6</v>
      <v>107</v>
      <v>6</v>
      <v>6</v>
      <v>6</v>
      <v>6</v>
      <v>6</v>
      <v>6</v>
      <v>6</v>
      <v>6</v>
      <v>6</v>
      <v>107</v>
      <v>6</v>
      <v>6</v>
      <v>6</v>
      <v>6</v>
    </spb>
    <spb s="0">
      <v xml:space="preserve">Wikipedia	</v>
      <v xml:space="preserve">CC BY-SA 3.0	</v>
      <v xml:space="preserve">https://en.wikipedia.org/wiki/New_Mexico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3">
      <v>109</v>
      <v>109</v>
      <v>6</v>
      <v>109</v>
      <v>109</v>
      <v>109</v>
      <v>110</v>
      <v>109</v>
      <v>6</v>
      <v>109</v>
      <v>6</v>
      <v>111</v>
      <v>109</v>
      <v>6</v>
      <v>6</v>
      <v>6</v>
      <v>6</v>
      <v>111</v>
      <v>6</v>
      <v>6</v>
      <v>6</v>
      <v>6</v>
      <v>6</v>
      <v>6</v>
      <v>6</v>
      <v>6</v>
      <v>6</v>
      <v>111</v>
      <v>6</v>
      <v>6</v>
      <v>6</v>
      <v>6</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3">
      <v>113</v>
      <v>113</v>
      <v>6</v>
      <v>113</v>
      <v>113</v>
      <v>113</v>
      <v>114</v>
      <v>113</v>
      <v>6</v>
      <v>113</v>
      <v>6</v>
      <v>115</v>
      <v>113</v>
      <v>6</v>
      <v>6</v>
      <v>6</v>
      <v>6</v>
      <v>115</v>
      <v>6</v>
      <v>6</v>
      <v>6</v>
      <v>6</v>
      <v>6</v>
      <v>6</v>
      <v>6</v>
      <v>6</v>
      <v>6</v>
      <v>115</v>
      <v>6</v>
      <v>6</v>
      <v>6</v>
      <v>6</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3">
      <v>117</v>
      <v>117</v>
      <v>6</v>
      <v>117</v>
      <v>117</v>
      <v>117</v>
      <v>118</v>
      <v>117</v>
      <v>6</v>
      <v>117</v>
      <v>6</v>
      <v>119</v>
      <v>117</v>
      <v>6</v>
      <v>6</v>
      <v>6</v>
      <v>6</v>
      <v>119</v>
      <v>6</v>
      <v>6</v>
      <v>6</v>
      <v>6</v>
      <v>6</v>
      <v>6</v>
      <v>6</v>
      <v>6</v>
      <v>6</v>
      <v>119</v>
      <v>6</v>
      <v>6</v>
      <v>6</v>
      <v>6</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3">
      <v>121</v>
      <v>121</v>
      <v>6</v>
      <v>121</v>
      <v>121</v>
      <v>121</v>
      <v>122</v>
      <v>121</v>
      <v>6</v>
      <v>121</v>
      <v>6</v>
      <v>123</v>
      <v>121</v>
      <v>6</v>
      <v>6</v>
      <v>6</v>
      <v>6</v>
      <v>123</v>
      <v>6</v>
      <v>6</v>
      <v>6</v>
      <v>6</v>
      <v>6</v>
      <v>6</v>
      <v>6</v>
      <v>6</v>
      <v>6</v>
      <v>123</v>
      <v>6</v>
      <v>6</v>
      <v>6</v>
      <v>6</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3">
      <v>125</v>
      <v>125</v>
      <v>6</v>
      <v>125</v>
      <v>125</v>
      <v>125</v>
      <v>126</v>
      <v>125</v>
      <v>6</v>
      <v>125</v>
      <v>6</v>
      <v>127</v>
      <v>125</v>
      <v>6</v>
      <v>6</v>
      <v>6</v>
      <v>6</v>
      <v>127</v>
      <v>6</v>
      <v>6</v>
      <v>6</v>
      <v>6</v>
      <v>6</v>
      <v>6</v>
      <v>6</v>
      <v>6</v>
      <v>6</v>
      <v>127</v>
      <v>6</v>
      <v>6</v>
      <v>6</v>
      <v>6</v>
    </spb>
    <spb s="2">
      <v>6</v>
      <v>Name</v>
      <v>LearnMoreOnLink</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3">
      <v>130</v>
      <v>130</v>
      <v>6</v>
      <v>130</v>
      <v>130</v>
      <v>130</v>
      <v>131</v>
      <v>130</v>
      <v>6</v>
      <v>130</v>
      <v>6</v>
      <v>132</v>
      <v>130</v>
      <v>6</v>
      <v>6</v>
      <v>6</v>
      <v>6</v>
      <v>132</v>
      <v>6</v>
      <v>6</v>
      <v>6</v>
      <v>6</v>
      <v>6</v>
      <v>6</v>
      <v>6</v>
      <v>6</v>
      <v>6</v>
      <v>132</v>
      <v>6</v>
      <v>6</v>
      <v>6</v>
      <v>6</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3">
      <v>134</v>
      <v>134</v>
      <v>6</v>
      <v>134</v>
      <v>134</v>
      <v>134</v>
      <v>135</v>
      <v>134</v>
      <v>6</v>
      <v>134</v>
      <v>6</v>
      <v>136</v>
      <v>134</v>
      <v>6</v>
      <v>6</v>
      <v>6</v>
      <v>6</v>
      <v>136</v>
      <v>6</v>
      <v>6</v>
      <v>6</v>
      <v>6</v>
      <v>6</v>
      <v>6</v>
      <v>6</v>
      <v>6</v>
      <v>6</v>
      <v>136</v>
      <v>6</v>
      <v>6</v>
      <v>6</v>
      <v>6</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3">
      <v>138</v>
      <v>138</v>
      <v>6</v>
      <v>138</v>
      <v>138</v>
      <v>138</v>
      <v>139</v>
      <v>138</v>
      <v>6</v>
      <v>138</v>
      <v>6</v>
      <v>140</v>
      <v>138</v>
      <v>6</v>
      <v>6</v>
      <v>6</v>
      <v>6</v>
      <v>140</v>
      <v>6</v>
      <v>6</v>
      <v>6</v>
      <v>6</v>
      <v>6</v>
      <v>6</v>
      <v>6</v>
      <v>6</v>
      <v>6</v>
      <v>140</v>
      <v>6</v>
      <v>6</v>
      <v>6</v>
      <v>6</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3">
      <v>142</v>
      <v>142</v>
      <v>6</v>
      <v>142</v>
      <v>142</v>
      <v>142</v>
      <v>143</v>
      <v>142</v>
      <v>6</v>
      <v>142</v>
      <v>6</v>
      <v>144</v>
      <v>142</v>
      <v>6</v>
      <v>6</v>
      <v>6</v>
      <v>6</v>
      <v>144</v>
      <v>6</v>
      <v>6</v>
      <v>6</v>
      <v>6</v>
      <v>6</v>
      <v>6</v>
      <v>6</v>
      <v>6</v>
      <v>6</v>
      <v>144</v>
      <v>6</v>
      <v>6</v>
      <v>6</v>
      <v>6</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3">
      <v>146</v>
      <v>146</v>
      <v>6</v>
      <v>146</v>
      <v>146</v>
      <v>146</v>
      <v>147</v>
      <v>146</v>
      <v>6</v>
      <v>146</v>
      <v>6</v>
      <v>148</v>
      <v>146</v>
      <v>6</v>
      <v>6</v>
      <v>6</v>
      <v>6</v>
      <v>148</v>
      <v>6</v>
      <v>6</v>
      <v>6</v>
      <v>6</v>
      <v>6</v>
      <v>6</v>
      <v>6</v>
      <v>6</v>
      <v>6</v>
      <v>148</v>
      <v>6</v>
      <v>6</v>
      <v>6</v>
      <v>6</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4">
      <v>150</v>
      <v>150</v>
      <v>6</v>
      <v>150</v>
      <v>150</v>
      <v>150</v>
      <v>151</v>
      <v>150</v>
      <v>6</v>
      <v>150</v>
      <v>6</v>
      <v>152</v>
      <v>150</v>
      <v>6</v>
      <v>6</v>
      <v>6</v>
      <v>6</v>
      <v>152</v>
      <v>6</v>
      <v>6</v>
      <v>6</v>
      <v>6</v>
      <v>6</v>
      <v>6</v>
      <v>6</v>
      <v>6</v>
      <v>6</v>
      <v>152</v>
      <v>6</v>
      <v>6</v>
      <v>6</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3">
      <v>154</v>
      <v>154</v>
      <v>6</v>
      <v>154</v>
      <v>154</v>
      <v>154</v>
      <v>155</v>
      <v>154</v>
      <v>6</v>
      <v>154</v>
      <v>6</v>
      <v>156</v>
      <v>154</v>
      <v>6</v>
      <v>6</v>
      <v>6</v>
      <v>6</v>
      <v>156</v>
      <v>6</v>
      <v>6</v>
      <v>6</v>
      <v>6</v>
      <v>6</v>
      <v>6</v>
      <v>6</v>
      <v>6</v>
      <v>6</v>
      <v>156</v>
      <v>6</v>
      <v>6</v>
      <v>6</v>
      <v>6</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3">
      <v>158</v>
      <v>158</v>
      <v>6</v>
      <v>158</v>
      <v>158</v>
      <v>158</v>
      <v>159</v>
      <v>158</v>
      <v>6</v>
      <v>158</v>
      <v>6</v>
      <v>160</v>
      <v>158</v>
      <v>6</v>
      <v>6</v>
      <v>6</v>
      <v>6</v>
      <v>160</v>
      <v>6</v>
      <v>6</v>
      <v>6</v>
      <v>6</v>
      <v>6</v>
      <v>6</v>
      <v>6</v>
      <v>6</v>
      <v>6</v>
      <v>160</v>
      <v>6</v>
      <v>6</v>
      <v>6</v>
      <v>6</v>
    </spb>
    <spb s="0">
      <v xml:space="preserve">Wikipedia	</v>
      <v xml:space="preserve">CC BY-SA 3.0	</v>
      <v xml:space="preserve">https://en.wikipedia.org/wiki/Chicago	</v>
      <v xml:space="preserve">https://creativecommons.org/licenses/by-sa/3.0	</v>
    </spb>
    <spb s="16">
      <v>162</v>
      <v>162</v>
      <v>162</v>
      <v>162</v>
      <v>162</v>
      <v>162</v>
      <v>162</v>
      <v>162</v>
      <v>162</v>
      <v>162</v>
    </spb>
    <spb s="2">
      <v>7</v>
      <v>Name</v>
      <v>LearnMoreOnLink</v>
    </spb>
    <spb s="12">
      <v>square km</v>
      <v>2023</v>
    </spb>
    <spb s="0">
      <v xml:space="preserve">Wikipedia	</v>
      <v xml:space="preserve">CC BY-SA 3.0	</v>
      <v xml:space="preserve">https://en.wikipedia.org/wiki/Boston	</v>
      <v xml:space="preserve">https://creativecommons.org/licenses/by-sa/3.0	</v>
    </spb>
    <spb s="16">
      <v>166</v>
      <v>166</v>
      <v>166</v>
      <v>166</v>
      <v>166</v>
      <v>166</v>
      <v>166</v>
      <v>166</v>
      <v>166</v>
      <v>166</v>
    </spb>
    <spb s="0">
      <v xml:space="preserve">Wikipedia	</v>
      <v xml:space="preserve">CC BY-SA 3.0	</v>
      <v xml:space="preserve">https://en.wikipedia.org/wiki/Albany,_New_York	</v>
      <v xml:space="preserve">https://creativecommons.org/licenses/by-sa/3.0	</v>
    </spb>
    <spb s="16">
      <v>168</v>
      <v>168</v>
      <v>168</v>
      <v>168</v>
      <v>168</v>
      <v>168</v>
      <v>168</v>
      <v>168</v>
      <v>168</v>
      <v>168</v>
    </spb>
    <spb s="0">
      <v xml:space="preserve">Wikipedia	</v>
      <v xml:space="preserve">CC BY-SA 3.0	</v>
      <v xml:space="preserve">https://en.wikipedia.org/wiki/Houston	</v>
      <v xml:space="preserve">https://creativecommons.org/licenses/by-sa/3.0	</v>
    </spb>
    <spb s="16">
      <v>170</v>
      <v>170</v>
      <v>170</v>
      <v>170</v>
      <v>170</v>
      <v>170</v>
      <v>170</v>
      <v>170</v>
      <v>170</v>
      <v>170</v>
    </spb>
    <spb s="0">
      <v xml:space="preserve">Wikipedia	</v>
      <v xml:space="preserve">CC BY-SA 3.0	</v>
      <v xml:space="preserve">https://en.wikipedia.org/wiki/Richmond,_Virginia	</v>
      <v xml:space="preserve">https://creativecommons.org/licenses/by-sa/3.0	</v>
    </spb>
    <spb s="11">
      <v>172</v>
      <v>172</v>
      <v>172</v>
      <v>172</v>
      <v>172</v>
      <v>172</v>
      <v>172</v>
      <v>172</v>
      <v>172</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7">
      <v>0</v>
      <v>174</v>
      <v>175</v>
      <v>175</v>
      <v>3</v>
      <v>175</v>
      <v>175</v>
      <v>175</v>
      <v>176</v>
      <v>175</v>
      <v>175</v>
      <v>176</v>
      <v>175</v>
      <v>175</v>
      <v>177</v>
      <v>5</v>
      <v>174</v>
      <v>177</v>
      <v>7</v>
      <v>175</v>
      <v>177</v>
      <v>8</v>
      <v>9</v>
      <v>10</v>
      <v>177</v>
      <v>177</v>
      <v>175</v>
      <v>177</v>
      <v>11</v>
      <v>12</v>
      <v>13</v>
      <v>14</v>
      <v>177</v>
      <v>174</v>
      <v>177</v>
      <v>177</v>
      <v>177</v>
      <v>177</v>
      <v>177</v>
      <v>177</v>
      <v>177</v>
      <v>177</v>
      <v>177</v>
      <v>177</v>
      <v>15</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https://en.wikipedia.org/wiki/Madrid	</v>
      <v xml:space="preserve">https://creativecommons.org/licenses/by-sa/3.0	</v>
    </spb>
    <spb s="11">
      <v>180</v>
      <v>180</v>
      <v>180</v>
      <v>180</v>
      <v>180</v>
      <v>180</v>
      <v>180</v>
      <v>180</v>
      <v>180</v>
    </spb>
    <spb s="2">
      <v>8</v>
      <v>Name</v>
      <v>LearnMoreOnLink</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7">
      <v>0</v>
      <v>183</v>
      <v>184</v>
      <v>184</v>
      <v>3</v>
      <v>184</v>
      <v>184</v>
      <v>184</v>
      <v>185</v>
      <v>184</v>
      <v>184</v>
      <v>185</v>
      <v>184</v>
      <v>184</v>
      <v>186</v>
      <v>5</v>
      <v>183</v>
      <v>186</v>
      <v>7</v>
      <v>184</v>
      <v>186</v>
      <v>8</v>
      <v>9</v>
      <v>10</v>
      <v>186</v>
      <v>186</v>
      <v>184</v>
      <v>186</v>
      <v>11</v>
      <v>12</v>
      <v>13</v>
      <v>14</v>
      <v>186</v>
      <v>183</v>
      <v>186</v>
      <v>186</v>
      <v>186</v>
      <v>186</v>
      <v>186</v>
      <v>186</v>
      <v>186</v>
      <v>186</v>
      <v>186</v>
      <v>186</v>
      <v>15</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18">
      <v>189</v>
      <v>189</v>
      <v>189</v>
      <v>189</v>
      <v>189</v>
      <v>190</v>
      <v>189</v>
      <v>189</v>
      <v>189</v>
    </spb>
    <spb s="2">
      <v>9</v>
      <v>Name</v>
      <v>LearnMoreOnLink</v>
    </spb>
    <spb s="12">
      <v>square km</v>
      <v>2024</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7">
      <v>0</v>
      <v>194</v>
      <v>195</v>
      <v>195</v>
      <v>3</v>
      <v>195</v>
      <v>195</v>
      <v>195</v>
      <v>196</v>
      <v>195</v>
      <v>195</v>
      <v>196</v>
      <v>195</v>
      <v>195</v>
      <v>197</v>
      <v>5</v>
      <v>194</v>
      <v>197</v>
      <v>7</v>
      <v>195</v>
      <v>197</v>
      <v>8</v>
      <v>9</v>
      <v>10</v>
      <v>197</v>
      <v>197</v>
      <v>195</v>
      <v>197</v>
      <v>11</v>
      <v>12</v>
      <v>13</v>
      <v>14</v>
      <v>197</v>
      <v>194</v>
      <v>197</v>
      <v>197</v>
      <v>197</v>
      <v>197</v>
      <v>197</v>
      <v>197</v>
      <v>197</v>
      <v>197</v>
      <v>197</v>
      <v>197</v>
      <v>15</v>
    </spb>
    <spb s="7">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 BY-SA 3.0	</v>
      <v xml:space="preserve">https://en.wikipedia.org/wiki/Paris	</v>
      <v xml:space="preserve">https://creativecommons.org/licenses/by-sa/3.0	</v>
    </spb>
    <spb s="16">
      <v>200</v>
      <v>200</v>
      <v>200</v>
      <v>200</v>
      <v>200</v>
      <v>200</v>
      <v>200</v>
      <v>200</v>
      <v>200</v>
      <v>200</v>
    </spb>
    <spb s="12">
      <v>square km</v>
      <v>2025</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7">
      <v>0</v>
      <v>203</v>
      <v>204</v>
      <v>204</v>
      <v>3</v>
      <v>204</v>
      <v>204</v>
      <v>204</v>
      <v>205</v>
      <v>204</v>
      <v>204</v>
      <v>205</v>
      <v>204</v>
      <v>204</v>
      <v>206</v>
      <v>5</v>
      <v>203</v>
      <v>206</v>
      <v>7</v>
      <v>204</v>
      <v>206</v>
      <v>8</v>
      <v>9</v>
      <v>10</v>
      <v>206</v>
      <v>206</v>
      <v>204</v>
      <v>206</v>
      <v>11</v>
      <v>12</v>
      <v>13</v>
      <v>14</v>
      <v>206</v>
      <v>203</v>
      <v>206</v>
      <v>206</v>
      <v>206</v>
      <v>206</v>
      <v>206</v>
      <v>206</v>
      <v>206</v>
      <v>206</v>
      <v>206</v>
      <v>206</v>
      <v>15</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v>
      <v xml:space="preserve">CC BY-SA 3.0	</v>
      <v xml:space="preserve">https://en.wikipedia.org/wiki/Santiago	</v>
      <v xml:space="preserve">https://creativecommons.org/licenses/by-sa/3.0	</v>
    </spb>
    <spb s="16">
      <v>209</v>
      <v>209</v>
      <v>209</v>
      <v>209</v>
      <v>209</v>
      <v>209</v>
      <v>209</v>
      <v>209</v>
      <v>209</v>
      <v>209</v>
    </spb>
    <spb s="2">
      <v>10</v>
      <v>Name</v>
      <v>LearnMoreOnLink</v>
    </spb>
    <spb s="12">
      <v>square km</v>
      <v>2017</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7">
      <v>0</v>
      <v>213</v>
      <v>214</v>
      <v>214</v>
      <v>3</v>
      <v>214</v>
      <v>214</v>
      <v>214</v>
      <v>215</v>
      <v>214</v>
      <v>214</v>
      <v>215</v>
      <v>214</v>
      <v>214</v>
      <v>216</v>
      <v>5</v>
      <v>213</v>
      <v>216</v>
      <v>7</v>
      <v>214</v>
      <v>216</v>
      <v>8</v>
      <v>9</v>
      <v>10</v>
      <v>216</v>
      <v>216</v>
      <v>214</v>
      <v>216</v>
      <v>11</v>
      <v>12</v>
      <v>13</v>
      <v>14</v>
      <v>216</v>
      <v>213</v>
      <v>216</v>
      <v>216</v>
      <v>216</v>
      <v>216</v>
      <v>216</v>
      <v>216</v>
      <v>216</v>
      <v>216</v>
      <v>216</v>
      <v>216</v>
      <v>15</v>
    </spb>
    <spb s="7">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7">
      <v>0</v>
      <v>219</v>
      <v>220</v>
      <v>220</v>
      <v>3</v>
      <v>220</v>
      <v>220</v>
      <v>220</v>
      <v>221</v>
      <v>220</v>
      <v>220</v>
      <v>221</v>
      <v>220</v>
      <v>220</v>
      <v>222</v>
      <v>5</v>
      <v>219</v>
      <v>222</v>
      <v>7</v>
      <v>220</v>
      <v>222</v>
      <v>8</v>
      <v>9</v>
      <v>10</v>
      <v>222</v>
      <v>222</v>
      <v>220</v>
      <v>222</v>
      <v>11</v>
      <v>12</v>
      <v>13</v>
      <v>14</v>
      <v>222</v>
      <v>219</v>
      <v>222</v>
      <v>222</v>
      <v>222</v>
      <v>222</v>
      <v>222</v>
      <v>222</v>
      <v>222</v>
      <v>222</v>
      <v>222</v>
      <v>222</v>
      <v>15</v>
    </spb>
    <spb s="7">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v>
      <v xml:space="preserve">CC BY-SA 3.0	</v>
      <v xml:space="preserve">https://en.wikipedia.org/wiki/Sydney	</v>
      <v xml:space="preserve">https://creativecommons.org/licenses/by-sa/3.0	</v>
    </spb>
    <spb s="11">
      <v>225</v>
      <v>225</v>
      <v>225</v>
      <v>225</v>
      <v>225</v>
      <v>225</v>
      <v>225</v>
      <v>225</v>
      <v>225</v>
    </spb>
    <spb s="2">
      <v>11</v>
      <v>Name</v>
      <v>LearnMoreOnLink</v>
    </spb>
    <spb s="12">
      <v>square km</v>
      <v>2021</v>
    </spb>
    <spb s="0">
      <v xml:space="preserve">Wikipedia	</v>
      <v xml:space="preserve">CC BY-SA 3.0	</v>
      <v xml:space="preserve">https://en.wikipedia.org/wiki/Barcelona	</v>
      <v xml:space="preserve">https://creativecommons.org/licenses/by-sa/3.0	</v>
    </spb>
    <spb s="11">
      <v>229</v>
      <v>229</v>
      <v>229</v>
      <v>229</v>
      <v>229</v>
      <v>229</v>
      <v>229</v>
      <v>229</v>
      <v>229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7">
      <v>0</v>
      <v>231</v>
      <v>232</v>
      <v>232</v>
      <v>3</v>
      <v>232</v>
      <v>232</v>
      <v>232</v>
      <v>233</v>
      <v>232</v>
      <v>232</v>
      <v>233</v>
      <v>232</v>
      <v>232</v>
      <v>234</v>
      <v>5</v>
      <v>231</v>
      <v>234</v>
      <v>7</v>
      <v>232</v>
      <v>234</v>
      <v>8</v>
      <v>9</v>
      <v>10</v>
      <v>234</v>
      <v>234</v>
      <v>232</v>
      <v>234</v>
      <v>11</v>
      <v>12</v>
      <v>13</v>
      <v>14</v>
      <v>234</v>
      <v>231</v>
      <v>234</v>
      <v>234</v>
      <v>234</v>
      <v>234</v>
      <v>234</v>
      <v>234</v>
      <v>234</v>
      <v>234</v>
      <v>234</v>
      <v>234</v>
      <v>15</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9">
      <v>237</v>
      <v>237</v>
      <v>238</v>
      <v>237</v>
      <v>237</v>
      <v>237</v>
      <v>239</v>
      <v>238</v>
      <v>237</v>
      <v>238</v>
    </spb>
    <spb s="2">
      <v>12</v>
      <v>Name</v>
      <v>LearnMoreOnLink</v>
    </spb>
    <spb s="20">
      <v>square km</v>
      <v>2011</v>
      <v>2022</v>
      <v>2011</v>
      <v>2011</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7">
      <v>0</v>
      <v>243</v>
      <v>244</v>
      <v>244</v>
      <v>3</v>
      <v>244</v>
      <v>244</v>
      <v>244</v>
      <v>245</v>
      <v>244</v>
      <v>244</v>
      <v>245</v>
      <v>244</v>
      <v>244</v>
      <v>246</v>
      <v>5</v>
      <v>243</v>
      <v>246</v>
      <v>7</v>
      <v>244</v>
      <v>246</v>
      <v>8</v>
      <v>9</v>
      <v>10</v>
      <v>246</v>
      <v>246</v>
      <v>244</v>
      <v>246</v>
      <v>11</v>
      <v>12</v>
      <v>13</v>
      <v>14</v>
      <v>246</v>
      <v>243</v>
      <v>246</v>
      <v>246</v>
      <v>246</v>
      <v>246</v>
      <v>246</v>
      <v>246</v>
      <v>246</v>
      <v>246</v>
      <v>246</v>
      <v>246</v>
      <v>15</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v>
      <v xml:space="preserve">CC BY-SA 3.0	</v>
      <v xml:space="preserve">https://en.wikipedia.org/wiki/Ontario	</v>
      <v xml:space="preserve">https://creativecommons.org/licenses/by-sa/3.0	</v>
    </spb>
    <spb s="0">
      <v xml:space="preserve">www150.statcan.gc.ca	</v>
      <v xml:space="preserve">	</v>
      <v xml:space="preserve">https://www150.statcan.gc.ca/t1/tbl1/en/tv.action?pid=3410000301	</v>
      <v xml:space="preserve">	</v>
    </spb>
    <spb s="0">
      <v xml:space="preserve">Wikipedia	</v>
      <v xml:space="preserve">CC-BY-SA	</v>
      <v xml:space="preserve">http://en.wikipedia.org/wiki/Ontario	</v>
      <v xml:space="preserve">http://creativecommons.org/licenses/by-sa/3.0/	</v>
    </spb>
    <spb s="0">
      <v xml:space="preserve">Wikipedia	www150.statcan.gc.ca	</v>
      <v xml:space="preserve">CC-BY-SA		</v>
      <v xml:space="preserve">http://en.wikipedia.org/wiki/Ontario	https://www150.statcan.gc.ca/t1/tbl1/en/tv.action?pid=3410000301	</v>
      <v xml:space="preserve">http://creativecommons.org/licenses/by-sa/3.0/		</v>
    </spb>
    <spb s="21">
      <v>249</v>
      <v>249</v>
      <v>250</v>
      <v>249</v>
      <v>249</v>
      <v>249</v>
      <v>251</v>
      <v>249</v>
      <v>250</v>
      <v>249</v>
      <v>250</v>
      <v>249</v>
      <v>250</v>
      <v>252</v>
    </spb>
    <spb s="2">
      <v>13</v>
      <v>Name</v>
      <v>LearnMoreOnLink</v>
    </spb>
    <spb s="22">
      <v>square km</v>
      <v>2016</v>
      <v>2020</v>
      <v>2016</v>
      <v>2017-12</v>
      <v>2016</v>
      <v>2016</v>
    </spb>
    <spb s="8">
      <v>14</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7">
      <v>0</v>
      <v>257</v>
      <v>258</v>
      <v>258</v>
      <v>3</v>
      <v>258</v>
      <v>258</v>
      <v>258</v>
      <v>259</v>
      <v>258</v>
      <v>258</v>
      <v>259</v>
      <v>258</v>
      <v>258</v>
      <v>260</v>
      <v>5</v>
      <v>257</v>
      <v>260</v>
      <v>7</v>
      <v>258</v>
      <v>260</v>
      <v>8</v>
      <v>9</v>
      <v>10</v>
      <v>260</v>
      <v>260</v>
      <v>258</v>
      <v>260</v>
      <v>11</v>
      <v>12</v>
      <v>13</v>
      <v>14</v>
      <v>260</v>
      <v>257</v>
      <v>260</v>
      <v>260</v>
      <v>260</v>
      <v>260</v>
      <v>260</v>
      <v>260</v>
      <v>260</v>
      <v>260</v>
      <v>260</v>
      <v>260</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3">
      <v>0</v>
      <v>263</v>
      <v>264</v>
      <v>264</v>
      <v>3</v>
      <v>264</v>
      <v>264</v>
      <v>264</v>
      <v>265</v>
      <v>264</v>
      <v>264</v>
      <v>264</v>
      <v>264</v>
      <v>266</v>
      <v>5</v>
      <v>263</v>
      <v>266</v>
      <v>7</v>
      <v>264</v>
      <v>266</v>
      <v>8</v>
      <v>9</v>
      <v>10</v>
      <v>266</v>
      <v>266</v>
      <v>264</v>
      <v>266</v>
      <v>11</v>
      <v>12</v>
      <v>13</v>
      <v>14</v>
      <v>266</v>
      <v>263</v>
      <v>266</v>
      <v>266</v>
      <v>266</v>
      <v>266</v>
      <v>266</v>
      <v>266</v>
      <v>266</v>
      <v>266</v>
      <v>266</v>
      <v>266</v>
      <v>15</v>
    </spb>
    <spb s="2">
      <v>14</v>
      <v>Name</v>
      <v>LearnMoreOnLink</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23">
      <v>0</v>
      <v>270</v>
      <v>271</v>
      <v>271</v>
      <v>3</v>
      <v>271</v>
      <v>271</v>
      <v>271</v>
      <v>272</v>
      <v>271</v>
      <v>271</v>
      <v>271</v>
      <v>271</v>
      <v>273</v>
      <v>5</v>
      <v>270</v>
      <v>273</v>
      <v>7</v>
      <v>271</v>
      <v>273</v>
      <v>8</v>
      <v>9</v>
      <v>10</v>
      <v>273</v>
      <v>273</v>
      <v>271</v>
      <v>273</v>
      <v>11</v>
      <v>12</v>
      <v>13</v>
      <v>14</v>
      <v>273</v>
      <v>270</v>
      <v>273</v>
      <v>273</v>
      <v>273</v>
      <v>273</v>
      <v>273</v>
      <v>273</v>
      <v>273</v>
      <v>273</v>
      <v>273</v>
      <v>273</v>
      <v>15</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v>
      <v xml:space="preserve">CC BY-SA 3.0	</v>
      <v xml:space="preserve">https://en.wikipedia.org/wiki/Stockholm	</v>
      <v xml:space="preserve">https://creativecommons.org/licenses/by-sa/3.0	</v>
    </spb>
    <spb s="11">
      <v>276</v>
      <v>276</v>
      <v>276</v>
      <v>276</v>
      <v>276</v>
      <v>276</v>
      <v>276</v>
      <v>276</v>
      <v>276</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3">
      <v>0</v>
      <v>278</v>
      <v>279</v>
      <v>279</v>
      <v>3</v>
      <v>279</v>
      <v>279</v>
      <v>279</v>
      <v>280</v>
      <v>279</v>
      <v>279</v>
      <v>279</v>
      <v>279</v>
      <v>281</v>
      <v>5</v>
      <v>278</v>
      <v>281</v>
      <v>7</v>
      <v>279</v>
      <v>281</v>
      <v>8</v>
      <v>9</v>
      <v>10</v>
      <v>281</v>
      <v>281</v>
      <v>279</v>
      <v>281</v>
      <v>11</v>
      <v>12</v>
      <v>13</v>
      <v>14</v>
      <v>281</v>
      <v>278</v>
      <v>281</v>
      <v>281</v>
      <v>281</v>
      <v>281</v>
      <v>281</v>
      <v>281</v>
      <v>281</v>
      <v>281</v>
      <v>281</v>
      <v>281</v>
      <v>15</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7">
      <v>0</v>
      <v>283</v>
      <v>284</v>
      <v>284</v>
      <v>3</v>
      <v>284</v>
      <v>284</v>
      <v>284</v>
      <v>285</v>
      <v>284</v>
      <v>284</v>
      <v>285</v>
      <v>284</v>
      <v>284</v>
      <v>286</v>
      <v>5</v>
      <v>283</v>
      <v>286</v>
      <v>7</v>
      <v>284</v>
      <v>286</v>
      <v>8</v>
      <v>9</v>
      <v>10</v>
      <v>286</v>
      <v>286</v>
      <v>284</v>
      <v>286</v>
      <v>11</v>
      <v>12</v>
      <v>13</v>
      <v>14</v>
      <v>286</v>
      <v>283</v>
      <v>286</v>
      <v>286</v>
      <v>286</v>
      <v>286</v>
      <v>286</v>
      <v>286</v>
      <v>286</v>
      <v>286</v>
      <v>286</v>
      <v>286</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7">
      <v>0</v>
      <v>289</v>
      <v>290</v>
      <v>290</v>
      <v>3</v>
      <v>290</v>
      <v>290</v>
      <v>290</v>
      <v>291</v>
      <v>290</v>
      <v>290</v>
      <v>291</v>
      <v>290</v>
      <v>290</v>
      <v>292</v>
      <v>5</v>
      <v>289</v>
      <v>292</v>
      <v>7</v>
      <v>290</v>
      <v>292</v>
      <v>8</v>
      <v>9</v>
      <v>10</v>
      <v>292</v>
      <v>292</v>
      <v>290</v>
      <v>292</v>
      <v>11</v>
      <v>12</v>
      <v>13</v>
      <v>14</v>
      <v>292</v>
      <v>289</v>
      <v>292</v>
      <v>292</v>
      <v>292</v>
      <v>292</v>
      <v>292</v>
      <v>292</v>
      <v>292</v>
      <v>292</v>
      <v>292</v>
      <v>292</v>
      <v>15</v>
    </spb>
    <spb s="7">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24">
      <v>0</v>
      <v>295</v>
      <v>296</v>
      <v>296</v>
      <v>3</v>
      <v>296</v>
      <v>296</v>
      <v>296</v>
      <v>297</v>
      <v>296</v>
      <v>296</v>
      <v>296</v>
      <v>298</v>
      <v>5</v>
      <v>295</v>
      <v>298</v>
      <v>7</v>
      <v>296</v>
      <v>298</v>
      <v>8</v>
      <v>9</v>
      <v>10</v>
      <v>298</v>
      <v>298</v>
      <v>296</v>
      <v>298</v>
      <v>11</v>
      <v>12</v>
      <v>13</v>
      <v>14</v>
      <v>298</v>
      <v>295</v>
      <v>298</v>
      <v>298</v>
      <v>298</v>
      <v>15</v>
    </spb>
    <spb s="2">
      <v>15</v>
      <v>Name</v>
      <v>LearnMoreOnLink</v>
    </spb>
    <spb s="25">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26">
      <v>0</v>
      <v>302</v>
      <v>303</v>
      <v>303</v>
      <v>3</v>
      <v>303</v>
      <v>303</v>
      <v>303</v>
      <v>303</v>
      <v>303</v>
      <v>304</v>
      <v>303</v>
      <v>303</v>
      <v>305</v>
      <v>5</v>
      <v>302</v>
      <v>305</v>
      <v>7</v>
      <v>303</v>
      <v>305</v>
      <v>8</v>
      <v>9</v>
      <v>10</v>
      <v>305</v>
      <v>305</v>
      <v>303</v>
      <v>305</v>
      <v>11</v>
      <v>12</v>
      <v>13</v>
      <v>14</v>
      <v>305</v>
      <v>302</v>
      <v>305</v>
      <v>305</v>
      <v>305</v>
      <v>305</v>
      <v>305</v>
      <v>305</v>
      <v>305</v>
      <v>305</v>
      <v>305</v>
      <v>305</v>
      <v>15</v>
    </spb>
    <spb s="2">
      <v>16</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v>
      <v xml:space="preserve">CC-BY-SA	</v>
      <v xml:space="preserve">http://en.wikipedia.org/wiki/Dublin	</v>
      <v xml:space="preserve">http://creativecommons.org/licenses/by-sa/3.0/	</v>
    </spb>
    <spb s="0">
      <v xml:space="preserve">Wikipedia	</v>
      <v xml:space="preserve">CC BY-SA 3.0	</v>
      <v xml:space="preserve">https://en.wikipedia.org/wiki/Dublin	</v>
      <v xml:space="preserve">https://creativecommons.org/licenses/by-sa/3.0	</v>
    </spb>
    <spb s="27">
      <v>309</v>
      <v>310</v>
      <v>310</v>
      <v>310</v>
      <v>310</v>
      <v>310</v>
      <v>310</v>
      <v>310</v>
    </spb>
    <spb s="2">
      <v>17</v>
      <v>Name</v>
      <v>LearnMoreOnLink</v>
    </spb>
    <spb s="12">
      <v>square km</v>
      <v>2022</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23">
      <v>0</v>
      <v>314</v>
      <v>315</v>
      <v>315</v>
      <v>3</v>
      <v>315</v>
      <v>315</v>
      <v>315</v>
      <v>316</v>
      <v>315</v>
      <v>315</v>
      <v>315</v>
      <v>315</v>
      <v>317</v>
      <v>5</v>
      <v>314</v>
      <v>317</v>
      <v>7</v>
      <v>315</v>
      <v>317</v>
      <v>8</v>
      <v>9</v>
      <v>10</v>
      <v>317</v>
      <v>317</v>
      <v>315</v>
      <v>317</v>
      <v>11</v>
      <v>12</v>
      <v>13</v>
      <v>14</v>
      <v>317</v>
      <v>314</v>
      <v>317</v>
      <v>317</v>
      <v>317</v>
      <v>317</v>
      <v>317</v>
      <v>317</v>
      <v>317</v>
      <v>317</v>
      <v>317</v>
      <v>317</v>
      <v>15</v>
    </spb>
    <spb s="7">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7">
      <v>0</v>
      <v>320</v>
      <v>321</v>
      <v>321</v>
      <v>3</v>
      <v>321</v>
      <v>321</v>
      <v>321</v>
      <v>322</v>
      <v>321</v>
      <v>321</v>
      <v>322</v>
      <v>321</v>
      <v>321</v>
      <v>323</v>
      <v>5</v>
      <v>320</v>
      <v>323</v>
      <v>7</v>
      <v>321</v>
      <v>323</v>
      <v>8</v>
      <v>9</v>
      <v>10</v>
      <v>323</v>
      <v>323</v>
      <v>321</v>
      <v>323</v>
      <v>11</v>
      <v>12</v>
      <v>13</v>
      <v>14</v>
      <v>323</v>
      <v>320</v>
      <v>323</v>
      <v>323</v>
      <v>323</v>
      <v>323</v>
      <v>323</v>
      <v>323</v>
      <v>323</v>
      <v>323</v>
      <v>323</v>
      <v>323</v>
      <v>15</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CC BY-SA 3.0	</v>
      <v xml:space="preserve">https://en.wikipedia.org/wiki/London	</v>
      <v xml:space="preserve">https://creativecommons.org/licenses/by-sa/3.0	</v>
    </spb>
    <spb s="16">
      <v>326</v>
      <v>326</v>
      <v>326</v>
      <v>326</v>
      <v>326</v>
      <v>326</v>
      <v>326</v>
      <v>326</v>
      <v>326</v>
      <v>326</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28">
      <v>328</v>
      <v>328</v>
      <v>329</v>
      <v>328</v>
      <v>328</v>
      <v>328</v>
      <v>330</v>
      <v>328</v>
      <v>329</v>
      <v>328</v>
      <v>328</v>
      <v>329</v>
    </spb>
    <spb s="2">
      <v>18</v>
      <v>Name</v>
      <v>LearnMoreOnLink</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7">
      <v>0</v>
      <v>333</v>
      <v>334</v>
      <v>334</v>
      <v>3</v>
      <v>334</v>
      <v>334</v>
      <v>334</v>
      <v>335</v>
      <v>334</v>
      <v>334</v>
      <v>335</v>
      <v>334</v>
      <v>334</v>
      <v>336</v>
      <v>5</v>
      <v>333</v>
      <v>336</v>
      <v>7</v>
      <v>334</v>
      <v>336</v>
      <v>8</v>
      <v>9</v>
      <v>10</v>
      <v>336</v>
      <v>336</v>
      <v>334</v>
      <v>336</v>
      <v>11</v>
      <v>12</v>
      <v>13</v>
      <v>14</v>
      <v>336</v>
      <v>333</v>
      <v>336</v>
      <v>336</v>
      <v>336</v>
      <v>336</v>
      <v>336</v>
      <v>336</v>
      <v>336</v>
      <v>336</v>
      <v>336</v>
      <v>336</v>
      <v>15</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23">
      <v>0</v>
      <v>339</v>
      <v>340</v>
      <v>340</v>
      <v>3</v>
      <v>340</v>
      <v>340</v>
      <v>340</v>
      <v>341</v>
      <v>340</v>
      <v>340</v>
      <v>340</v>
      <v>340</v>
      <v>342</v>
      <v>5</v>
      <v>339</v>
      <v>342</v>
      <v>7</v>
      <v>340</v>
      <v>342</v>
      <v>8</v>
      <v>9</v>
      <v>10</v>
      <v>342</v>
      <v>342</v>
      <v>340</v>
      <v>342</v>
      <v>11</v>
      <v>12</v>
      <v>13</v>
      <v>14</v>
      <v>342</v>
      <v>339</v>
      <v>342</v>
      <v>342</v>
      <v>342</v>
      <v>342</v>
      <v>342</v>
      <v>342</v>
      <v>342</v>
      <v>342</v>
      <v>342</v>
      <v>342</v>
      <v>15</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23">
      <v>0</v>
      <v>344</v>
      <v>345</v>
      <v>345</v>
      <v>3</v>
      <v>345</v>
      <v>345</v>
      <v>345</v>
      <v>346</v>
      <v>345</v>
      <v>345</v>
      <v>345</v>
      <v>345</v>
      <v>347</v>
      <v>5</v>
      <v>344</v>
      <v>347</v>
      <v>7</v>
      <v>345</v>
      <v>347</v>
      <v>8</v>
      <v>9</v>
      <v>10</v>
      <v>347</v>
      <v>347</v>
      <v>345</v>
      <v>347</v>
      <v>11</v>
      <v>12</v>
      <v>13</v>
      <v>14</v>
      <v>347</v>
      <v>344</v>
      <v>347</v>
      <v>347</v>
      <v>347</v>
      <v>347</v>
      <v>347</v>
      <v>347</v>
      <v>347</v>
      <v>347</v>
      <v>347</v>
      <v>347</v>
      <v>15</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7">
      <v>0</v>
      <v>349</v>
      <v>350</v>
      <v>350</v>
      <v>3</v>
      <v>350</v>
      <v>350</v>
      <v>350</v>
      <v>351</v>
      <v>350</v>
      <v>350</v>
      <v>351</v>
      <v>350</v>
      <v>350</v>
      <v>352</v>
      <v>5</v>
      <v>349</v>
      <v>352</v>
      <v>7</v>
      <v>350</v>
      <v>352</v>
      <v>8</v>
      <v>9</v>
      <v>10</v>
      <v>352</v>
      <v>352</v>
      <v>350</v>
      <v>352</v>
      <v>11</v>
      <v>12</v>
      <v>13</v>
      <v>14</v>
      <v>352</v>
      <v>349</v>
      <v>352</v>
      <v>352</v>
      <v>352</v>
      <v>352</v>
      <v>352</v>
      <v>352</v>
      <v>352</v>
      <v>352</v>
      <v>352</v>
      <v>352</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23">
      <v>0</v>
      <v>355</v>
      <v>356</v>
      <v>356</v>
      <v>3</v>
      <v>356</v>
      <v>356</v>
      <v>356</v>
      <v>357</v>
      <v>356</v>
      <v>356</v>
      <v>356</v>
      <v>356</v>
      <v>358</v>
      <v>5</v>
      <v>355</v>
      <v>358</v>
      <v>7</v>
      <v>356</v>
      <v>358</v>
      <v>8</v>
      <v>9</v>
      <v>10</v>
      <v>358</v>
      <v>358</v>
      <v>356</v>
      <v>358</v>
      <v>11</v>
      <v>12</v>
      <v>13</v>
      <v>14</v>
      <v>358</v>
      <v>355</v>
      <v>358</v>
      <v>358</v>
      <v>358</v>
      <v>358</v>
      <v>358</v>
      <v>358</v>
      <v>358</v>
      <v>358</v>
      <v>358</v>
      <v>358</v>
      <v>15</v>
    </spb>
    <spb s="0">
      <v xml:space="preserve">Wikipedia	</v>
      <v xml:space="preserve">CC BY-SA 3.0	</v>
      <v xml:space="preserve">https://en.wikipedia.org/wiki/Vienna	</v>
      <v xml:space="preserve">https://creativecommons.org/licenses/by-sa/3.0	</v>
    </spb>
    <spb s="0">
      <v xml:space="preserve">Wikipedia	</v>
      <v xml:space="preserve">CC-BY-SA	</v>
      <v xml:space="preserve">http://en.wikipedia.org/wiki/Vienna	</v>
      <v xml:space="preserve">http://creativecommons.org/licenses/by-sa/3.0/	</v>
    </spb>
    <spb s="29">
      <v>360</v>
      <v>360</v>
      <v>360</v>
      <v>360</v>
      <v>360</v>
      <v>361</v>
      <v>360</v>
    </spb>
    <spb s="2">
      <v>19</v>
      <v>Name</v>
      <v>LearnMoreOnLink</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7">
      <v>0</v>
      <v>364</v>
      <v>365</v>
      <v>365</v>
      <v>3</v>
      <v>365</v>
      <v>365</v>
      <v>365</v>
      <v>366</v>
      <v>365</v>
      <v>365</v>
      <v>366</v>
      <v>365</v>
      <v>365</v>
      <v>367</v>
      <v>5</v>
      <v>364</v>
      <v>367</v>
      <v>7</v>
      <v>365</v>
      <v>367</v>
      <v>8</v>
      <v>9</v>
      <v>10</v>
      <v>367</v>
      <v>367</v>
      <v>365</v>
      <v>367</v>
      <v>11</v>
      <v>12</v>
      <v>13</v>
      <v>14</v>
      <v>367</v>
      <v>364</v>
      <v>367</v>
      <v>367</v>
      <v>367</v>
      <v>367</v>
      <v>367</v>
      <v>367</v>
      <v>367</v>
      <v>367</v>
      <v>367</v>
      <v>367</v>
      <v>15</v>
    </spb>
    <spb s="7">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23">
      <v>0</v>
      <v>370</v>
      <v>371</v>
      <v>371</v>
      <v>3</v>
      <v>371</v>
      <v>371</v>
      <v>371</v>
      <v>372</v>
      <v>371</v>
      <v>371</v>
      <v>371</v>
      <v>371</v>
      <v>373</v>
      <v>5</v>
      <v>370</v>
      <v>373</v>
      <v>7</v>
      <v>371</v>
      <v>373</v>
      <v>8</v>
      <v>9</v>
      <v>10</v>
      <v>373</v>
      <v>373</v>
      <v>371</v>
      <v>373</v>
      <v>11</v>
      <v>12</v>
      <v>13</v>
      <v>14</v>
      <v>373</v>
      <v>370</v>
      <v>373</v>
      <v>373</v>
      <v>373</v>
      <v>373</v>
      <v>373</v>
      <v>373</v>
      <v>373</v>
      <v>373</v>
      <v>373</v>
      <v>373</v>
      <v>15</v>
    </spb>
    <spb s="7">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7">
      <v>0</v>
      <v>376</v>
      <v>377</v>
      <v>377</v>
      <v>3</v>
      <v>377</v>
      <v>377</v>
      <v>377</v>
      <v>378</v>
      <v>377</v>
      <v>377</v>
      <v>378</v>
      <v>377</v>
      <v>377</v>
      <v>379</v>
      <v>5</v>
      <v>376</v>
      <v>379</v>
      <v>7</v>
      <v>377</v>
      <v>379</v>
      <v>8</v>
      <v>9</v>
      <v>10</v>
      <v>379</v>
      <v>379</v>
      <v>377</v>
      <v>379</v>
      <v>11</v>
      <v>12</v>
      <v>13</v>
      <v>14</v>
      <v>379</v>
      <v>376</v>
      <v>379</v>
      <v>379</v>
      <v>379</v>
      <v>379</v>
      <v>379</v>
      <v>379</v>
      <v>379</v>
      <v>379</v>
      <v>379</v>
      <v>379</v>
      <v>15</v>
    </spb>
    <spb s="0">
      <v xml:space="preserve">Wikipedia	</v>
      <v xml:space="preserve">CC BY-SA 3.0	</v>
      <v xml:space="preserve">https://en.wikipedia.org/wiki/Brussels	</v>
      <v xml:space="preserve">https://creativecommons.org/licenses/by-sa/3.0	</v>
    </spb>
    <spb s="27">
      <v>381</v>
      <v>381</v>
      <v>381</v>
      <v>381</v>
      <v>381</v>
      <v>381</v>
      <v>381</v>
      <v>381</v>
    </spb>
    <spb s="0">
      <v xml:space="preserve">Wikipedia	</v>
      <v xml:space="preserve">CC BY-SA 3.0	</v>
      <v xml:space="preserve">https://en.wikipedia.org/wiki/Miami	</v>
      <v xml:space="preserve">https://creativecommons.org/licenses/by-sa/3.0	</v>
    </spb>
    <spb s="16">
      <v>383</v>
      <v>383</v>
      <v>383</v>
      <v>383</v>
      <v>383</v>
      <v>383</v>
      <v>383</v>
      <v>383</v>
      <v>383</v>
      <v>383</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7">
      <v>0</v>
      <v>385</v>
      <v>386</v>
      <v>386</v>
      <v>3</v>
      <v>386</v>
      <v>386</v>
      <v>386</v>
      <v>387</v>
      <v>386</v>
      <v>386</v>
      <v>387</v>
      <v>386</v>
      <v>386</v>
      <v>388</v>
      <v>5</v>
      <v>389</v>
      <v>388</v>
      <v>7</v>
      <v>386</v>
      <v>388</v>
      <v>8</v>
      <v>9</v>
      <v>10</v>
      <v>388</v>
      <v>388</v>
      <v>386</v>
      <v>388</v>
      <v>11</v>
      <v>12</v>
      <v>13</v>
      <v>14</v>
      <v>388</v>
      <v>389</v>
      <v>388</v>
      <v>388</v>
      <v>388</v>
      <v>388</v>
      <v>388</v>
      <v>388</v>
      <v>388</v>
      <v>388</v>
      <v>388</v>
      <v>388</v>
      <v>15</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7">
      <v>0</v>
      <v>392</v>
      <v>393</v>
      <v>393</v>
      <v>3</v>
      <v>393</v>
      <v>393</v>
      <v>393</v>
      <v>394</v>
      <v>393</v>
      <v>393</v>
      <v>394</v>
      <v>393</v>
      <v>393</v>
      <v>395</v>
      <v>5</v>
      <v>392</v>
      <v>395</v>
      <v>7</v>
      <v>393</v>
      <v>395</v>
      <v>8</v>
      <v>9</v>
      <v>10</v>
      <v>395</v>
      <v>395</v>
      <v>393</v>
      <v>395</v>
      <v>11</v>
      <v>12</v>
      <v>13</v>
      <v>14</v>
      <v>395</v>
      <v>392</v>
      <v>395</v>
      <v>395</v>
      <v>395</v>
      <v>395</v>
      <v>395</v>
      <v>395</v>
      <v>395</v>
      <v>395</v>
      <v>395</v>
      <v>395</v>
      <v>15</v>
    </spb>
    <spb s="7">
      <v>2019</v>
      <v>2019</v>
      <v>square km</v>
      <v>per thousand (2018)</v>
      <v>2022</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17">
      <v>0</v>
      <v>398</v>
      <v>399</v>
      <v>399</v>
      <v>3</v>
      <v>399</v>
      <v>399</v>
      <v>399</v>
      <v>400</v>
      <v>399</v>
      <v>399</v>
      <v>400</v>
      <v>399</v>
      <v>399</v>
      <v>401</v>
      <v>5</v>
      <v>398</v>
      <v>401</v>
      <v>7</v>
      <v>399</v>
      <v>401</v>
      <v>8</v>
      <v>9</v>
      <v>10</v>
      <v>401</v>
      <v>401</v>
      <v>399</v>
      <v>401</v>
      <v>11</v>
      <v>12</v>
      <v>13</v>
      <v>14</v>
      <v>401</v>
      <v>398</v>
      <v>401</v>
      <v>401</v>
      <v>401</v>
      <v>401</v>
      <v>401</v>
      <v>401</v>
      <v>401</v>
      <v>401</v>
      <v>401</v>
      <v>401</v>
      <v>15</v>
    </spb>
    <spb s="7">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v>
      <v xml:space="preserve">CC BY-SA 3.0	</v>
      <v xml:space="preserve">https://en.wikipedia.org/wiki/Prague	</v>
      <v xml:space="preserve">https://creativecommons.org/licenses/by-sa/3.0	</v>
    </spb>
    <spb s="0">
      <v xml:space="preserve">Wikipedia	</v>
      <v xml:space="preserve">CC-BY-SA	</v>
      <v xml:space="preserve">http://en.wikipedia.org/wiki/Prague	</v>
      <v xml:space="preserve">http://creativecommons.org/licenses/by-sa/3.0/	</v>
    </spb>
    <spb s="29">
      <v>404</v>
      <v>404</v>
      <v>404</v>
      <v>404</v>
      <v>404</v>
      <v>405</v>
      <v>404</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7">
      <v>0</v>
      <v>407</v>
      <v>408</v>
      <v>408</v>
      <v>3</v>
      <v>408</v>
      <v>408</v>
      <v>408</v>
      <v>409</v>
      <v>408</v>
      <v>408</v>
      <v>409</v>
      <v>408</v>
      <v>408</v>
      <v>410</v>
      <v>5</v>
      <v>407</v>
      <v>410</v>
      <v>7</v>
      <v>408</v>
      <v>410</v>
      <v>8</v>
      <v>9</v>
      <v>10</v>
      <v>410</v>
      <v>410</v>
      <v>408</v>
      <v>410</v>
      <v>11</v>
      <v>12</v>
      <v>13</v>
      <v>14</v>
      <v>410</v>
      <v>407</v>
      <v>410</v>
      <v>410</v>
      <v>410</v>
      <v>410</v>
      <v>410</v>
      <v>410</v>
      <v>410</v>
      <v>410</v>
      <v>410</v>
      <v>410</v>
      <v>15</v>
    </spb>
    <spb s="7">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7">
      <v>0</v>
      <v>413</v>
      <v>414</v>
      <v>414</v>
      <v>3</v>
      <v>414</v>
      <v>414</v>
      <v>414</v>
      <v>415</v>
      <v>414</v>
      <v>414</v>
      <v>415</v>
      <v>414</v>
      <v>414</v>
      <v>416</v>
      <v>5</v>
      <v>413</v>
      <v>416</v>
      <v>7</v>
      <v>414</v>
      <v>416</v>
      <v>8</v>
      <v>9</v>
      <v>10</v>
      <v>416</v>
      <v>416</v>
      <v>414</v>
      <v>416</v>
      <v>11</v>
      <v>12</v>
      <v>13</v>
      <v>14</v>
      <v>416</v>
      <v>413</v>
      <v>416</v>
      <v>416</v>
      <v>416</v>
      <v>416</v>
      <v>416</v>
      <v>416</v>
      <v>416</v>
      <v>416</v>
      <v>416</v>
      <v>416</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7">
      <v>0</v>
      <v>419</v>
      <v>420</v>
      <v>420</v>
      <v>3</v>
      <v>420</v>
      <v>420</v>
      <v>420</v>
      <v>421</v>
      <v>420</v>
      <v>420</v>
      <v>421</v>
      <v>420</v>
      <v>420</v>
      <v>422</v>
      <v>5</v>
      <v>419</v>
      <v>422</v>
      <v>7</v>
      <v>420</v>
      <v>422</v>
      <v>8</v>
      <v>9</v>
      <v>10</v>
      <v>422</v>
      <v>422</v>
      <v>420</v>
      <v>422</v>
      <v>11</v>
      <v>12</v>
      <v>13</v>
      <v>14</v>
      <v>422</v>
      <v>419</v>
      <v>422</v>
      <v>422</v>
      <v>422</v>
      <v>422</v>
      <v>422</v>
      <v>422</v>
      <v>422</v>
      <v>422</v>
      <v>422</v>
      <v>422</v>
      <v>15</v>
    </spb>
    <spb s="7">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7">
      <v>0</v>
      <v>425</v>
      <v>426</v>
      <v>426</v>
      <v>3</v>
      <v>426</v>
      <v>426</v>
      <v>426</v>
      <v>427</v>
      <v>426</v>
      <v>426</v>
      <v>427</v>
      <v>426</v>
      <v>426</v>
      <v>428</v>
      <v>5</v>
      <v>425</v>
      <v>428</v>
      <v>7</v>
      <v>426</v>
      <v>428</v>
      <v>8</v>
      <v>9</v>
      <v>10</v>
      <v>428</v>
      <v>428</v>
      <v>426</v>
      <v>428</v>
      <v>11</v>
      <v>12</v>
      <v>13</v>
      <v>14</v>
      <v>428</v>
      <v>425</v>
      <v>428</v>
      <v>428</v>
      <v>428</v>
      <v>428</v>
      <v>428</v>
      <v>428</v>
      <v>428</v>
      <v>428</v>
      <v>428</v>
      <v>428</v>
      <v>15</v>
    </spb>
  </spbData>
</supportingPropertyBags>
</file>

<file path=xl/richData/rdsupportingpropertybagstructure.xml><?xml version="1.0" encoding="utf-8"?>
<spbStructures xmlns="http://schemas.microsoft.com/office/spreadsheetml/2017/richdata2" count="30">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Latitude" t="spb"/>
    <k n="Longitude" t="spb"/>
    <k n="Population" t="spb"/>
    <k n="UniqueName" t="spb"/>
    <k n="Description" t="spb"/>
    <k n="Country/region" t="spb"/>
    <k n="Admin Division 1 (State/province/other)" t="spb"/>
  </s>
  <s>
    <k n="Area" t="s"/>
    <k n="Population"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
    <k n="Area" t="spb"/>
    <k n="Name" t="spb"/>
    <k n="Latitude" t="spb"/>
    <k n="Longitude" t="spb"/>
    <k n="Population" t="spb"/>
    <k n="UniqueName" t="spb"/>
    <k n="Description" t="spb"/>
    <k n="Country/region" t="spb"/>
    <k n="Admin Division 1 (State/province/other)" t="spb"/>
    <k n="Admin Division 2 (County/district/other)"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Largest city" t="spb"/>
    <k n="Country/region" t="spb"/>
    <k n="Capital/Major City"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Households" t="spb"/>
    <k n="Population" t="spb"/>
    <k n="UniqueName" t="spb"/>
    <k n="Description" t="spb"/>
    <k n="Abbreviation" t="spb"/>
    <k n="Largest city" t="spb"/>
    <k n="Housing units" t="spb"/>
    <k n="Country/region" t="spb"/>
    <k n="Building permits" t="spb"/>
    <k n="Capital/Major City" t="spb"/>
    <k n="Persons per household" t="spb"/>
    <k n="Median household income" t="spb"/>
  </s>
  <s>
    <k n="Area" t="s"/>
    <k n="Households" t="s"/>
    <k n="Population" t="s"/>
    <k n="Housing units" t="s"/>
    <k n="Building permits" t="s"/>
    <k n="Persons per household" t="s"/>
    <k n="Median household income"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s>
  <s>
    <k n="Area" t="spb"/>
    <k n="Name" t="spb"/>
    <k n="Households" t="spb"/>
    <k n="Population" t="spb"/>
    <k n="UniqueName" t="spb"/>
    <k n="Description" t="spb"/>
    <k n="Abbreviation" t="spb"/>
    <k n="Largest city" t="spb"/>
    <k n="Housing units" t="spb"/>
    <k n="Country/region" t="spb"/>
    <k n="Capital/Major City" t="spb"/>
    <k n="Persons per household" t="spb"/>
  </s>
  <s>
    <k n="Area" t="spb"/>
    <k n="Name" t="spb"/>
    <k n="Population" t="spb"/>
    <k n="UniqueName" t="spb"/>
    <k n="Description" t="spb"/>
    <k n="Abbrevia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14" formatCode="0.00%"/>
    </x:dxf>
    <x:dxf>
      <x:numFmt numFmtId="2" formatCode="0.00"/>
    </x:dxf>
    <x:dxf>
      <x:numFmt numFmtId="13" formatCode="0%"/>
    </x:dxf>
    <x:dxf>
      <x:numFmt numFmtId="4" formatCode="#,##0.00"/>
    </x:dxf>
    <x:dxf>
      <x:numFmt numFmtId="1" formatCode="0"/>
    </x:dxf>
  </dxfs>
  <richProperties>
    <rPr n="IsTitleField" t="b"/>
    <rPr n="IsHeroField" t="b"/>
    <rPr n="NumberFormat" t="s"/>
  </richProperties>
  <richStyles>
    <rSty>
      <rpv i="0">1</rpv>
    </rSty>
    <rSty>
      <rpv i="1">1</rpv>
    </rSty>
    <rSty dxfid="2">
      <rpv i="2">0.0%</rpv>
    </rSty>
    <rSty dxfid="0">
      <rpv i="2">#,##0</rpv>
    </rSty>
    <rSty dxfid="3">
      <rpv i="2">0.00</rpv>
    </rSty>
    <rSty dxfid="6">
      <rpv i="2">0</rpv>
    </rSty>
    <rSty dxfid="5">
      <rpv i="2">#,##0.00</rpv>
    </rSty>
    <rSty dxfid="1">
      <rpv i="2">0.0</rpv>
    </rSty>
    <rSty dxfid="1">
      <rpv i="2">_([$$-en-US]* #,##0.00_);_([$$-en-US]* (#,##0.00);_([$$-en-US]* "-"??_);_(@_)</rpv>
    </rSty>
    <rSty dxfid="1">
      <rpv i="2">_([$$-en-US]* #,##0_);_([$$-en-US]* (#,##0);_([$$-en-US]* "-"_);_(@_)</rpv>
    </rSty>
    <rSty dxfid="2"/>
    <rSty dxfid="4"/>
    <rSty dxfid="1">
      <rpv i="2">0.0000</rpv>
    </rSty>
    <rSty dxfid="1">
      <rpv i="2">_([$$-en-CA]* #,##0_);_([$$-en-CA]* (#,##0);_([$$-en-CA]*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uwo.ca/index.html" TargetMode="External"/><Relationship Id="rId117" Type="http://schemas.openxmlformats.org/officeDocument/2006/relationships/hyperlink" Target="https://jobs.zew.de/jobposting/3f77f7ab4c309cc0acb22cf7c49d1f933b1a9b780" TargetMode="External"/><Relationship Id="rId21" Type="http://schemas.openxmlformats.org/officeDocument/2006/relationships/hyperlink" Target="https://www.rfberlin.com/" TargetMode="External"/><Relationship Id="rId42" Type="http://schemas.openxmlformats.org/officeDocument/2006/relationships/hyperlink" Target="https://www.itam.mx/" TargetMode="External"/><Relationship Id="rId47" Type="http://schemas.openxmlformats.org/officeDocument/2006/relationships/hyperlink" Target="https://www.haverford.edu/" TargetMode="External"/><Relationship Id="rId63" Type="http://schemas.openxmlformats.org/officeDocument/2006/relationships/hyperlink" Target="https://www.uu.nl/en/organisation/working-at-utrecht-university/jobs/lecturer-in-applied-economics" TargetMode="External"/><Relationship Id="rId68" Type="http://schemas.openxmlformats.org/officeDocument/2006/relationships/hyperlink" Target="https://economics.virginia.edu/" TargetMode="External"/><Relationship Id="rId84" Type="http://schemas.openxmlformats.org/officeDocument/2006/relationships/hyperlink" Target="mailto:ari.hyytinen@hanken.fi" TargetMode="External"/><Relationship Id="rId89" Type="http://schemas.openxmlformats.org/officeDocument/2006/relationships/hyperlink" Target="https://jobs.wisc.edu/jobs/assistant-professor-in-agricultural-and-applied-economics-madison-wisconsin-united-states" TargetMode="External"/><Relationship Id="rId112" Type="http://schemas.openxmlformats.org/officeDocument/2006/relationships/hyperlink" Target="https://fa-eosd-saasfaprod1.fa.ocs.oraclecloud.com/hcmUI/CandidateExperience/en/sites/CX_1001/job/3205" TargetMode="External"/><Relationship Id="rId16" Type="http://schemas.openxmlformats.org/officeDocument/2006/relationships/hyperlink" Target="https://www.babson.edu/" TargetMode="External"/><Relationship Id="rId107" Type="http://schemas.openxmlformats.org/officeDocument/2006/relationships/hyperlink" Target="https://www.vacancies.st-andrews.ac.uk/Vacancies/W/4445/0/461020/889/senior-lecturer-or-reader-in-economics-microeconomics-ac2400" TargetMode="External"/><Relationship Id="rId11" Type="http://schemas.openxmlformats.org/officeDocument/2006/relationships/hyperlink" Target="https://www.american.edu/" TargetMode="External"/><Relationship Id="rId32" Type="http://schemas.openxmlformats.org/officeDocument/2006/relationships/hyperlink" Target="https://www.sciencespo.fr/en/" TargetMode="External"/><Relationship Id="rId37" Type="http://schemas.openxmlformats.org/officeDocument/2006/relationships/hyperlink" Target="https://www.cunef.edu/" TargetMode="External"/><Relationship Id="rId53" Type="http://schemas.openxmlformats.org/officeDocument/2006/relationships/hyperlink" Target="https://crese.univ-fcomte.fr/fr" TargetMode="External"/><Relationship Id="rId58" Type="http://schemas.openxmlformats.org/officeDocument/2006/relationships/hyperlink" Target="mailto:a.gorbenko@ucl.co.uk" TargetMode="External"/><Relationship Id="rId74" Type="http://schemas.openxmlformats.org/officeDocument/2006/relationships/hyperlink" Target="https://jobs.iadb.org/job/Economics-Specialist/1922-en_US/" TargetMode="External"/><Relationship Id="rId79" Type="http://schemas.openxmlformats.org/officeDocument/2006/relationships/hyperlink" Target="https://www.berry.edu/" TargetMode="External"/><Relationship Id="rId102" Type="http://schemas.openxmlformats.org/officeDocument/2006/relationships/hyperlink" Target="mailto:comap@northwestern.edu" TargetMode="External"/><Relationship Id="rId5" Type="http://schemas.openxmlformats.org/officeDocument/2006/relationships/hyperlink" Target="https://www.williams.edu/" TargetMode="External"/><Relationship Id="rId90" Type="http://schemas.openxmlformats.org/officeDocument/2006/relationships/hyperlink" Target="https://employmentopportunities.umb.edu/boston/en-us/job/527945/assistant-professor-economics" TargetMode="External"/><Relationship Id="rId95" Type="http://schemas.openxmlformats.org/officeDocument/2006/relationships/hyperlink" Target="https://www.wu.ac.at/karriere/jobportal/jobs/auf-post-doc-level" TargetMode="External"/><Relationship Id="rId22" Type="http://schemas.openxmlformats.org/officeDocument/2006/relationships/hyperlink" Target="https://www.iadb.org/en/who-we-are/about-us" TargetMode="External"/><Relationship Id="rId27" Type="http://schemas.openxmlformats.org/officeDocument/2006/relationships/hyperlink" Target="https://www.ucm.es/" TargetMode="External"/><Relationship Id="rId43" Type="http://schemas.openxmlformats.org/officeDocument/2006/relationships/hyperlink" Target="https://www.cea-uchile.cl/" TargetMode="External"/><Relationship Id="rId48" Type="http://schemas.openxmlformats.org/officeDocument/2006/relationships/hyperlink" Target="https://american.wd1.myworkdayjobs.com/en-US/AU/job/Assistant-Professor--Tenure-Track----Department-of-Environment--Development---Health_R2984" TargetMode="External"/><Relationship Id="rId64" Type="http://schemas.openxmlformats.org/officeDocument/2006/relationships/hyperlink" Target="https://www.mit.edu/" TargetMode="External"/><Relationship Id="rId69" Type="http://schemas.openxmlformats.org/officeDocument/2006/relationships/hyperlink" Target="https://apply.interfolio.com/173878" TargetMode="External"/><Relationship Id="rId113" Type="http://schemas.openxmlformats.org/officeDocument/2006/relationships/hyperlink" Target="https://apply.interfolio.com/180665" TargetMode="External"/><Relationship Id="rId118" Type="http://schemas.openxmlformats.org/officeDocument/2006/relationships/printerSettings" Target="../printerSettings/printerSettings1.bin"/><Relationship Id="rId80" Type="http://schemas.openxmlformats.org/officeDocument/2006/relationships/hyperlink" Target="https://www.berry.edu/" TargetMode="External"/><Relationship Id="rId85" Type="http://schemas.openxmlformats.org/officeDocument/2006/relationships/hyperlink" Target="mailto:peter.haan@fu-berlin.de" TargetMode="External"/><Relationship Id="rId12" Type="http://schemas.openxmlformats.org/officeDocument/2006/relationships/hyperlink" Target="https://www.waseda.jp/fpse/pse/news-en/2025/08/05/24591/" TargetMode="External"/><Relationship Id="rId17" Type="http://schemas.openxmlformats.org/officeDocument/2006/relationships/hyperlink" Target="https://www.bates.edu/" TargetMode="External"/><Relationship Id="rId33" Type="http://schemas.openxmlformats.org/officeDocument/2006/relationships/hyperlink" Target="https://www.unimelb.edu.au/" TargetMode="External"/><Relationship Id="rId38" Type="http://schemas.openxmlformats.org/officeDocument/2006/relationships/hyperlink" Target="https://www.cemfi.es/" TargetMode="External"/><Relationship Id="rId59" Type="http://schemas.openxmlformats.org/officeDocument/2006/relationships/hyperlink" Target="https://www.ucdavis.edu/" TargetMode="External"/><Relationship Id="rId103" Type="http://schemas.openxmlformats.org/officeDocument/2006/relationships/hyperlink" Target="https://postdocs.northwestern.edu/announcements/positions-at-northwestern/2025/postdoctoral-research-opportunity-global-llm-values-benchmarking-working-group.html" TargetMode="External"/><Relationship Id="rId108" Type="http://schemas.openxmlformats.org/officeDocument/2006/relationships/hyperlink" Target="https://jobs.unamur.be/emploi.2025-12-02.1636013715" TargetMode="External"/><Relationship Id="rId54" Type="http://schemas.openxmlformats.org/officeDocument/2006/relationships/hyperlink" Target="https://www.uab.cat/en/" TargetMode="External"/><Relationship Id="rId70" Type="http://schemas.openxmlformats.org/officeDocument/2006/relationships/hyperlink" Target="https://www.aup.edu/" TargetMode="External"/><Relationship Id="rId75" Type="http://schemas.openxmlformats.org/officeDocument/2006/relationships/hyperlink" Target="https://www.iadb.org/en/who-we-are/about-us" TargetMode="External"/><Relationship Id="rId91" Type="http://schemas.openxmlformats.org/officeDocument/2006/relationships/hyperlink" Target="https://utah.peopleadmin.com/postings/188619" TargetMode="External"/><Relationship Id="rId96" Type="http://schemas.openxmlformats.org/officeDocument/2006/relationships/hyperlink" Target="mailto:dulbea@ulb.be" TargetMode="External"/><Relationship Id="rId1" Type="http://schemas.openxmlformats.org/officeDocument/2006/relationships/hyperlink" Target="https://www.sfu.ca/" TargetMode="External"/><Relationship Id="rId6" Type="http://schemas.openxmlformats.org/officeDocument/2006/relationships/hyperlink" Target="https://apply.interfolio.com/171825" TargetMode="External"/><Relationship Id="rId23" Type="http://schemas.openxmlformats.org/officeDocument/2006/relationships/hyperlink" Target="https://www.tse-fr.eu/" TargetMode="External"/><Relationship Id="rId28" Type="http://schemas.openxmlformats.org/officeDocument/2006/relationships/hyperlink" Target="https://www.ucm.es/" TargetMode="External"/><Relationship Id="rId49" Type="http://schemas.openxmlformats.org/officeDocument/2006/relationships/hyperlink" Target="https://associatecareers-analysisgroup.icims.com/jobs/2760/associate---generalist---montreal---toronto-%282026-start-date%29/job" TargetMode="External"/><Relationship Id="rId114" Type="http://schemas.openxmlformats.org/officeDocument/2006/relationships/hyperlink" Target="https://www.hiroshima-u.ac.jp/en/employment/kyoinkobo/ningen" TargetMode="External"/><Relationship Id="rId10" Type="http://schemas.openxmlformats.org/officeDocument/2006/relationships/hyperlink" Target="https://www.american.edu/" TargetMode="External"/><Relationship Id="rId31" Type="http://schemas.openxmlformats.org/officeDocument/2006/relationships/hyperlink" Target="https://www.ens.psl.eu/" TargetMode="External"/><Relationship Id="rId44" Type="http://schemas.openxmlformats.org/officeDocument/2006/relationships/hyperlink" Target="https://economia.uniandes.edu.co/" TargetMode="External"/><Relationship Id="rId52" Type="http://schemas.openxmlformats.org/officeDocument/2006/relationships/hyperlink" Target="https://nam10.safelinks.protection.outlook.com/?url=https%3A%2F%2Fwww.pierrebiscaye.com%2F&amp;data=05%7C02%7Cgonzalezjj%40mail.smu.edu%7Cf17b24ecae9644d5351608de0b2d3d88%7C0f450f2e334f4bada85c9adf76051d8b%7C0%7C0%7C638960486114093769%7CUnknown%7CTWFpbGZsb3d8eyJFbXB0eU1hcGkiOnRydWUsIlYiOiIwLjAuMDAwMCIsIlAiOiJXaW4zMiIsIkFOIjoiTWFpbCIsIldUIjoyfQ%3D%3D%7C0%7C%7C%7C&amp;sdata=G3tT9q0mvtmAIBnq6zF0gIXzpLRerNt4Zfffdrm2A2E%3D&amp;reserved=0" TargetMode="External"/><Relationship Id="rId60" Type="http://schemas.openxmlformats.org/officeDocument/2006/relationships/hyperlink" Target="https://apptrkr.com/6572257" TargetMode="External"/><Relationship Id="rId65" Type="http://schemas.openxmlformats.org/officeDocument/2006/relationships/hyperlink" Target="https://www.uni-mannheim.de/en/" TargetMode="External"/><Relationship Id="rId73" Type="http://schemas.openxmlformats.org/officeDocument/2006/relationships/hyperlink" Target="https://www.uu.se/en" TargetMode="External"/><Relationship Id="rId78" Type="http://schemas.openxmlformats.org/officeDocument/2006/relationships/hyperlink" Target="https://utecon.net/en/" TargetMode="External"/><Relationship Id="rId81" Type="http://schemas.openxmlformats.org/officeDocument/2006/relationships/hyperlink" Target="https://www.aeaweb.org/joe/listing.php?JOE_ID=2025-02_111476357" TargetMode="External"/><Relationship Id="rId86" Type="http://schemas.openxmlformats.org/officeDocument/2006/relationships/hyperlink" Target="https://jobs.zew.de/jobposting/a3948eae149a2cbb2b0ad5ebef942223e49bfbe40" TargetMode="External"/><Relationship Id="rId94" Type="http://schemas.openxmlformats.org/officeDocument/2006/relationships/hyperlink" Target="https://elliottash.com/" TargetMode="External"/><Relationship Id="rId99" Type="http://schemas.openxmlformats.org/officeDocument/2006/relationships/hyperlink" Target="https://apply.interfolio.com/176044" TargetMode="External"/><Relationship Id="rId101" Type="http://schemas.openxmlformats.org/officeDocument/2006/relationships/hyperlink" Target="https://tinyurl.com/BerlinESCPEcon" TargetMode="External"/><Relationship Id="rId4" Type="http://schemas.openxmlformats.org/officeDocument/2006/relationships/hyperlink" Target="https://www.unl.pt/en/" TargetMode="External"/><Relationship Id="rId9" Type="http://schemas.openxmlformats.org/officeDocument/2006/relationships/hyperlink" Target="https://www.psu.edu/" TargetMode="External"/><Relationship Id="rId13" Type="http://schemas.openxmlformats.org/officeDocument/2006/relationships/hyperlink" Target="https://www.analysisgroup.com/" TargetMode="External"/><Relationship Id="rId18" Type="http://schemas.openxmlformats.org/officeDocument/2006/relationships/hyperlink" Target="https://www.uc3m.es/Home" TargetMode="External"/><Relationship Id="rId39" Type="http://schemas.openxmlformats.org/officeDocument/2006/relationships/hyperlink" Target="https://www.ie.edu/university/" TargetMode="External"/><Relationship Id="rId109" Type="http://schemas.openxmlformats.org/officeDocument/2006/relationships/hyperlink" Target="https://candidate.hr-manager.net/ApplicationForm/SinglePageApplicationForm.aspx?cid=3010&amp;departmentId=19853&amp;ProjectId=152721&amp;MediaId=5105" TargetMode="External"/><Relationship Id="rId34" Type="http://schemas.openxmlformats.org/officeDocument/2006/relationships/hyperlink" Target="https://www.monash.edu/" TargetMode="External"/><Relationship Id="rId50" Type="http://schemas.openxmlformats.org/officeDocument/2006/relationships/hyperlink" Target="https://apply.interfolio.com/173570" TargetMode="External"/><Relationship Id="rId55" Type="http://schemas.openxmlformats.org/officeDocument/2006/relationships/hyperlink" Target="https://www.cornell.edu/" TargetMode="External"/><Relationship Id="rId76" Type="http://schemas.openxmlformats.org/officeDocument/2006/relationships/hyperlink" Target="https://www.cyberagent.co.jp/en/" TargetMode="External"/><Relationship Id="rId97" Type="http://schemas.openxmlformats.org/officeDocument/2006/relationships/hyperlink" Target="mailto:ondrej.krcal@econ.muni.cz" TargetMode="External"/><Relationship Id="rId104" Type="http://schemas.openxmlformats.org/officeDocument/2006/relationships/hyperlink" Target="https://www.schooljobs.com/careers/bgsu/faculty/jobs/5151499/assistant-teaching-professor-of-economics?pagetype=jobOpportunitiesJobs" TargetMode="External"/><Relationship Id="rId7" Type="http://schemas.openxmlformats.org/officeDocument/2006/relationships/hyperlink" Target="https://www.iast.fr/" TargetMode="External"/><Relationship Id="rId71" Type="http://schemas.openxmlformats.org/officeDocument/2006/relationships/hyperlink" Target="https://apply.interfolio.com/170082" TargetMode="External"/><Relationship Id="rId92" Type="http://schemas.openxmlformats.org/officeDocument/2006/relationships/hyperlink" Target="https://erecruit.umsystem.edu/psc/tamext/COLUM/HRMS/c/HRS_HRAM_FL.HRS_CG_SEARCH_FL.GBL?Page=HRS_APP_SCHJOB_FL&amp;Action=U" TargetMode="External"/><Relationship Id="rId2" Type="http://schemas.openxmlformats.org/officeDocument/2006/relationships/hyperlink" Target="https://www.mcmaster.ca/" TargetMode="External"/><Relationship Id="rId29" Type="http://schemas.openxmlformats.org/officeDocument/2006/relationships/hyperlink" Target="https://forms.office.com/Pages/ResponsePage.aspx?id=1MdBrGEfDUaw9PySWitHHPCJevCMDFdChZ_htgD0RItUN0NJUjcwQlFOQUhUU0dLSkdONVY3U1g3OS4u" TargetMode="External"/><Relationship Id="rId24" Type="http://schemas.openxmlformats.org/officeDocument/2006/relationships/hyperlink" Target="https://www.su.se/english/" TargetMode="External"/><Relationship Id="rId40" Type="http://schemas.openxmlformats.org/officeDocument/2006/relationships/hyperlink" Target="https://www.uq.edu.au/" TargetMode="External"/><Relationship Id="rId45" Type="http://schemas.openxmlformats.org/officeDocument/2006/relationships/hyperlink" Target="https://babson.peopleadmin.com/postings/6545" TargetMode="External"/><Relationship Id="rId66" Type="http://schemas.openxmlformats.org/officeDocument/2006/relationships/hyperlink" Target="https://www.stanford.edu/about/" TargetMode="External"/><Relationship Id="rId87" Type="http://schemas.openxmlformats.org/officeDocument/2006/relationships/hyperlink" Target="https://airtable.com/appXAkqceBTdmqmoL/pagkrGoMDVnPvz2vD/form" TargetMode="External"/><Relationship Id="rId110" Type="http://schemas.openxmlformats.org/officeDocument/2006/relationships/hyperlink" Target="http://jobs.tcd.ie/" TargetMode="External"/><Relationship Id="rId115" Type="http://schemas.openxmlformats.org/officeDocument/2006/relationships/hyperlink" Target="https://www.eria.org/about-us/career-opportunities" TargetMode="External"/><Relationship Id="rId61" Type="http://schemas.openxmlformats.org/officeDocument/2006/relationships/hyperlink" Target="https://www.vassar.edu/" TargetMode="External"/><Relationship Id="rId82" Type="http://schemas.openxmlformats.org/officeDocument/2006/relationships/hyperlink" Target="https://apply.interfolio.com/175578" TargetMode="External"/><Relationship Id="rId19" Type="http://schemas.openxmlformats.org/officeDocument/2006/relationships/hyperlink" Target="https://www.tamu.edu/index.html" TargetMode="External"/><Relationship Id="rId14" Type="http://schemas.openxmlformats.org/officeDocument/2006/relationships/hyperlink" Target="https://www.analysisgroup.com/" TargetMode="External"/><Relationship Id="rId30" Type="http://schemas.openxmlformats.org/officeDocument/2006/relationships/hyperlink" Target="mailto:mathieu.miranda@oecd.org" TargetMode="External"/><Relationship Id="rId35" Type="http://schemas.openxmlformats.org/officeDocument/2006/relationships/hyperlink" Target="https://www.upf.edu/" TargetMode="External"/><Relationship Id="rId56" Type="http://schemas.openxmlformats.org/officeDocument/2006/relationships/hyperlink" Target="https://academicjobsonline.org/ajo/jobs/30626" TargetMode="External"/><Relationship Id="rId77" Type="http://schemas.openxmlformats.org/officeDocument/2006/relationships/hyperlink" Target="https://www.hiroshima-u.ac.jp/en/idec/about/goal" TargetMode="External"/><Relationship Id="rId100" Type="http://schemas.openxmlformats.org/officeDocument/2006/relationships/hyperlink" Target="https://www.carloalberto.org/" TargetMode="External"/><Relationship Id="rId105" Type="http://schemas.openxmlformats.org/officeDocument/2006/relationships/hyperlink" Target="https://apply.interfolio.com/178305" TargetMode="External"/><Relationship Id="rId8" Type="http://schemas.openxmlformats.org/officeDocument/2006/relationships/hyperlink" Target="https://www.waseda.jp/top/en/" TargetMode="External"/><Relationship Id="rId51" Type="http://schemas.openxmlformats.org/officeDocument/2006/relationships/hyperlink" Target="https://cerdi.uca.fr/" TargetMode="External"/><Relationship Id="rId72" Type="http://schemas.openxmlformats.org/officeDocument/2006/relationships/hyperlink" Target="https://www.utoronto.ca/" TargetMode="External"/><Relationship Id="rId93" Type="http://schemas.openxmlformats.org/officeDocument/2006/relationships/hyperlink" Target="https://jobs.dayforcehcm.com/en-US/cna/CANDIDATEPORTAL/jobs/6202" TargetMode="External"/><Relationship Id="rId98" Type="http://schemas.openxmlformats.org/officeDocument/2006/relationships/hyperlink" Target="https://www.ovgu.de/unimagdeburg/en/" TargetMode="External"/><Relationship Id="rId3" Type="http://schemas.openxmlformats.org/officeDocument/2006/relationships/hyperlink" Target="\Users\jjgecon\Library\Containers\com.microsoft.Excel\Data\Library\Application%20Support\Microsoft\University%20of%20Sydney" TargetMode="External"/><Relationship Id="rId25" Type="http://schemas.openxmlformats.org/officeDocument/2006/relationships/hyperlink" Target="https://www.grinnell.edu/" TargetMode="External"/><Relationship Id="rId46" Type="http://schemas.openxmlformats.org/officeDocument/2006/relationships/hyperlink" Target="https://www.colgate.edu/academics/departments-programs/department-economics" TargetMode="External"/><Relationship Id="rId67" Type="http://schemas.openxmlformats.org/officeDocument/2006/relationships/hyperlink" Target="https://www.unibo.it/it" TargetMode="External"/><Relationship Id="rId116" Type="http://schemas.openxmlformats.org/officeDocument/2006/relationships/hyperlink" Target="https://seu.ub.edu/ofertaPublicaCategoriaPublic/listPublicacionsAmbCategoria?categoria.id=854740" TargetMode="External"/><Relationship Id="rId20" Type="http://schemas.openxmlformats.org/officeDocument/2006/relationships/hyperlink" Target="https://www.urv.cat/en/" TargetMode="External"/><Relationship Id="rId41" Type="http://schemas.openxmlformats.org/officeDocument/2006/relationships/hyperlink" Target="https://tec.mx/es" TargetMode="External"/><Relationship Id="rId62" Type="http://schemas.openxmlformats.org/officeDocument/2006/relationships/hyperlink" Target="https://www.uu.nl/en/organisation/about-us/mission-and-vision" TargetMode="External"/><Relationship Id="rId83" Type="http://schemas.openxmlformats.org/officeDocument/2006/relationships/hyperlink" Target="mailto:ivanpaya@ua.es" TargetMode="External"/><Relationship Id="rId88" Type="http://schemas.openxmlformats.org/officeDocument/2006/relationships/hyperlink" Target="https://gobierno.uc.cl/noticias/call-for-applications-2-full-time-academic-positions-preference-for-assistant-professor-level/" TargetMode="External"/><Relationship Id="rId111" Type="http://schemas.openxmlformats.org/officeDocument/2006/relationships/hyperlink" Target="https://jobs.reading.ac.uk/Job/JobDetail?JobId=25073" TargetMode="External"/><Relationship Id="rId15" Type="http://schemas.openxmlformats.org/officeDocument/2006/relationships/hyperlink" Target="https://www.babson.edu/" TargetMode="External"/><Relationship Id="rId36" Type="http://schemas.openxmlformats.org/officeDocument/2006/relationships/hyperlink" Target="mailto:ferran.mane@urv.cat" TargetMode="External"/><Relationship Id="rId57" Type="http://schemas.openxmlformats.org/officeDocument/2006/relationships/hyperlink" Target="https://www.ucl.ac.uk/" TargetMode="External"/><Relationship Id="rId106" Type="http://schemas.openxmlformats.org/officeDocument/2006/relationships/hyperlink" Target="mailto:c.massaro@rocheste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72053-9363-CA4A-A53F-040B7C700753}">
  <dimension ref="A1:W309"/>
  <sheetViews>
    <sheetView zoomScale="145" zoomScaleNormal="145" workbookViewId="0">
      <pane ySplit="1" topLeftCell="A200" activePane="bottomLeft" state="frozen"/>
      <selection pane="bottomLeft" activeCell="A233" sqref="A233"/>
    </sheetView>
  </sheetViews>
  <sheetFormatPr defaultColWidth="10.6640625" defaultRowHeight="16" x14ac:dyDescent="0.4"/>
  <cols>
    <col min="1" max="1" width="19.6640625" customWidth="1"/>
    <col min="2" max="2" width="3.83203125" customWidth="1"/>
    <col min="3" max="3" width="19.6640625" customWidth="1"/>
    <col min="4" max="4" width="19.33203125" customWidth="1"/>
    <col min="5" max="5" width="14.5" customWidth="1"/>
    <col min="6" max="6" width="18.1640625" customWidth="1"/>
    <col min="7" max="7" width="15.83203125" customWidth="1"/>
    <col min="8" max="8" width="19.33203125" customWidth="1"/>
    <col min="9" max="12" width="18.33203125" customWidth="1"/>
    <col min="13" max="13" width="37.33203125" customWidth="1"/>
    <col min="14" max="18" width="19.5" customWidth="1"/>
    <col min="19" max="19" width="19.33203125" customWidth="1"/>
    <col min="20" max="20" width="18.1640625" customWidth="1"/>
    <col min="21" max="21" width="23.5" bestFit="1" customWidth="1"/>
    <col min="22" max="22" width="13.33203125" bestFit="1" customWidth="1"/>
    <col min="23" max="23" width="13" bestFit="1" customWidth="1"/>
  </cols>
  <sheetData>
    <row r="1" spans="1:23" s="3" customFormat="1" ht="21" x14ac:dyDescent="0.5">
      <c r="A1" s="3" t="s">
        <v>0</v>
      </c>
      <c r="B1" s="3" t="s">
        <v>701</v>
      </c>
      <c r="C1" s="3" t="s">
        <v>274</v>
      </c>
      <c r="D1" s="3" t="s">
        <v>9</v>
      </c>
      <c r="E1" s="3" t="s">
        <v>14</v>
      </c>
      <c r="F1" s="3" t="s">
        <v>2</v>
      </c>
      <c r="G1" s="3" t="s">
        <v>27</v>
      </c>
      <c r="H1" s="3" t="s">
        <v>113</v>
      </c>
      <c r="I1" s="3" t="s">
        <v>1</v>
      </c>
      <c r="J1" s="3" t="s">
        <v>236</v>
      </c>
      <c r="K1" s="3" t="s">
        <v>242</v>
      </c>
      <c r="L1" s="3" t="s">
        <v>336</v>
      </c>
      <c r="M1" s="3" t="s">
        <v>3</v>
      </c>
      <c r="N1" s="3" t="s">
        <v>8</v>
      </c>
      <c r="O1" s="3" t="s">
        <v>876</v>
      </c>
      <c r="P1" s="3" t="s">
        <v>10</v>
      </c>
      <c r="Q1" s="3" t="s">
        <v>12</v>
      </c>
      <c r="R1" s="3" t="s">
        <v>774</v>
      </c>
      <c r="S1" s="3" t="s">
        <v>112</v>
      </c>
      <c r="T1" s="3" t="s">
        <v>41</v>
      </c>
      <c r="U1" s="3" t="s">
        <v>20</v>
      </c>
      <c r="V1" s="3" t="s">
        <v>21</v>
      </c>
      <c r="W1" s="3" t="s">
        <v>22</v>
      </c>
    </row>
    <row r="2" spans="1:23" x14ac:dyDescent="0.4">
      <c r="A2" t="s">
        <v>147</v>
      </c>
      <c r="D2" s="1">
        <v>45902</v>
      </c>
      <c r="E2" t="s">
        <v>39</v>
      </c>
      <c r="F2" t="s">
        <v>148</v>
      </c>
      <c r="G2">
        <v>1</v>
      </c>
      <c r="I2" t="s">
        <v>127</v>
      </c>
      <c r="J2" t="s">
        <v>401</v>
      </c>
      <c r="M2" t="s">
        <v>146</v>
      </c>
      <c r="N2" t="e" vm="1">
        <v>#VALUE!</v>
      </c>
      <c r="O2" t="str" cm="1">
        <f t="array" aca="1" ref="O2" ca="1">_FV(N2,"Name")</f>
        <v>United States</v>
      </c>
      <c r="P2" t="s">
        <v>11</v>
      </c>
      <c r="R2" t="s">
        <v>775</v>
      </c>
      <c r="S2" s="1">
        <v>45902</v>
      </c>
      <c r="U2">
        <v>1</v>
      </c>
      <c r="V2">
        <v>0</v>
      </c>
      <c r="W2">
        <v>1</v>
      </c>
    </row>
    <row r="3" spans="1:23" x14ac:dyDescent="0.4">
      <c r="A3" t="s">
        <v>7</v>
      </c>
      <c r="D3" s="1">
        <v>45931</v>
      </c>
      <c r="E3" t="s">
        <v>15</v>
      </c>
      <c r="F3" t="s">
        <v>15</v>
      </c>
      <c r="H3" s="1"/>
      <c r="I3" t="s">
        <v>95</v>
      </c>
      <c r="J3" t="s">
        <v>401</v>
      </c>
      <c r="M3" s="2" t="s">
        <v>13</v>
      </c>
      <c r="N3" t="e" vm="1">
        <v>#VALUE!</v>
      </c>
      <c r="O3" t="str" cm="1">
        <f t="array" aca="1" ref="O3" ca="1">_FV(N3,"Name")</f>
        <v>United States</v>
      </c>
      <c r="P3" t="s">
        <v>11</v>
      </c>
      <c r="Q3" t="s">
        <v>18</v>
      </c>
      <c r="R3" t="s">
        <v>775</v>
      </c>
      <c r="S3" s="1">
        <v>45931</v>
      </c>
      <c r="T3" t="str" cm="1">
        <f t="array" aca="1" ref="T3" ca="1">_FV(N3,"Name")</f>
        <v>United States</v>
      </c>
      <c r="U3">
        <v>1</v>
      </c>
      <c r="V3">
        <v>1</v>
      </c>
      <c r="W3">
        <v>1</v>
      </c>
    </row>
    <row r="4" spans="1:23" x14ac:dyDescent="0.4">
      <c r="A4" t="s">
        <v>17</v>
      </c>
      <c r="D4" s="1">
        <v>45931</v>
      </c>
      <c r="E4" t="s">
        <v>15</v>
      </c>
      <c r="F4" t="s">
        <v>15</v>
      </c>
      <c r="H4" s="1"/>
      <c r="I4" t="s">
        <v>95</v>
      </c>
      <c r="J4" t="s">
        <v>402</v>
      </c>
      <c r="M4" s="2" t="s">
        <v>16</v>
      </c>
      <c r="N4" t="e" vm="1">
        <v>#VALUE!</v>
      </c>
      <c r="O4" t="str" cm="1">
        <f t="array" aca="1" ref="O4" ca="1">_FV(N4,"Name")</f>
        <v>United States</v>
      </c>
      <c r="P4" t="s">
        <v>11</v>
      </c>
      <c r="Q4" t="s">
        <v>18</v>
      </c>
      <c r="R4" t="s">
        <v>775</v>
      </c>
      <c r="S4" s="1">
        <v>45931</v>
      </c>
      <c r="U4">
        <v>1</v>
      </c>
      <c r="V4">
        <v>1</v>
      </c>
      <c r="W4">
        <v>1</v>
      </c>
    </row>
    <row r="5" spans="1:23" x14ac:dyDescent="0.4">
      <c r="A5" t="s">
        <v>51</v>
      </c>
      <c r="D5" s="1">
        <v>45931</v>
      </c>
      <c r="E5" t="s">
        <v>52</v>
      </c>
      <c r="H5" s="1"/>
      <c r="I5" t="s">
        <v>151</v>
      </c>
      <c r="J5" t="s">
        <v>401</v>
      </c>
      <c r="M5" s="2" t="s">
        <v>48</v>
      </c>
      <c r="N5" t="e" vm="1">
        <v>#VALUE!</v>
      </c>
      <c r="O5" t="str" cm="1">
        <f t="array" aca="1" ref="O5" ca="1">_FV(N5,"Name")</f>
        <v>United States</v>
      </c>
      <c r="P5" t="s">
        <v>11</v>
      </c>
      <c r="R5" t="s">
        <v>775</v>
      </c>
      <c r="S5" s="1">
        <v>45931</v>
      </c>
      <c r="U5">
        <v>1</v>
      </c>
      <c r="V5">
        <v>0</v>
      </c>
      <c r="W5">
        <v>1</v>
      </c>
    </row>
    <row r="6" spans="1:23" x14ac:dyDescent="0.4">
      <c r="A6" t="s">
        <v>47</v>
      </c>
      <c r="D6" s="1">
        <v>45931</v>
      </c>
      <c r="E6" s="2" t="s">
        <v>50</v>
      </c>
      <c r="H6" s="1"/>
      <c r="I6" t="s">
        <v>95</v>
      </c>
      <c r="J6" t="s">
        <v>401</v>
      </c>
      <c r="M6" s="2" t="s">
        <v>48</v>
      </c>
      <c r="N6" t="e" vm="1">
        <v>#VALUE!</v>
      </c>
      <c r="O6" t="str" cm="1">
        <f t="array" aca="1" ref="O6" ca="1">_FV(N6,"Name")</f>
        <v>United States</v>
      </c>
      <c r="P6" t="s">
        <v>11</v>
      </c>
      <c r="Q6" t="s">
        <v>49</v>
      </c>
      <c r="R6" t="s">
        <v>775</v>
      </c>
      <c r="S6" s="1">
        <v>45931</v>
      </c>
      <c r="U6">
        <v>1</v>
      </c>
      <c r="V6">
        <v>0</v>
      </c>
      <c r="W6">
        <v>1</v>
      </c>
    </row>
    <row r="7" spans="1:23" x14ac:dyDescent="0.4">
      <c r="A7" s="4" t="s">
        <v>76</v>
      </c>
      <c r="D7" s="1">
        <v>45940</v>
      </c>
      <c r="E7" t="s">
        <v>15</v>
      </c>
      <c r="G7">
        <v>1</v>
      </c>
      <c r="H7" s="7" t="s">
        <v>126</v>
      </c>
      <c r="I7" t="s">
        <v>95</v>
      </c>
      <c r="J7" t="s">
        <v>401</v>
      </c>
      <c r="K7" t="s">
        <v>308</v>
      </c>
      <c r="L7" s="1">
        <v>45976</v>
      </c>
      <c r="M7" s="2" t="s">
        <v>77</v>
      </c>
      <c r="N7" t="e" vm="2">
        <v>#VALUE!</v>
      </c>
      <c r="O7" t="str" cm="1">
        <f t="array" aca="1" ref="O7" ca="1">_FV(N7,"Name")</f>
        <v>Spain</v>
      </c>
      <c r="P7" t="s">
        <v>11</v>
      </c>
      <c r="R7" t="s">
        <v>775</v>
      </c>
      <c r="S7" s="1">
        <v>45940</v>
      </c>
      <c r="U7">
        <v>1</v>
      </c>
      <c r="V7">
        <v>0</v>
      </c>
      <c r="W7">
        <v>0</v>
      </c>
    </row>
    <row r="8" spans="1:23" x14ac:dyDescent="0.4">
      <c r="A8" t="s">
        <v>37</v>
      </c>
      <c r="D8" s="1">
        <v>45940</v>
      </c>
      <c r="E8" t="s">
        <v>39</v>
      </c>
      <c r="F8" t="s">
        <v>40</v>
      </c>
      <c r="G8">
        <v>1</v>
      </c>
      <c r="H8" s="1"/>
      <c r="I8" t="s">
        <v>151</v>
      </c>
      <c r="J8" t="s">
        <v>401</v>
      </c>
      <c r="M8" s="2" t="s">
        <v>38</v>
      </c>
      <c r="N8" t="e" vm="3">
        <v>#VALUE!</v>
      </c>
      <c r="O8" t="str" cm="1">
        <f t="array" aca="1" ref="O8" ca="1">_FV(N8,"Name")</f>
        <v>Japan</v>
      </c>
      <c r="P8" t="s">
        <v>11</v>
      </c>
      <c r="Q8" t="s">
        <v>18</v>
      </c>
      <c r="R8" t="s">
        <v>775</v>
      </c>
      <c r="S8" s="1">
        <v>45940</v>
      </c>
      <c r="T8" s="2" t="s">
        <v>42</v>
      </c>
      <c r="U8">
        <v>1</v>
      </c>
      <c r="V8">
        <v>1</v>
      </c>
      <c r="W8">
        <v>1</v>
      </c>
    </row>
    <row r="9" spans="1:23" x14ac:dyDescent="0.4">
      <c r="A9" t="s">
        <v>62</v>
      </c>
      <c r="D9" s="1">
        <v>45940</v>
      </c>
      <c r="E9" s="2" t="s">
        <v>64</v>
      </c>
      <c r="H9" s="1"/>
      <c r="I9" t="s">
        <v>95</v>
      </c>
      <c r="J9" t="s">
        <v>401</v>
      </c>
      <c r="M9" s="2" t="s">
        <v>59</v>
      </c>
      <c r="N9" t="e" vm="1">
        <v>#VALUE!</v>
      </c>
      <c r="O9" t="str" cm="1">
        <f t="array" aca="1" ref="O9" ca="1">_FV(N9,"Name")</f>
        <v>United States</v>
      </c>
      <c r="P9" t="s">
        <v>11</v>
      </c>
      <c r="Q9" t="s">
        <v>63</v>
      </c>
      <c r="R9" t="s">
        <v>775</v>
      </c>
      <c r="S9" s="1">
        <v>45940</v>
      </c>
      <c r="U9">
        <v>1</v>
      </c>
      <c r="V9">
        <v>1</v>
      </c>
      <c r="W9">
        <v>1</v>
      </c>
    </row>
    <row r="10" spans="1:23" x14ac:dyDescent="0.4">
      <c r="A10" t="s">
        <v>58</v>
      </c>
      <c r="D10" s="1">
        <v>45940</v>
      </c>
      <c r="E10" t="s">
        <v>61</v>
      </c>
      <c r="H10" s="1"/>
      <c r="I10" t="s">
        <v>151</v>
      </c>
      <c r="J10" t="s">
        <v>401</v>
      </c>
      <c r="M10" s="2" t="s">
        <v>59</v>
      </c>
      <c r="N10" t="e" vm="1">
        <v>#VALUE!</v>
      </c>
      <c r="O10" t="str" cm="1">
        <f t="array" aca="1" ref="O10" ca="1">_FV(N10,"Name")</f>
        <v>United States</v>
      </c>
      <c r="P10" t="s">
        <v>60</v>
      </c>
      <c r="R10" t="s">
        <v>775</v>
      </c>
      <c r="S10" s="1">
        <v>45940</v>
      </c>
      <c r="U10">
        <v>1</v>
      </c>
      <c r="V10">
        <v>0</v>
      </c>
      <c r="W10">
        <v>1</v>
      </c>
    </row>
    <row r="11" spans="1:23" x14ac:dyDescent="0.4">
      <c r="A11" t="s">
        <v>540</v>
      </c>
      <c r="D11" s="1">
        <v>45945</v>
      </c>
      <c r="E11" t="s">
        <v>539</v>
      </c>
      <c r="I11" t="s">
        <v>95</v>
      </c>
      <c r="J11" t="s">
        <v>401</v>
      </c>
      <c r="M11" s="17" t="s">
        <v>538</v>
      </c>
      <c r="N11" t="e" vm="1">
        <v>#VALUE!</v>
      </c>
      <c r="O11" t="str" cm="1">
        <f t="array" aca="1" ref="O11" ca="1">_FV(N11,"Name")</f>
        <v>United States</v>
      </c>
      <c r="P11" t="s">
        <v>11</v>
      </c>
      <c r="R11" t="s">
        <v>775</v>
      </c>
      <c r="S11" s="1">
        <v>45945</v>
      </c>
      <c r="U11">
        <v>1</v>
      </c>
      <c r="V11">
        <v>1</v>
      </c>
      <c r="W11">
        <v>1</v>
      </c>
    </row>
    <row r="12" spans="1:23" x14ac:dyDescent="0.4">
      <c r="A12" t="s">
        <v>100</v>
      </c>
      <c r="D12" s="1">
        <v>45945</v>
      </c>
      <c r="E12" t="s">
        <v>15</v>
      </c>
      <c r="F12" s="2" t="s">
        <v>103</v>
      </c>
      <c r="H12" s="1"/>
      <c r="I12" t="s">
        <v>95</v>
      </c>
      <c r="J12" t="s">
        <v>402</v>
      </c>
      <c r="M12" t="s">
        <v>101</v>
      </c>
      <c r="N12" t="e" vm="4">
        <v>#VALUE!</v>
      </c>
      <c r="O12" t="str" cm="1">
        <f t="array" aca="1" ref="O12" ca="1">_FV(N12,"Name")</f>
        <v>France</v>
      </c>
      <c r="R12" t="s">
        <v>775</v>
      </c>
      <c r="S12" s="1">
        <v>45945</v>
      </c>
      <c r="T12" s="2" t="s">
        <v>102</v>
      </c>
      <c r="U12">
        <v>1</v>
      </c>
      <c r="V12">
        <v>0</v>
      </c>
      <c r="W12">
        <v>0</v>
      </c>
    </row>
    <row r="13" spans="1:23" x14ac:dyDescent="0.4">
      <c r="A13" t="s">
        <v>81</v>
      </c>
      <c r="D13" s="1">
        <v>45945</v>
      </c>
      <c r="E13" s="2" t="s">
        <v>83</v>
      </c>
      <c r="H13" s="1"/>
      <c r="I13" t="s">
        <v>95</v>
      </c>
      <c r="J13" t="s">
        <v>402</v>
      </c>
      <c r="M13" s="2" t="s">
        <v>82</v>
      </c>
      <c r="N13" t="e" vm="1">
        <v>#VALUE!</v>
      </c>
      <c r="O13" t="str" cm="1">
        <f t="array" aca="1" ref="O13" ca="1">_FV(N13,"Name")</f>
        <v>United States</v>
      </c>
      <c r="R13" t="s">
        <v>775</v>
      </c>
      <c r="S13" s="1">
        <v>45945</v>
      </c>
      <c r="U13">
        <v>1</v>
      </c>
      <c r="V13">
        <v>0</v>
      </c>
      <c r="W13">
        <v>0</v>
      </c>
    </row>
    <row r="14" spans="1:23" x14ac:dyDescent="0.4">
      <c r="A14" t="s">
        <v>99</v>
      </c>
      <c r="D14" s="1">
        <v>45945</v>
      </c>
      <c r="E14" t="s">
        <v>15</v>
      </c>
      <c r="H14" s="1"/>
      <c r="I14" t="s">
        <v>127</v>
      </c>
      <c r="J14" t="s">
        <v>401</v>
      </c>
      <c r="M14" s="2" t="s">
        <v>97</v>
      </c>
      <c r="N14" t="e" vm="2">
        <v>#VALUE!</v>
      </c>
      <c r="O14" t="str" cm="1">
        <f t="array" aca="1" ref="O14" ca="1">_FV(N14,"Name")</f>
        <v>Spain</v>
      </c>
      <c r="P14" t="s">
        <v>11</v>
      </c>
      <c r="R14" t="s">
        <v>775</v>
      </c>
      <c r="S14" s="1">
        <v>45945</v>
      </c>
      <c r="U14">
        <v>1</v>
      </c>
      <c r="V14">
        <v>0</v>
      </c>
      <c r="W14">
        <v>0</v>
      </c>
    </row>
    <row r="15" spans="1:23" x14ac:dyDescent="0.4">
      <c r="A15" t="s">
        <v>98</v>
      </c>
      <c r="D15" s="1">
        <v>45945</v>
      </c>
      <c r="E15" t="s">
        <v>15</v>
      </c>
      <c r="H15" s="1"/>
      <c r="I15" t="s">
        <v>127</v>
      </c>
      <c r="J15" t="s">
        <v>401</v>
      </c>
      <c r="M15" s="2" t="s">
        <v>97</v>
      </c>
      <c r="N15" t="e" vm="2">
        <v>#VALUE!</v>
      </c>
      <c r="O15" t="str" cm="1">
        <f t="array" aca="1" ref="O15" ca="1">_FV(N15,"Name")</f>
        <v>Spain</v>
      </c>
      <c r="P15" t="s">
        <v>11</v>
      </c>
      <c r="R15" t="s">
        <v>775</v>
      </c>
      <c r="S15" s="1">
        <v>45945</v>
      </c>
      <c r="U15">
        <v>1</v>
      </c>
      <c r="V15">
        <v>0</v>
      </c>
      <c r="W15">
        <v>0</v>
      </c>
    </row>
    <row r="16" spans="1:23" x14ac:dyDescent="0.4">
      <c r="A16" t="s">
        <v>362</v>
      </c>
      <c r="D16" s="1">
        <v>45945</v>
      </c>
      <c r="E16" t="s">
        <v>363</v>
      </c>
      <c r="I16" t="s">
        <v>95</v>
      </c>
      <c r="J16" t="s">
        <v>401</v>
      </c>
      <c r="M16" t="s">
        <v>361</v>
      </c>
      <c r="N16" t="e" vm="1">
        <v>#VALUE!</v>
      </c>
      <c r="O16" t="str" cm="1">
        <f t="array" aca="1" ref="O16" ca="1">_FV(N16,"Name")</f>
        <v>United States</v>
      </c>
      <c r="P16" t="s">
        <v>11</v>
      </c>
      <c r="R16" t="s">
        <v>775</v>
      </c>
      <c r="S16" s="1">
        <v>45945</v>
      </c>
      <c r="U16">
        <v>1</v>
      </c>
      <c r="V16">
        <v>0</v>
      </c>
      <c r="W16">
        <v>1</v>
      </c>
    </row>
    <row r="17" spans="1:23" x14ac:dyDescent="0.4">
      <c r="A17" t="s">
        <v>224</v>
      </c>
      <c r="D17" s="1">
        <v>45945</v>
      </c>
      <c r="E17" t="s">
        <v>39</v>
      </c>
      <c r="F17" t="s">
        <v>227</v>
      </c>
      <c r="H17" t="s">
        <v>229</v>
      </c>
      <c r="I17" t="s">
        <v>95</v>
      </c>
      <c r="J17" t="s">
        <v>401</v>
      </c>
      <c r="M17" s="2" t="s">
        <v>231</v>
      </c>
      <c r="N17" t="e" vm="1">
        <v>#VALUE!</v>
      </c>
      <c r="O17" t="str" cm="1">
        <f t="array" aca="1" ref="O17" ca="1">_FV(N17,"Name")</f>
        <v>United States</v>
      </c>
      <c r="P17" t="s">
        <v>11</v>
      </c>
      <c r="Q17" t="s">
        <v>226</v>
      </c>
      <c r="R17" t="s">
        <v>775</v>
      </c>
      <c r="S17" s="1">
        <v>46142</v>
      </c>
      <c r="U17">
        <v>1</v>
      </c>
      <c r="V17">
        <v>0</v>
      </c>
      <c r="W17">
        <v>1</v>
      </c>
    </row>
    <row r="18" spans="1:23" x14ac:dyDescent="0.4">
      <c r="A18" s="4" t="s">
        <v>141</v>
      </c>
      <c r="B18" s="20"/>
      <c r="D18" s="1">
        <v>45947</v>
      </c>
      <c r="E18" t="s">
        <v>39</v>
      </c>
      <c r="G18">
        <v>1</v>
      </c>
      <c r="I18" t="s">
        <v>95</v>
      </c>
      <c r="J18" t="s">
        <v>401</v>
      </c>
      <c r="K18" t="s">
        <v>308</v>
      </c>
      <c r="L18" s="1">
        <v>45976</v>
      </c>
      <c r="M18" s="2" t="s">
        <v>142</v>
      </c>
      <c r="N18" t="e" vm="5">
        <v>#VALUE!</v>
      </c>
      <c r="O18" t="str" cm="1">
        <f t="array" aca="1" ref="O18" ca="1">_FV(N18,"Name")</f>
        <v>Chile</v>
      </c>
      <c r="P18" t="s">
        <v>11</v>
      </c>
      <c r="R18" t="s">
        <v>775</v>
      </c>
      <c r="S18" s="1">
        <v>45992</v>
      </c>
      <c r="U18">
        <v>1</v>
      </c>
      <c r="V18">
        <v>0</v>
      </c>
      <c r="W18">
        <v>0</v>
      </c>
    </row>
    <row r="19" spans="1:23" x14ac:dyDescent="0.4">
      <c r="A19" s="4" t="s">
        <v>175</v>
      </c>
      <c r="D19" s="1">
        <v>45950</v>
      </c>
      <c r="E19" t="s">
        <v>15</v>
      </c>
      <c r="F19" s="2" t="s">
        <v>179</v>
      </c>
      <c r="G19">
        <v>1</v>
      </c>
      <c r="H19" t="s">
        <v>178</v>
      </c>
      <c r="I19" t="s">
        <v>95</v>
      </c>
      <c r="J19" t="s">
        <v>402</v>
      </c>
      <c r="K19" t="s">
        <v>308</v>
      </c>
      <c r="L19" s="1">
        <v>45976</v>
      </c>
      <c r="M19" s="2" t="s">
        <v>176</v>
      </c>
      <c r="N19" t="e" vm="6">
        <v>#VALUE!</v>
      </c>
      <c r="O19" t="str" cm="1">
        <f t="array" aca="1" ref="O19" ca="1">_FV(N19,"Name")</f>
        <v>Netherlands</v>
      </c>
      <c r="P19" t="s">
        <v>177</v>
      </c>
      <c r="R19" t="s">
        <v>775</v>
      </c>
      <c r="S19" s="1">
        <v>45959</v>
      </c>
      <c r="U19">
        <v>1</v>
      </c>
      <c r="V19">
        <v>0</v>
      </c>
      <c r="W19">
        <v>0</v>
      </c>
    </row>
    <row r="20" spans="1:23" x14ac:dyDescent="0.4">
      <c r="A20" t="s">
        <v>170</v>
      </c>
      <c r="D20" s="1">
        <v>45950</v>
      </c>
      <c r="E20" t="s">
        <v>15</v>
      </c>
      <c r="G20">
        <v>1</v>
      </c>
      <c r="H20" t="s">
        <v>172</v>
      </c>
      <c r="I20" t="s">
        <v>95</v>
      </c>
      <c r="J20" t="s">
        <v>401</v>
      </c>
      <c r="M20" s="2" t="s">
        <v>171</v>
      </c>
      <c r="N20" t="e" vm="1">
        <v>#VALUE!</v>
      </c>
      <c r="O20" t="str" cm="1">
        <f t="array" aca="1" ref="O20" ca="1">_FV(N20,"Name")</f>
        <v>United States</v>
      </c>
      <c r="P20" t="s">
        <v>11</v>
      </c>
      <c r="R20" t="s">
        <v>775</v>
      </c>
      <c r="S20" s="1">
        <v>45964</v>
      </c>
      <c r="U20">
        <v>1</v>
      </c>
      <c r="V20">
        <v>1</v>
      </c>
      <c r="W20">
        <v>1</v>
      </c>
    </row>
    <row r="21" spans="1:23" x14ac:dyDescent="0.4">
      <c r="A21" t="s">
        <v>218</v>
      </c>
      <c r="D21" s="1">
        <v>45950</v>
      </c>
      <c r="E21" t="s">
        <v>39</v>
      </c>
      <c r="I21" t="s">
        <v>95</v>
      </c>
      <c r="J21" t="s">
        <v>401</v>
      </c>
      <c r="M21" s="2" t="s">
        <v>219</v>
      </c>
      <c r="N21" t="e" vm="3">
        <v>#VALUE!</v>
      </c>
      <c r="O21" t="str" cm="1">
        <f t="array" aca="1" ref="O21" ca="1">_FV(N21,"Name")</f>
        <v>Japan</v>
      </c>
      <c r="P21" t="s">
        <v>11</v>
      </c>
      <c r="R21" t="s">
        <v>775</v>
      </c>
      <c r="S21" s="1">
        <v>46022</v>
      </c>
      <c r="U21">
        <v>1</v>
      </c>
      <c r="V21">
        <v>0</v>
      </c>
      <c r="W21">
        <v>0</v>
      </c>
    </row>
    <row r="22" spans="1:23" x14ac:dyDescent="0.4">
      <c r="A22" t="s">
        <v>440</v>
      </c>
      <c r="D22" s="1">
        <v>45950</v>
      </c>
      <c r="E22" s="2" t="s">
        <v>441</v>
      </c>
      <c r="I22" t="s">
        <v>95</v>
      </c>
      <c r="J22" t="s">
        <v>401</v>
      </c>
      <c r="M22" t="s">
        <v>442</v>
      </c>
      <c r="N22" t="e" vm="1">
        <v>#VALUE!</v>
      </c>
      <c r="O22" t="str" cm="1">
        <f t="array" aca="1" ref="O22" ca="1">_FV(N22,"Name")</f>
        <v>United States</v>
      </c>
      <c r="P22" t="s">
        <v>11</v>
      </c>
      <c r="R22" t="s">
        <v>775</v>
      </c>
      <c r="S22" s="1">
        <v>45960</v>
      </c>
      <c r="U22">
        <v>1</v>
      </c>
      <c r="V22">
        <v>1</v>
      </c>
      <c r="W22">
        <v>1</v>
      </c>
    </row>
    <row r="23" spans="1:23" x14ac:dyDescent="0.4">
      <c r="A23" t="s">
        <v>166</v>
      </c>
      <c r="D23" s="1">
        <v>45950</v>
      </c>
      <c r="E23" t="s">
        <v>15</v>
      </c>
      <c r="F23" s="2" t="s">
        <v>169</v>
      </c>
      <c r="I23" t="s">
        <v>95</v>
      </c>
      <c r="J23" t="s">
        <v>401</v>
      </c>
      <c r="M23" s="2" t="s">
        <v>167</v>
      </c>
      <c r="N23" t="e" vm="1">
        <v>#VALUE!</v>
      </c>
      <c r="O23" t="str" cm="1">
        <f t="array" aca="1" ref="O23" ca="1">_FV(N23,"Name")</f>
        <v>United States</v>
      </c>
      <c r="P23" t="s">
        <v>11</v>
      </c>
      <c r="Q23" t="s">
        <v>168</v>
      </c>
      <c r="R23" t="s">
        <v>775</v>
      </c>
      <c r="S23" s="1">
        <v>45964</v>
      </c>
      <c r="U23">
        <v>1</v>
      </c>
      <c r="V23">
        <v>1</v>
      </c>
      <c r="W23">
        <v>1</v>
      </c>
    </row>
    <row r="24" spans="1:23" x14ac:dyDescent="0.4">
      <c r="A24" s="6" t="s">
        <v>158</v>
      </c>
      <c r="B24" s="6"/>
      <c r="C24" s="6"/>
      <c r="D24" s="1">
        <v>45950</v>
      </c>
      <c r="E24" t="s">
        <v>15</v>
      </c>
      <c r="I24" t="s">
        <v>95</v>
      </c>
      <c r="J24" t="s">
        <v>401</v>
      </c>
      <c r="M24" s="2" t="s">
        <v>159</v>
      </c>
      <c r="N24" t="e" vm="2">
        <v>#VALUE!</v>
      </c>
      <c r="O24" t="str" cm="1">
        <f t="array" aca="1" ref="O24" ca="1">_FV(N24,"Name")</f>
        <v>Spain</v>
      </c>
      <c r="P24" t="s">
        <v>11</v>
      </c>
      <c r="R24" t="s">
        <v>775</v>
      </c>
      <c r="S24" s="1">
        <v>45963</v>
      </c>
      <c r="U24">
        <v>1</v>
      </c>
      <c r="V24">
        <v>1</v>
      </c>
      <c r="W24">
        <v>0</v>
      </c>
    </row>
    <row r="25" spans="1:23" x14ac:dyDescent="0.4">
      <c r="A25" t="s">
        <v>471</v>
      </c>
      <c r="D25" s="1">
        <v>45950</v>
      </c>
      <c r="E25" t="s">
        <v>39</v>
      </c>
      <c r="F25" s="2" t="s">
        <v>472</v>
      </c>
      <c r="I25" t="s">
        <v>95</v>
      </c>
      <c r="J25" t="s">
        <v>401</v>
      </c>
      <c r="M25" t="s">
        <v>473</v>
      </c>
      <c r="N25" t="e" vm="1">
        <v>#VALUE!</v>
      </c>
      <c r="O25" t="str" cm="1">
        <f t="array" aca="1" ref="O25" ca="1">_FV(N25,"Name")</f>
        <v>United States</v>
      </c>
      <c r="P25" t="s">
        <v>11</v>
      </c>
      <c r="R25" t="s">
        <v>775</v>
      </c>
      <c r="S25" s="1">
        <v>45961</v>
      </c>
      <c r="U25">
        <v>1</v>
      </c>
      <c r="V25">
        <v>1</v>
      </c>
      <c r="W25">
        <v>1</v>
      </c>
    </row>
    <row r="26" spans="1:23" x14ac:dyDescent="0.4">
      <c r="A26" t="s">
        <v>211</v>
      </c>
      <c r="D26" s="1">
        <v>45950</v>
      </c>
      <c r="E26" t="s">
        <v>39</v>
      </c>
      <c r="F26" t="s">
        <v>210</v>
      </c>
      <c r="G26">
        <v>1</v>
      </c>
      <c r="I26" t="s">
        <v>95</v>
      </c>
      <c r="J26" t="s">
        <v>401</v>
      </c>
      <c r="M26" t="s">
        <v>209</v>
      </c>
      <c r="N26" t="e" vm="3">
        <v>#VALUE!</v>
      </c>
      <c r="O26" t="str" cm="1">
        <f t="array" aca="1" ref="O26" ca="1">_FV(N26,"Name")</f>
        <v>Japan</v>
      </c>
      <c r="P26" t="s">
        <v>11</v>
      </c>
      <c r="R26" t="s">
        <v>775</v>
      </c>
      <c r="S26" s="1">
        <v>45961</v>
      </c>
      <c r="U26">
        <v>1</v>
      </c>
      <c r="V26">
        <v>0</v>
      </c>
      <c r="W26">
        <v>0</v>
      </c>
    </row>
    <row r="27" spans="1:23" x14ac:dyDescent="0.4">
      <c r="A27" t="s">
        <v>201</v>
      </c>
      <c r="D27" s="1">
        <v>45950</v>
      </c>
      <c r="E27" t="s">
        <v>202</v>
      </c>
      <c r="I27" t="s">
        <v>95</v>
      </c>
      <c r="J27" t="s">
        <v>401</v>
      </c>
      <c r="M27" s="2" t="s">
        <v>82</v>
      </c>
      <c r="N27" t="e" vm="1">
        <v>#VALUE!</v>
      </c>
      <c r="O27" t="str" cm="1">
        <f t="array" aca="1" ref="O27" ca="1">_FV(N27,"Name")</f>
        <v>United States</v>
      </c>
      <c r="R27" t="s">
        <v>775</v>
      </c>
      <c r="S27" s="1">
        <v>45954</v>
      </c>
      <c r="U27">
        <v>1</v>
      </c>
      <c r="V27">
        <v>0</v>
      </c>
      <c r="W27">
        <v>0</v>
      </c>
    </row>
    <row r="28" spans="1:23" x14ac:dyDescent="0.4">
      <c r="A28" t="s">
        <v>111</v>
      </c>
      <c r="D28" s="1">
        <v>45950</v>
      </c>
      <c r="E28" t="s">
        <v>39</v>
      </c>
      <c r="F28" t="s">
        <v>150</v>
      </c>
      <c r="H28" s="1"/>
      <c r="I28" t="s">
        <v>95</v>
      </c>
      <c r="J28" t="s">
        <v>401</v>
      </c>
      <c r="M28" s="2" t="s">
        <v>110</v>
      </c>
      <c r="N28" t="e" vm="1">
        <v>#VALUE!</v>
      </c>
      <c r="O28" t="str" cm="1">
        <f t="array" aca="1" ref="O28" ca="1">_FV(N28,"Name")</f>
        <v>United States</v>
      </c>
      <c r="P28" t="s">
        <v>11</v>
      </c>
      <c r="R28" t="s">
        <v>775</v>
      </c>
      <c r="S28" s="1">
        <v>45957</v>
      </c>
      <c r="U28">
        <v>1</v>
      </c>
      <c r="V28">
        <v>1</v>
      </c>
      <c r="W28">
        <v>1</v>
      </c>
    </row>
    <row r="29" spans="1:23" x14ac:dyDescent="0.4">
      <c r="A29" t="s">
        <v>478</v>
      </c>
      <c r="D29" s="1">
        <v>45950</v>
      </c>
      <c r="E29" t="s">
        <v>39</v>
      </c>
      <c r="F29" t="s">
        <v>479</v>
      </c>
      <c r="I29" t="s">
        <v>95</v>
      </c>
      <c r="J29" t="s">
        <v>402</v>
      </c>
      <c r="M29" t="s">
        <v>477</v>
      </c>
      <c r="N29" t="e" vm="1">
        <v>#VALUE!</v>
      </c>
      <c r="O29" t="str" cm="1">
        <f t="array" aca="1" ref="O29" ca="1">_FV(N29,"Name")</f>
        <v>United States</v>
      </c>
      <c r="P29" t="s">
        <v>11</v>
      </c>
      <c r="R29" t="s">
        <v>775</v>
      </c>
      <c r="S29" s="1">
        <v>45962</v>
      </c>
      <c r="U29">
        <v>1</v>
      </c>
      <c r="V29">
        <v>1</v>
      </c>
      <c r="W29">
        <v>1</v>
      </c>
    </row>
    <row r="30" spans="1:23" x14ac:dyDescent="0.4">
      <c r="A30" t="s">
        <v>262</v>
      </c>
      <c r="D30" s="1">
        <v>45950</v>
      </c>
      <c r="E30" t="s">
        <v>15</v>
      </c>
      <c r="I30" t="s">
        <v>95</v>
      </c>
      <c r="J30" t="s">
        <v>402</v>
      </c>
      <c r="M30" t="s">
        <v>263</v>
      </c>
      <c r="N30" t="e" vm="1">
        <v>#VALUE!</v>
      </c>
      <c r="O30" t="str" cm="1">
        <f t="array" aca="1" ref="O30" ca="1">_FV(N30,"Name")</f>
        <v>United States</v>
      </c>
      <c r="P30" t="s">
        <v>177</v>
      </c>
      <c r="R30" t="s">
        <v>775</v>
      </c>
      <c r="S30" s="1">
        <v>45992</v>
      </c>
      <c r="U30">
        <v>1</v>
      </c>
      <c r="V30">
        <v>0</v>
      </c>
      <c r="W30">
        <v>0</v>
      </c>
    </row>
    <row r="31" spans="1:23" x14ac:dyDescent="0.4">
      <c r="A31" t="s">
        <v>182</v>
      </c>
      <c r="D31" s="1">
        <v>45950</v>
      </c>
      <c r="E31" t="s">
        <v>15</v>
      </c>
      <c r="I31" t="s">
        <v>95</v>
      </c>
      <c r="J31" t="s">
        <v>401</v>
      </c>
      <c r="M31" t="s">
        <v>251</v>
      </c>
      <c r="N31" t="e" vm="1">
        <v>#VALUE!</v>
      </c>
      <c r="O31" t="str" cm="1">
        <f t="array" aca="1" ref="O31" ca="1">_FV(N31,"Name")</f>
        <v>United States</v>
      </c>
      <c r="P31" t="s">
        <v>11</v>
      </c>
      <c r="R31" t="s">
        <v>775</v>
      </c>
      <c r="S31" s="1">
        <v>46022</v>
      </c>
      <c r="U31">
        <v>1</v>
      </c>
      <c r="V31">
        <v>0</v>
      </c>
      <c r="W31">
        <v>0</v>
      </c>
    </row>
    <row r="32" spans="1:23" x14ac:dyDescent="0.4">
      <c r="A32" t="s">
        <v>223</v>
      </c>
      <c r="D32" s="1">
        <v>45950</v>
      </c>
      <c r="E32" t="s">
        <v>39</v>
      </c>
      <c r="F32" t="s">
        <v>228</v>
      </c>
      <c r="H32" t="s">
        <v>230</v>
      </c>
      <c r="I32" t="s">
        <v>95</v>
      </c>
      <c r="J32" t="s">
        <v>401</v>
      </c>
      <c r="M32" s="2" t="s">
        <v>231</v>
      </c>
      <c r="N32" t="e" vm="1">
        <v>#VALUE!</v>
      </c>
      <c r="O32" t="str" cm="1">
        <f t="array" aca="1" ref="O32" ca="1">_FV(N32,"Name")</f>
        <v>United States</v>
      </c>
      <c r="P32" t="s">
        <v>11</v>
      </c>
      <c r="Q32" t="s">
        <v>225</v>
      </c>
      <c r="R32" t="s">
        <v>775</v>
      </c>
      <c r="S32" s="1">
        <v>46142</v>
      </c>
      <c r="U32">
        <v>1</v>
      </c>
      <c r="V32">
        <v>0</v>
      </c>
      <c r="W32">
        <v>1</v>
      </c>
    </row>
    <row r="33" spans="1:23" x14ac:dyDescent="0.4">
      <c r="A33" t="s">
        <v>221</v>
      </c>
      <c r="D33" s="1">
        <v>45950</v>
      </c>
      <c r="E33" t="s">
        <v>39</v>
      </c>
      <c r="F33" t="s">
        <v>222</v>
      </c>
      <c r="I33" t="s">
        <v>95</v>
      </c>
      <c r="J33" t="s">
        <v>401</v>
      </c>
      <c r="M33" t="s">
        <v>220</v>
      </c>
      <c r="N33" t="e" vm="1">
        <v>#VALUE!</v>
      </c>
      <c r="O33" t="str" cm="1">
        <f t="array" aca="1" ref="O33" ca="1">_FV(N33,"Name")</f>
        <v>United States</v>
      </c>
      <c r="P33" t="s">
        <v>11</v>
      </c>
      <c r="R33" t="s">
        <v>775</v>
      </c>
      <c r="S33" s="1">
        <v>46157</v>
      </c>
      <c r="U33">
        <v>1</v>
      </c>
      <c r="V33">
        <v>1</v>
      </c>
      <c r="W33">
        <v>1</v>
      </c>
    </row>
    <row r="34" spans="1:23" x14ac:dyDescent="0.4">
      <c r="A34" t="s">
        <v>340</v>
      </c>
      <c r="D34" s="1">
        <v>45950</v>
      </c>
      <c r="E34" t="s">
        <v>39</v>
      </c>
      <c r="I34" t="s">
        <v>95</v>
      </c>
      <c r="J34" t="s">
        <v>401</v>
      </c>
      <c r="M34" t="s">
        <v>339</v>
      </c>
      <c r="N34" t="e" vm="1">
        <v>#VALUE!</v>
      </c>
      <c r="O34" t="str" cm="1">
        <f t="array" aca="1" ref="O34" ca="1">_FV(N34,"Name")</f>
        <v>United States</v>
      </c>
      <c r="R34" t="s">
        <v>775</v>
      </c>
      <c r="S34" s="1">
        <v>45950</v>
      </c>
      <c r="U34">
        <v>1</v>
      </c>
      <c r="V34">
        <v>0</v>
      </c>
      <c r="W34">
        <v>0</v>
      </c>
    </row>
    <row r="35" spans="1:23" x14ac:dyDescent="0.4">
      <c r="A35" s="4" t="s">
        <v>73</v>
      </c>
      <c r="B35" s="20"/>
      <c r="D35" s="1">
        <v>45955</v>
      </c>
      <c r="E35" t="s">
        <v>74</v>
      </c>
      <c r="G35">
        <v>1</v>
      </c>
      <c r="H35" s="1"/>
      <c r="I35" t="s">
        <v>95</v>
      </c>
      <c r="J35" t="s">
        <v>401</v>
      </c>
      <c r="K35" t="s">
        <v>308</v>
      </c>
      <c r="L35" s="1">
        <v>45965</v>
      </c>
      <c r="M35" s="2" t="s">
        <v>72</v>
      </c>
      <c r="N35" t="e" vm="1">
        <v>#VALUE!</v>
      </c>
      <c r="O35" t="str" cm="1">
        <f t="array" aca="1" ref="O35" ca="1">_FV(N35,"Name")</f>
        <v>United States</v>
      </c>
      <c r="P35" t="s">
        <v>11</v>
      </c>
      <c r="Q35" t="s">
        <v>18</v>
      </c>
      <c r="R35" t="s">
        <v>775</v>
      </c>
      <c r="S35" s="1">
        <v>45962</v>
      </c>
      <c r="U35">
        <v>1</v>
      </c>
      <c r="V35">
        <v>1</v>
      </c>
      <c r="W35">
        <v>1</v>
      </c>
    </row>
    <row r="36" spans="1:23" x14ac:dyDescent="0.4">
      <c r="A36" s="4" t="s">
        <v>134</v>
      </c>
      <c r="D36" s="1">
        <v>45955</v>
      </c>
      <c r="E36" t="s">
        <v>39</v>
      </c>
      <c r="G36">
        <v>1</v>
      </c>
      <c r="H36" t="s">
        <v>136</v>
      </c>
      <c r="I36" t="s">
        <v>95</v>
      </c>
      <c r="J36" t="s">
        <v>401</v>
      </c>
      <c r="K36" t="s">
        <v>308</v>
      </c>
      <c r="L36" s="1">
        <v>45965</v>
      </c>
      <c r="M36" s="2" t="s">
        <v>135</v>
      </c>
      <c r="N36" t="e" vm="7">
        <v>#VALUE!</v>
      </c>
      <c r="O36" t="str" cm="1">
        <f t="array" aca="1" ref="O36" ca="1">_FV(N36,"Name")</f>
        <v>Australia</v>
      </c>
      <c r="P36" t="s">
        <v>11</v>
      </c>
      <c r="R36" t="s">
        <v>775</v>
      </c>
      <c r="S36" s="1">
        <v>45969</v>
      </c>
      <c r="U36">
        <v>1</v>
      </c>
      <c r="V36">
        <v>0</v>
      </c>
      <c r="W36">
        <v>0</v>
      </c>
    </row>
    <row r="37" spans="1:23" x14ac:dyDescent="0.4">
      <c r="A37" s="4" t="s">
        <v>124</v>
      </c>
      <c r="D37" s="1">
        <v>45955</v>
      </c>
      <c r="E37" t="s">
        <v>15</v>
      </c>
      <c r="G37">
        <v>1</v>
      </c>
      <c r="I37" t="s">
        <v>95</v>
      </c>
      <c r="J37" t="s">
        <v>401</v>
      </c>
      <c r="K37" t="s">
        <v>308</v>
      </c>
      <c r="L37" s="1">
        <v>45965</v>
      </c>
      <c r="M37" s="2" t="s">
        <v>125</v>
      </c>
      <c r="N37" t="e" vm="8">
        <v>#VALUE!</v>
      </c>
      <c r="O37" t="str" cm="1">
        <f t="array" aca="1" ref="O37" ca="1">_FV(N37,"Name")</f>
        <v>Barcelona</v>
      </c>
      <c r="P37" t="s">
        <v>11</v>
      </c>
      <c r="R37" t="s">
        <v>775</v>
      </c>
      <c r="S37" s="1">
        <v>45963</v>
      </c>
      <c r="U37">
        <v>1</v>
      </c>
      <c r="V37">
        <v>1</v>
      </c>
      <c r="W37">
        <v>1</v>
      </c>
    </row>
    <row r="38" spans="1:23" x14ac:dyDescent="0.4">
      <c r="A38" s="4" t="s">
        <v>121</v>
      </c>
      <c r="D38" s="1">
        <v>45955</v>
      </c>
      <c r="E38" t="s">
        <v>15</v>
      </c>
      <c r="G38">
        <v>1</v>
      </c>
      <c r="H38" t="s">
        <v>123</v>
      </c>
      <c r="I38" t="s">
        <v>95</v>
      </c>
      <c r="J38" t="s">
        <v>401</v>
      </c>
      <c r="K38" t="s">
        <v>308</v>
      </c>
      <c r="L38" s="1">
        <v>45965</v>
      </c>
      <c r="M38" s="2" t="s">
        <v>122</v>
      </c>
      <c r="N38" t="e" vm="7">
        <v>#VALUE!</v>
      </c>
      <c r="O38" t="str" cm="1">
        <f t="array" aca="1" ref="O38" ca="1">_FV(N38,"Name")</f>
        <v>Australia</v>
      </c>
      <c r="P38" t="s">
        <v>11</v>
      </c>
      <c r="R38" t="s">
        <v>775</v>
      </c>
      <c r="S38" s="1">
        <v>45962</v>
      </c>
      <c r="U38">
        <v>1</v>
      </c>
      <c r="V38">
        <v>0</v>
      </c>
      <c r="W38">
        <v>0</v>
      </c>
    </row>
    <row r="39" spans="1:23" x14ac:dyDescent="0.4">
      <c r="A39" t="s">
        <v>546</v>
      </c>
      <c r="D39" s="1">
        <v>45955</v>
      </c>
      <c r="E39" t="s">
        <v>547</v>
      </c>
      <c r="I39" t="s">
        <v>95</v>
      </c>
      <c r="J39" t="s">
        <v>401</v>
      </c>
      <c r="M39" t="s">
        <v>548</v>
      </c>
      <c r="N39" t="e" vm="1">
        <v>#VALUE!</v>
      </c>
      <c r="O39" t="str" cm="1">
        <f t="array" aca="1" ref="O39" ca="1">_FV(N39,"Name")</f>
        <v>United States</v>
      </c>
      <c r="P39" t="s">
        <v>11</v>
      </c>
      <c r="R39" t="s">
        <v>775</v>
      </c>
      <c r="S39" s="1">
        <v>46203</v>
      </c>
      <c r="U39">
        <v>1</v>
      </c>
      <c r="V39">
        <v>1</v>
      </c>
      <c r="W39">
        <v>1</v>
      </c>
    </row>
    <row r="40" spans="1:23" x14ac:dyDescent="0.4">
      <c r="A40" t="s">
        <v>521</v>
      </c>
      <c r="D40" s="1">
        <v>45955</v>
      </c>
      <c r="E40" t="s">
        <v>522</v>
      </c>
      <c r="I40" t="s">
        <v>95</v>
      </c>
      <c r="J40" t="s">
        <v>401</v>
      </c>
      <c r="M40" t="s">
        <v>523</v>
      </c>
      <c r="N40" t="e" vm="1">
        <v>#VALUE!</v>
      </c>
      <c r="O40" t="str" cm="1">
        <f t="array" aca="1" ref="O40" ca="1">_FV(N40,"Name")</f>
        <v>United States</v>
      </c>
      <c r="P40" t="s">
        <v>19</v>
      </c>
      <c r="R40" t="s">
        <v>775</v>
      </c>
      <c r="S40" s="1">
        <v>46010</v>
      </c>
      <c r="U40">
        <v>1</v>
      </c>
      <c r="V40">
        <v>0</v>
      </c>
      <c r="W40">
        <v>1</v>
      </c>
    </row>
    <row r="41" spans="1:23" x14ac:dyDescent="0.4">
      <c r="A41" t="s">
        <v>186</v>
      </c>
      <c r="D41" s="1">
        <v>45955</v>
      </c>
      <c r="E41" t="s">
        <v>15</v>
      </c>
      <c r="I41" t="s">
        <v>95</v>
      </c>
      <c r="J41" t="s">
        <v>401</v>
      </c>
      <c r="M41" s="2" t="s">
        <v>187</v>
      </c>
      <c r="N41" t="e" vm="1">
        <v>#VALUE!</v>
      </c>
      <c r="O41" t="str" cm="1">
        <f t="array" aca="1" ref="O41" ca="1">_FV(N41,"Name")</f>
        <v>United States</v>
      </c>
      <c r="P41" t="s">
        <v>11</v>
      </c>
      <c r="R41" t="s">
        <v>775</v>
      </c>
      <c r="S41" s="1">
        <v>45968</v>
      </c>
      <c r="U41">
        <v>1</v>
      </c>
      <c r="V41">
        <v>0</v>
      </c>
      <c r="W41">
        <v>0</v>
      </c>
    </row>
    <row r="42" spans="1:23" x14ac:dyDescent="0.4">
      <c r="A42" t="s">
        <v>554</v>
      </c>
      <c r="D42" s="1">
        <v>45955</v>
      </c>
      <c r="E42" t="s">
        <v>553</v>
      </c>
      <c r="I42" t="s">
        <v>95</v>
      </c>
      <c r="J42" t="s">
        <v>401</v>
      </c>
      <c r="M42" t="s">
        <v>555</v>
      </c>
      <c r="N42" t="e" vm="1">
        <v>#VALUE!</v>
      </c>
      <c r="O42" t="str" cm="1">
        <f t="array" aca="1" ref="O42" ca="1">_FV(N42,"Name")</f>
        <v>United States</v>
      </c>
      <c r="P42" t="s">
        <v>11</v>
      </c>
      <c r="R42" t="s">
        <v>775</v>
      </c>
      <c r="S42" s="1">
        <v>46053</v>
      </c>
      <c r="U42">
        <v>1</v>
      </c>
      <c r="V42">
        <v>1</v>
      </c>
      <c r="W42">
        <v>0</v>
      </c>
    </row>
    <row r="43" spans="1:23" x14ac:dyDescent="0.4">
      <c r="A43" t="s">
        <v>180</v>
      </c>
      <c r="D43" s="1">
        <v>45955</v>
      </c>
      <c r="E43" t="s">
        <v>15</v>
      </c>
      <c r="I43" t="s">
        <v>95</v>
      </c>
      <c r="J43" t="s">
        <v>401</v>
      </c>
      <c r="M43" s="2" t="s">
        <v>181</v>
      </c>
      <c r="N43" t="e" vm="1">
        <v>#VALUE!</v>
      </c>
      <c r="O43" t="str" cm="1">
        <f t="array" aca="1" ref="O43" ca="1">_FV(N43,"Name")</f>
        <v>United States</v>
      </c>
      <c r="P43" t="s">
        <v>11</v>
      </c>
      <c r="R43" t="s">
        <v>775</v>
      </c>
      <c r="S43" s="1">
        <v>45968</v>
      </c>
      <c r="U43">
        <v>1</v>
      </c>
      <c r="V43">
        <v>0</v>
      </c>
      <c r="W43">
        <v>0</v>
      </c>
    </row>
    <row r="44" spans="1:23" x14ac:dyDescent="0.4">
      <c r="A44" t="s">
        <v>619</v>
      </c>
      <c r="D44" s="1">
        <v>45955</v>
      </c>
      <c r="E44" t="s">
        <v>39</v>
      </c>
      <c r="F44" t="s">
        <v>620</v>
      </c>
      <c r="I44" t="s">
        <v>95</v>
      </c>
      <c r="J44" t="s">
        <v>401</v>
      </c>
      <c r="M44" t="s">
        <v>618</v>
      </c>
      <c r="N44" t="e" vm="1">
        <v>#VALUE!</v>
      </c>
      <c r="O44" t="str" cm="1">
        <f t="array" aca="1" ref="O44" ca="1">_FV(N44,"Name")</f>
        <v>United States</v>
      </c>
      <c r="P44" t="s">
        <v>11</v>
      </c>
      <c r="R44" t="s">
        <v>775</v>
      </c>
      <c r="S44" s="1">
        <v>45996</v>
      </c>
      <c r="U44">
        <v>1</v>
      </c>
      <c r="V44">
        <v>1</v>
      </c>
      <c r="W44">
        <v>1</v>
      </c>
    </row>
    <row r="45" spans="1:23" x14ac:dyDescent="0.4">
      <c r="A45" t="s">
        <v>183</v>
      </c>
      <c r="D45" s="1">
        <v>45955</v>
      </c>
      <c r="E45" t="s">
        <v>15</v>
      </c>
      <c r="I45" t="s">
        <v>95</v>
      </c>
      <c r="J45" t="s">
        <v>401</v>
      </c>
      <c r="M45" s="2" t="s">
        <v>184</v>
      </c>
      <c r="N45" t="e" vm="9">
        <v>#VALUE!</v>
      </c>
      <c r="O45" t="str" cm="1">
        <f t="array" aca="1" ref="O45" ca="1">_FV(N45,"Name")</f>
        <v>Germany</v>
      </c>
      <c r="P45" t="s">
        <v>11</v>
      </c>
      <c r="Q45" t="s">
        <v>185</v>
      </c>
      <c r="R45" t="s">
        <v>775</v>
      </c>
      <c r="S45" s="1">
        <v>45970</v>
      </c>
      <c r="U45">
        <v>1</v>
      </c>
      <c r="V45">
        <v>0</v>
      </c>
      <c r="W45">
        <v>0</v>
      </c>
    </row>
    <row r="46" spans="1:23" x14ac:dyDescent="0.4">
      <c r="A46" t="s">
        <v>469</v>
      </c>
      <c r="D46" s="1">
        <v>45955</v>
      </c>
      <c r="E46" t="s">
        <v>545</v>
      </c>
      <c r="I46" t="s">
        <v>95</v>
      </c>
      <c r="J46" t="s">
        <v>401</v>
      </c>
      <c r="M46" t="s">
        <v>544</v>
      </c>
      <c r="N46" t="e" vm="1">
        <v>#VALUE!</v>
      </c>
      <c r="O46" t="str" cm="1">
        <f t="array" aca="1" ref="O46" ca="1">_FV(N46,"Name")</f>
        <v>United States</v>
      </c>
      <c r="P46" t="s">
        <v>11</v>
      </c>
      <c r="R46" t="s">
        <v>775</v>
      </c>
      <c r="S46" s="1">
        <v>45995</v>
      </c>
      <c r="U46">
        <v>1</v>
      </c>
      <c r="V46">
        <v>0</v>
      </c>
      <c r="W46">
        <v>1</v>
      </c>
    </row>
    <row r="47" spans="1:23" x14ac:dyDescent="0.4">
      <c r="A47" t="s">
        <v>206</v>
      </c>
      <c r="D47" s="1">
        <v>45955</v>
      </c>
      <c r="E47" t="s">
        <v>39</v>
      </c>
      <c r="I47" t="s">
        <v>95</v>
      </c>
      <c r="J47" t="s">
        <v>401</v>
      </c>
      <c r="M47" s="2" t="s">
        <v>205</v>
      </c>
      <c r="N47" t="e" vm="3">
        <v>#VALUE!</v>
      </c>
      <c r="O47" t="str" cm="1">
        <f t="array" aca="1" ref="O47" ca="1">_FV(N47,"Name")</f>
        <v>Japan</v>
      </c>
      <c r="P47" t="s">
        <v>11</v>
      </c>
      <c r="R47" t="s">
        <v>775</v>
      </c>
      <c r="S47" s="1">
        <v>45968</v>
      </c>
      <c r="U47">
        <v>1</v>
      </c>
      <c r="V47">
        <v>0</v>
      </c>
      <c r="W47">
        <v>0</v>
      </c>
    </row>
    <row r="48" spans="1:23" x14ac:dyDescent="0.4">
      <c r="A48" t="s">
        <v>371</v>
      </c>
      <c r="D48" s="1">
        <v>45955</v>
      </c>
      <c r="E48" t="s">
        <v>372</v>
      </c>
      <c r="I48" t="s">
        <v>95</v>
      </c>
      <c r="J48" t="s">
        <v>401</v>
      </c>
      <c r="M48" t="s">
        <v>370</v>
      </c>
      <c r="N48" t="e" vm="1">
        <v>#VALUE!</v>
      </c>
      <c r="O48" t="str" cm="1">
        <f t="array" aca="1" ref="O48" ca="1">_FV(N48,"Name")</f>
        <v>United States</v>
      </c>
      <c r="P48" t="s">
        <v>11</v>
      </c>
      <c r="R48" t="s">
        <v>775</v>
      </c>
      <c r="S48" s="1">
        <v>46203</v>
      </c>
      <c r="U48">
        <v>1</v>
      </c>
      <c r="V48">
        <v>0</v>
      </c>
      <c r="W48">
        <v>0</v>
      </c>
    </row>
    <row r="49" spans="1:23" x14ac:dyDescent="0.4">
      <c r="A49" t="s">
        <v>367</v>
      </c>
      <c r="D49" s="1">
        <v>45955</v>
      </c>
      <c r="E49" t="s">
        <v>369</v>
      </c>
      <c r="I49" t="s">
        <v>95</v>
      </c>
      <c r="J49" t="s">
        <v>402</v>
      </c>
      <c r="M49" t="s">
        <v>368</v>
      </c>
      <c r="N49" t="e" vm="1">
        <v>#VALUE!</v>
      </c>
      <c r="O49" t="str" cm="1">
        <f t="array" aca="1" ref="O49" ca="1">_FV(N49,"Name")</f>
        <v>United States</v>
      </c>
      <c r="P49" t="s">
        <v>11</v>
      </c>
      <c r="R49" t="s">
        <v>775</v>
      </c>
      <c r="S49" s="1">
        <v>45962</v>
      </c>
      <c r="U49">
        <v>1</v>
      </c>
      <c r="V49">
        <v>1</v>
      </c>
      <c r="W49">
        <v>1</v>
      </c>
    </row>
    <row r="50" spans="1:23" x14ac:dyDescent="0.4">
      <c r="A50" t="s">
        <v>65</v>
      </c>
      <c r="D50" s="1">
        <v>45955</v>
      </c>
      <c r="E50" s="2" t="s">
        <v>67</v>
      </c>
      <c r="G50">
        <v>1</v>
      </c>
      <c r="H50" s="1"/>
      <c r="I50" t="s">
        <v>95</v>
      </c>
      <c r="J50" t="s">
        <v>401</v>
      </c>
      <c r="M50" s="2" t="s">
        <v>66</v>
      </c>
      <c r="N50" t="e" vm="1">
        <v>#VALUE!</v>
      </c>
      <c r="O50" t="str" cm="1">
        <f t="array" aca="1" ref="O50" ca="1">_FV(N50,"Name")</f>
        <v>United States</v>
      </c>
      <c r="P50" t="s">
        <v>11</v>
      </c>
      <c r="Q50" t="s">
        <v>18</v>
      </c>
      <c r="R50" t="s">
        <v>775</v>
      </c>
      <c r="S50" s="1">
        <v>45962</v>
      </c>
      <c r="U50">
        <v>1</v>
      </c>
      <c r="V50">
        <v>1</v>
      </c>
      <c r="W50">
        <v>1</v>
      </c>
    </row>
    <row r="51" spans="1:23" x14ac:dyDescent="0.4">
      <c r="A51" t="s">
        <v>55</v>
      </c>
      <c r="D51" s="1">
        <v>45955</v>
      </c>
      <c r="E51" s="2" t="s">
        <v>56</v>
      </c>
      <c r="H51" s="1"/>
      <c r="I51" t="s">
        <v>95</v>
      </c>
      <c r="J51" t="s">
        <v>401</v>
      </c>
      <c r="M51" s="2" t="s">
        <v>57</v>
      </c>
      <c r="N51" t="e" vm="10">
        <v>#VALUE!</v>
      </c>
      <c r="O51" t="str" cm="1">
        <f t="array" aca="1" ref="O51" ca="1">_FV(N51,"Name")</f>
        <v>Canada</v>
      </c>
      <c r="R51" t="s">
        <v>775</v>
      </c>
      <c r="S51" s="1">
        <v>45962</v>
      </c>
      <c r="U51">
        <v>1</v>
      </c>
      <c r="V51">
        <v>0</v>
      </c>
      <c r="W51">
        <v>0</v>
      </c>
    </row>
    <row r="52" spans="1:23" x14ac:dyDescent="0.4">
      <c r="A52" t="s">
        <v>53</v>
      </c>
      <c r="D52" s="1">
        <v>45955</v>
      </c>
      <c r="E52" t="s">
        <v>54</v>
      </c>
      <c r="H52" s="1"/>
      <c r="I52" t="s">
        <v>95</v>
      </c>
      <c r="J52" t="s">
        <v>403</v>
      </c>
      <c r="M52" s="2" t="s">
        <v>57</v>
      </c>
      <c r="N52" t="e" vm="1">
        <v>#VALUE!</v>
      </c>
      <c r="O52" t="str" cm="1">
        <f t="array" aca="1" ref="O52" ca="1">_FV(N52,"Name")</f>
        <v>United States</v>
      </c>
      <c r="R52" t="s">
        <v>775</v>
      </c>
      <c r="S52" s="1">
        <v>45962</v>
      </c>
      <c r="U52">
        <v>1</v>
      </c>
      <c r="V52">
        <v>0</v>
      </c>
      <c r="W52">
        <v>0</v>
      </c>
    </row>
    <row r="53" spans="1:23" x14ac:dyDescent="0.4">
      <c r="A53" t="s">
        <v>514</v>
      </c>
      <c r="D53" s="1">
        <v>45955</v>
      </c>
      <c r="E53" t="s">
        <v>515</v>
      </c>
      <c r="I53" t="s">
        <v>95</v>
      </c>
      <c r="J53" t="s">
        <v>401</v>
      </c>
      <c r="M53" t="s">
        <v>516</v>
      </c>
      <c r="N53" t="e" vm="1">
        <v>#VALUE!</v>
      </c>
      <c r="O53" t="str" cm="1">
        <f t="array" aca="1" ref="O53" ca="1">_FV(N53,"Name")</f>
        <v>United States</v>
      </c>
      <c r="P53" t="s">
        <v>11</v>
      </c>
      <c r="R53" t="s">
        <v>775</v>
      </c>
      <c r="S53" s="1">
        <v>45962</v>
      </c>
      <c r="U53">
        <v>1</v>
      </c>
      <c r="V53">
        <v>0</v>
      </c>
      <c r="W53">
        <v>0</v>
      </c>
    </row>
    <row r="54" spans="1:23" x14ac:dyDescent="0.4">
      <c r="A54" t="s">
        <v>506</v>
      </c>
      <c r="C54" t="s">
        <v>513</v>
      </c>
      <c r="D54" s="1">
        <v>45960</v>
      </c>
      <c r="E54" t="s">
        <v>507</v>
      </c>
      <c r="I54" t="s">
        <v>95</v>
      </c>
      <c r="J54" t="s">
        <v>401</v>
      </c>
      <c r="M54" t="s">
        <v>508</v>
      </c>
      <c r="N54" t="e" vm="1">
        <v>#VALUE!</v>
      </c>
      <c r="O54" t="str" cm="1">
        <f t="array" aca="1" ref="O54" ca="1">_FV(N54,"Name")</f>
        <v>United States</v>
      </c>
      <c r="P54" t="s">
        <v>11</v>
      </c>
      <c r="R54" t="s">
        <v>775</v>
      </c>
      <c r="S54" s="1">
        <v>46081</v>
      </c>
      <c r="U54">
        <v>1</v>
      </c>
      <c r="V54">
        <v>0</v>
      </c>
      <c r="W54">
        <v>0</v>
      </c>
    </row>
    <row r="55" spans="1:23" x14ac:dyDescent="0.4">
      <c r="A55" t="s">
        <v>104</v>
      </c>
      <c r="D55" s="1">
        <v>45961</v>
      </c>
      <c r="E55" t="s">
        <v>15</v>
      </c>
      <c r="H55" s="1"/>
      <c r="I55" t="s">
        <v>95</v>
      </c>
      <c r="J55" t="s">
        <v>401</v>
      </c>
      <c r="M55" s="2" t="s">
        <v>105</v>
      </c>
      <c r="N55" t="e" vm="4">
        <v>#VALUE!</v>
      </c>
      <c r="O55" t="str" cm="1">
        <f t="array" aca="1" ref="O55" ca="1">_FV(N55,"Name")</f>
        <v>France</v>
      </c>
      <c r="P55" t="s">
        <v>25</v>
      </c>
      <c r="R55" t="s">
        <v>775</v>
      </c>
      <c r="S55" s="1">
        <v>45961</v>
      </c>
      <c r="U55">
        <v>1</v>
      </c>
      <c r="V55">
        <v>0</v>
      </c>
      <c r="W55">
        <v>0</v>
      </c>
    </row>
    <row r="56" spans="1:23" x14ac:dyDescent="0.4">
      <c r="A56" s="4" t="s">
        <v>143</v>
      </c>
      <c r="D56" s="1">
        <v>45962</v>
      </c>
      <c r="E56" t="s">
        <v>39</v>
      </c>
      <c r="G56">
        <v>1</v>
      </c>
      <c r="H56" t="s">
        <v>145</v>
      </c>
      <c r="I56" t="s">
        <v>95</v>
      </c>
      <c r="J56" t="s">
        <v>404</v>
      </c>
      <c r="K56" t="s">
        <v>308</v>
      </c>
      <c r="L56" s="1">
        <v>45976</v>
      </c>
      <c r="M56" s="2" t="s">
        <v>144</v>
      </c>
      <c r="N56" t="e" vm="11">
        <v>#VALUE!</v>
      </c>
      <c r="O56" t="str" cm="1">
        <f t="array" aca="1" ref="O56" ca="1">_FV(N56,"Name")</f>
        <v>Colombia</v>
      </c>
      <c r="P56" t="s">
        <v>11</v>
      </c>
      <c r="R56" t="s">
        <v>775</v>
      </c>
      <c r="S56" s="1">
        <v>45975</v>
      </c>
      <c r="U56">
        <v>1</v>
      </c>
      <c r="V56">
        <v>0</v>
      </c>
      <c r="W56">
        <v>0</v>
      </c>
    </row>
    <row r="57" spans="1:23" x14ac:dyDescent="0.4">
      <c r="A57" t="s">
        <v>420</v>
      </c>
      <c r="D57" s="1">
        <v>45962</v>
      </c>
      <c r="E57" s="2" t="s">
        <v>419</v>
      </c>
      <c r="F57" t="s">
        <v>418</v>
      </c>
      <c r="I57" t="s">
        <v>95</v>
      </c>
      <c r="J57" t="s">
        <v>402</v>
      </c>
      <c r="M57" t="s">
        <v>421</v>
      </c>
      <c r="N57" t="e" vm="1">
        <v>#VALUE!</v>
      </c>
      <c r="O57" t="str" cm="1">
        <f t="array" aca="1" ref="O57" ca="1">_FV(N57,"Name")</f>
        <v>United States</v>
      </c>
      <c r="P57" t="s">
        <v>11</v>
      </c>
      <c r="R57" t="s">
        <v>775</v>
      </c>
      <c r="S57" s="1">
        <v>45981</v>
      </c>
      <c r="U57">
        <v>1</v>
      </c>
      <c r="V57">
        <v>1</v>
      </c>
      <c r="W57">
        <v>1</v>
      </c>
    </row>
    <row r="58" spans="1:23" x14ac:dyDescent="0.4">
      <c r="A58" t="s">
        <v>494</v>
      </c>
      <c r="C58" t="s">
        <v>449</v>
      </c>
      <c r="D58" s="1">
        <v>45962</v>
      </c>
      <c r="E58" t="s">
        <v>39</v>
      </c>
      <c r="F58" t="s">
        <v>495</v>
      </c>
      <c r="I58" t="s">
        <v>95</v>
      </c>
      <c r="J58" t="s">
        <v>401</v>
      </c>
      <c r="M58" s="17" t="s">
        <v>492</v>
      </c>
      <c r="N58" t="e" vm="1">
        <v>#VALUE!</v>
      </c>
      <c r="O58" t="str" cm="1">
        <f t="array" aca="1" ref="O58" ca="1">_FV(N58,"Name")</f>
        <v>United States</v>
      </c>
      <c r="P58" t="s">
        <v>11</v>
      </c>
      <c r="R58" t="s">
        <v>775</v>
      </c>
      <c r="S58" s="1">
        <v>45964</v>
      </c>
      <c r="U58">
        <v>1</v>
      </c>
      <c r="V58">
        <v>0</v>
      </c>
      <c r="W58">
        <v>0</v>
      </c>
    </row>
    <row r="59" spans="1:23" x14ac:dyDescent="0.4">
      <c r="A59" t="s">
        <v>487</v>
      </c>
      <c r="C59" t="s">
        <v>490</v>
      </c>
      <c r="D59" s="1">
        <v>45962</v>
      </c>
      <c r="E59" t="s">
        <v>39</v>
      </c>
      <c r="F59" t="s">
        <v>489</v>
      </c>
      <c r="I59" t="s">
        <v>95</v>
      </c>
      <c r="J59" t="s">
        <v>401</v>
      </c>
      <c r="M59" t="s">
        <v>488</v>
      </c>
      <c r="N59" t="e" vm="1">
        <v>#VALUE!</v>
      </c>
      <c r="O59" t="str" cm="1">
        <f t="array" aca="1" ref="O59" ca="1">_FV(N59,"Name")</f>
        <v>United States</v>
      </c>
      <c r="P59" t="s">
        <v>11</v>
      </c>
      <c r="R59" t="s">
        <v>775</v>
      </c>
      <c r="S59" s="1">
        <v>46055</v>
      </c>
      <c r="U59">
        <v>1</v>
      </c>
      <c r="V59">
        <v>1</v>
      </c>
      <c r="W59">
        <v>1</v>
      </c>
    </row>
    <row r="60" spans="1:23" x14ac:dyDescent="0.4">
      <c r="A60" t="s">
        <v>484</v>
      </c>
      <c r="D60" s="1">
        <v>45962</v>
      </c>
      <c r="E60" t="s">
        <v>39</v>
      </c>
      <c r="F60" s="2" t="s">
        <v>486</v>
      </c>
      <c r="I60" t="s">
        <v>95</v>
      </c>
      <c r="J60" t="s">
        <v>401</v>
      </c>
      <c r="M60" t="s">
        <v>483</v>
      </c>
      <c r="N60" t="e" vm="1">
        <v>#VALUE!</v>
      </c>
      <c r="O60" t="str" cm="1">
        <f t="array" aca="1" ref="O60" ca="1">_FV(N60,"Name")</f>
        <v>United States</v>
      </c>
      <c r="P60" t="s">
        <v>11</v>
      </c>
      <c r="R60" t="s">
        <v>775</v>
      </c>
      <c r="S60" s="1">
        <v>45976</v>
      </c>
      <c r="U60">
        <v>1</v>
      </c>
      <c r="V60">
        <v>1</v>
      </c>
      <c r="W60">
        <v>1</v>
      </c>
    </row>
    <row r="61" spans="1:23" x14ac:dyDescent="0.4">
      <c r="A61" t="s">
        <v>190</v>
      </c>
      <c r="D61" s="1">
        <v>45962</v>
      </c>
      <c r="E61" t="s">
        <v>15</v>
      </c>
      <c r="F61" s="2" t="s">
        <v>192</v>
      </c>
      <c r="H61" t="s">
        <v>193</v>
      </c>
      <c r="I61" t="s">
        <v>95</v>
      </c>
      <c r="J61" t="s">
        <v>401</v>
      </c>
      <c r="M61" s="2" t="s">
        <v>191</v>
      </c>
      <c r="N61" t="e" vm="1">
        <v>#VALUE!</v>
      </c>
      <c r="O61" t="str" cm="1">
        <f t="array" aca="1" ref="O61" ca="1">_FV(N61,"Name")</f>
        <v>United States</v>
      </c>
      <c r="P61" t="s">
        <v>11</v>
      </c>
      <c r="R61" t="s">
        <v>775</v>
      </c>
      <c r="S61" s="1">
        <v>45971</v>
      </c>
      <c r="U61">
        <v>1</v>
      </c>
      <c r="V61">
        <v>0</v>
      </c>
      <c r="W61">
        <v>0</v>
      </c>
    </row>
    <row r="62" spans="1:23" x14ac:dyDescent="0.4">
      <c r="A62" t="s">
        <v>197</v>
      </c>
      <c r="C62" t="s">
        <v>279</v>
      </c>
      <c r="D62" s="1">
        <v>45962</v>
      </c>
      <c r="E62" t="s">
        <v>15</v>
      </c>
      <c r="I62" t="s">
        <v>95</v>
      </c>
      <c r="J62" t="s">
        <v>401</v>
      </c>
      <c r="M62" s="2" t="s">
        <v>198</v>
      </c>
      <c r="N62" t="e" vm="10">
        <v>#VALUE!</v>
      </c>
      <c r="O62" t="str" cm="1">
        <f t="array" aca="1" ref="O62" ca="1">_FV(N62,"Name")</f>
        <v>Canada</v>
      </c>
      <c r="P62" t="s">
        <v>177</v>
      </c>
      <c r="R62" t="s">
        <v>775</v>
      </c>
      <c r="S62" s="1">
        <v>45979</v>
      </c>
      <c r="U62">
        <v>1</v>
      </c>
      <c r="V62">
        <v>0</v>
      </c>
      <c r="W62">
        <v>1</v>
      </c>
    </row>
    <row r="63" spans="1:23" x14ac:dyDescent="0.4">
      <c r="A63" t="s">
        <v>560</v>
      </c>
      <c r="D63" s="1">
        <v>45962</v>
      </c>
      <c r="E63" t="s">
        <v>561</v>
      </c>
      <c r="I63" t="s">
        <v>95</v>
      </c>
      <c r="J63" t="s">
        <v>401</v>
      </c>
      <c r="M63" t="s">
        <v>562</v>
      </c>
      <c r="N63" t="e" vm="1">
        <v>#VALUE!</v>
      </c>
      <c r="O63" t="str" cm="1">
        <f t="array" aca="1" ref="O63" ca="1">_FV(N63,"Name")</f>
        <v>United States</v>
      </c>
      <c r="P63" t="s">
        <v>11</v>
      </c>
      <c r="R63" t="s">
        <v>775</v>
      </c>
      <c r="S63" s="1">
        <v>45962</v>
      </c>
      <c r="U63">
        <v>1</v>
      </c>
      <c r="V63">
        <v>1</v>
      </c>
      <c r="W63">
        <v>1</v>
      </c>
    </row>
    <row r="64" spans="1:23" x14ac:dyDescent="0.4">
      <c r="A64" t="s">
        <v>598</v>
      </c>
      <c r="D64" s="1">
        <v>45962</v>
      </c>
      <c r="E64" t="s">
        <v>39</v>
      </c>
      <c r="F64" t="s">
        <v>597</v>
      </c>
      <c r="I64" t="s">
        <v>95</v>
      </c>
      <c r="J64" t="s">
        <v>401</v>
      </c>
      <c r="M64" t="s">
        <v>596</v>
      </c>
      <c r="N64" t="e" vm="1">
        <v>#VALUE!</v>
      </c>
      <c r="O64" t="str" cm="1">
        <f t="array" aca="1" ref="O64" ca="1">_FV(N64,"Name")</f>
        <v>United States</v>
      </c>
      <c r="P64" t="s">
        <v>11</v>
      </c>
      <c r="R64" t="s">
        <v>775</v>
      </c>
      <c r="S64" s="1">
        <v>46244</v>
      </c>
      <c r="U64">
        <v>1</v>
      </c>
      <c r="V64">
        <v>0</v>
      </c>
      <c r="W64">
        <v>1</v>
      </c>
    </row>
    <row r="65" spans="1:23" x14ac:dyDescent="0.4">
      <c r="A65" t="s">
        <v>610</v>
      </c>
      <c r="D65" s="1">
        <v>45962</v>
      </c>
      <c r="E65" t="s">
        <v>39</v>
      </c>
      <c r="F65" t="s">
        <v>609</v>
      </c>
      <c r="I65" t="s">
        <v>95</v>
      </c>
      <c r="J65" t="s">
        <v>402</v>
      </c>
      <c r="M65" t="s">
        <v>608</v>
      </c>
      <c r="N65" t="e" vm="1">
        <v>#VALUE!</v>
      </c>
      <c r="O65" t="str" cm="1">
        <f t="array" aca="1" ref="O65" ca="1">_FV(N65,"Name")</f>
        <v>United States</v>
      </c>
      <c r="P65" t="s">
        <v>11</v>
      </c>
      <c r="R65" t="s">
        <v>775</v>
      </c>
      <c r="S65" s="1">
        <v>45962</v>
      </c>
      <c r="U65">
        <v>1</v>
      </c>
      <c r="V65">
        <v>1</v>
      </c>
      <c r="W65">
        <v>1</v>
      </c>
    </row>
    <row r="66" spans="1:23" x14ac:dyDescent="0.4">
      <c r="A66" t="s">
        <v>460</v>
      </c>
      <c r="D66" s="1">
        <v>45962</v>
      </c>
      <c r="E66" t="s">
        <v>462</v>
      </c>
      <c r="I66" t="s">
        <v>95</v>
      </c>
      <c r="J66" t="s">
        <v>401</v>
      </c>
      <c r="M66" t="s">
        <v>461</v>
      </c>
      <c r="N66" t="e" vm="1">
        <v>#VALUE!</v>
      </c>
      <c r="O66" t="str" cm="1">
        <f t="array" aca="1" ref="O66" ca="1">_FV(N66,"Name")</f>
        <v>United States</v>
      </c>
      <c r="P66" t="s">
        <v>11</v>
      </c>
      <c r="R66" t="s">
        <v>775</v>
      </c>
      <c r="S66" s="1">
        <v>46244</v>
      </c>
      <c r="U66">
        <v>1</v>
      </c>
      <c r="V66">
        <v>0</v>
      </c>
      <c r="W66">
        <v>0</v>
      </c>
    </row>
    <row r="67" spans="1:23" x14ac:dyDescent="0.4">
      <c r="A67" t="s">
        <v>621</v>
      </c>
      <c r="C67" t="s">
        <v>623</v>
      </c>
      <c r="D67" s="1">
        <v>45962</v>
      </c>
      <c r="E67" t="s">
        <v>39</v>
      </c>
      <c r="F67" t="s">
        <v>622</v>
      </c>
      <c r="I67" t="s">
        <v>95</v>
      </c>
      <c r="J67" t="s">
        <v>401</v>
      </c>
      <c r="M67" t="s">
        <v>624</v>
      </c>
      <c r="N67" t="e" vm="1">
        <v>#VALUE!</v>
      </c>
      <c r="O67" t="str" cm="1">
        <f t="array" aca="1" ref="O67" ca="1">_FV(N67,"Name")</f>
        <v>United States</v>
      </c>
      <c r="P67" t="s">
        <v>11</v>
      </c>
      <c r="R67" t="s">
        <v>775</v>
      </c>
      <c r="S67" s="1">
        <v>45992</v>
      </c>
      <c r="U67">
        <v>1</v>
      </c>
      <c r="V67">
        <v>0</v>
      </c>
      <c r="W67">
        <v>1</v>
      </c>
    </row>
    <row r="68" spans="1:23" x14ac:dyDescent="0.4">
      <c r="A68" t="s">
        <v>625</v>
      </c>
      <c r="D68" s="1">
        <v>45962</v>
      </c>
      <c r="E68" t="s">
        <v>39</v>
      </c>
      <c r="F68" t="s">
        <v>626</v>
      </c>
      <c r="I68" t="s">
        <v>95</v>
      </c>
      <c r="J68" t="s">
        <v>401</v>
      </c>
      <c r="M68" t="s">
        <v>627</v>
      </c>
      <c r="N68" t="e" vm="1">
        <v>#VALUE!</v>
      </c>
      <c r="O68" t="str" cm="1">
        <f t="array" aca="1" ref="O68" ca="1">_FV(N68,"Name")</f>
        <v>United States</v>
      </c>
      <c r="P68" t="s">
        <v>11</v>
      </c>
      <c r="R68" t="s">
        <v>775</v>
      </c>
      <c r="S68" s="1">
        <v>45971</v>
      </c>
      <c r="U68">
        <v>1</v>
      </c>
      <c r="V68">
        <v>0</v>
      </c>
      <c r="W68">
        <v>0</v>
      </c>
    </row>
    <row r="69" spans="1:23" x14ac:dyDescent="0.4">
      <c r="A69" t="s">
        <v>188</v>
      </c>
      <c r="D69" s="1">
        <v>45962</v>
      </c>
      <c r="E69" t="s">
        <v>15</v>
      </c>
      <c r="I69" t="s">
        <v>95</v>
      </c>
      <c r="J69" t="s">
        <v>401</v>
      </c>
      <c r="M69" s="2" t="s">
        <v>189</v>
      </c>
      <c r="N69" t="e" vm="12">
        <v>#VALUE!</v>
      </c>
      <c r="O69" t="str" cm="1">
        <f t="array" aca="1" ref="O69" ca="1">_FV(N69,"Name")</f>
        <v>Italy</v>
      </c>
      <c r="P69" t="s">
        <v>11</v>
      </c>
      <c r="R69" t="s">
        <v>775</v>
      </c>
      <c r="S69" s="1">
        <v>45971</v>
      </c>
      <c r="U69">
        <v>1</v>
      </c>
      <c r="V69">
        <v>1</v>
      </c>
      <c r="W69">
        <v>0</v>
      </c>
    </row>
    <row r="70" spans="1:23" x14ac:dyDescent="0.4">
      <c r="A70" t="s">
        <v>194</v>
      </c>
      <c r="D70" s="1">
        <v>45962</v>
      </c>
      <c r="E70" t="s">
        <v>15</v>
      </c>
      <c r="F70" s="2" t="s">
        <v>196</v>
      </c>
      <c r="I70" t="s">
        <v>95</v>
      </c>
      <c r="J70" t="s">
        <v>402</v>
      </c>
      <c r="M70" s="2" t="s">
        <v>195</v>
      </c>
      <c r="N70" t="e" vm="13">
        <v>#VALUE!</v>
      </c>
      <c r="O70" t="str" cm="1">
        <f t="array" aca="1" ref="O70" ca="1">_FV(N70,"Name")</f>
        <v>Paris</v>
      </c>
      <c r="P70" t="s">
        <v>11</v>
      </c>
      <c r="R70" t="s">
        <v>775</v>
      </c>
      <c r="S70" s="1">
        <v>45971</v>
      </c>
      <c r="U70">
        <v>1</v>
      </c>
      <c r="V70">
        <v>1</v>
      </c>
      <c r="W70">
        <v>1</v>
      </c>
    </row>
    <row r="71" spans="1:23" x14ac:dyDescent="0.4">
      <c r="A71" s="4" t="s">
        <v>313</v>
      </c>
      <c r="C71" t="s">
        <v>314</v>
      </c>
      <c r="D71" s="1">
        <v>45966</v>
      </c>
      <c r="E71" t="s">
        <v>15</v>
      </c>
      <c r="G71">
        <v>1</v>
      </c>
      <c r="I71" t="s">
        <v>95</v>
      </c>
      <c r="J71" t="s">
        <v>402</v>
      </c>
      <c r="K71" t="s">
        <v>308</v>
      </c>
      <c r="L71" s="1">
        <v>45976</v>
      </c>
      <c r="M71" t="s">
        <v>312</v>
      </c>
      <c r="N71" t="e" vm="12">
        <v>#VALUE!</v>
      </c>
      <c r="O71" t="str" cm="1">
        <f t="array" aca="1" ref="O71" ca="1">_FV(N71,"Name")</f>
        <v>Italy</v>
      </c>
      <c r="P71" t="s">
        <v>11</v>
      </c>
      <c r="R71" t="s">
        <v>775</v>
      </c>
      <c r="S71" s="1">
        <v>45977</v>
      </c>
      <c r="U71">
        <v>1</v>
      </c>
      <c r="V71">
        <v>1</v>
      </c>
      <c r="W71">
        <v>0</v>
      </c>
    </row>
    <row r="72" spans="1:23" x14ac:dyDescent="0.4">
      <c r="A72" s="4" t="s">
        <v>200</v>
      </c>
      <c r="B72" s="19"/>
      <c r="D72" s="1">
        <v>45966</v>
      </c>
      <c r="E72" t="s">
        <v>15</v>
      </c>
      <c r="G72">
        <v>3</v>
      </c>
      <c r="I72" t="s">
        <v>95</v>
      </c>
      <c r="J72" t="s">
        <v>401</v>
      </c>
      <c r="K72" t="s">
        <v>308</v>
      </c>
      <c r="L72" s="1">
        <v>45976</v>
      </c>
      <c r="M72" s="2" t="s">
        <v>199</v>
      </c>
      <c r="N72" t="e" vm="14">
        <v>#VALUE!</v>
      </c>
      <c r="O72" t="str" cm="1">
        <f t="array" aca="1" ref="O72" ca="1">_FV(N72,"Name")</f>
        <v>Sweden</v>
      </c>
      <c r="P72" t="s">
        <v>11</v>
      </c>
      <c r="R72" t="s">
        <v>775</v>
      </c>
      <c r="S72" s="1">
        <v>45974</v>
      </c>
      <c r="U72">
        <v>1</v>
      </c>
      <c r="V72">
        <v>0</v>
      </c>
      <c r="W72">
        <v>0</v>
      </c>
    </row>
    <row r="73" spans="1:23" x14ac:dyDescent="0.4">
      <c r="A73" s="4" t="s">
        <v>115</v>
      </c>
      <c r="C73" t="s">
        <v>406</v>
      </c>
      <c r="D73" s="1">
        <v>45966</v>
      </c>
      <c r="E73" t="s">
        <v>15</v>
      </c>
      <c r="G73">
        <v>2</v>
      </c>
      <c r="I73" t="s">
        <v>95</v>
      </c>
      <c r="J73" t="s">
        <v>401</v>
      </c>
      <c r="K73" t="s">
        <v>308</v>
      </c>
      <c r="L73" s="1">
        <v>45976</v>
      </c>
      <c r="M73" s="2" t="s">
        <v>116</v>
      </c>
      <c r="N73" t="e" vm="4">
        <v>#VALUE!</v>
      </c>
      <c r="O73" t="str" cm="1">
        <f t="array" aca="1" ref="O73" ca="1">_FV(N73,"Name")</f>
        <v>France</v>
      </c>
      <c r="P73" t="s">
        <v>11</v>
      </c>
      <c r="R73" t="s">
        <v>775</v>
      </c>
      <c r="S73" s="1">
        <v>45971</v>
      </c>
      <c r="U73">
        <v>1</v>
      </c>
      <c r="V73">
        <v>0</v>
      </c>
      <c r="W73">
        <v>0</v>
      </c>
    </row>
    <row r="74" spans="1:23" x14ac:dyDescent="0.4">
      <c r="A74" t="s">
        <v>395</v>
      </c>
      <c r="D74" s="1">
        <v>45966</v>
      </c>
      <c r="E74" t="s">
        <v>15</v>
      </c>
      <c r="H74" t="s">
        <v>397</v>
      </c>
      <c r="I74" t="s">
        <v>95</v>
      </c>
      <c r="J74" t="s">
        <v>401</v>
      </c>
      <c r="M74" t="s">
        <v>396</v>
      </c>
      <c r="N74" t="e" vm="15">
        <v>#VALUE!</v>
      </c>
      <c r="O74" t="str" cm="1">
        <f t="array" aca="1" ref="O74" ca="1">_FV(N74,"Name")</f>
        <v>Switzerland</v>
      </c>
      <c r="P74" t="s">
        <v>25</v>
      </c>
      <c r="R74" t="s">
        <v>775</v>
      </c>
      <c r="S74" s="1">
        <v>45976</v>
      </c>
      <c r="U74">
        <v>1</v>
      </c>
      <c r="V74">
        <v>0</v>
      </c>
      <c r="W74">
        <v>0</v>
      </c>
    </row>
    <row r="75" spans="1:23" x14ac:dyDescent="0.4">
      <c r="A75" t="s">
        <v>32</v>
      </c>
      <c r="D75" s="1">
        <v>45966</v>
      </c>
      <c r="E75" t="s">
        <v>15</v>
      </c>
      <c r="F75" s="2" t="s">
        <v>33</v>
      </c>
      <c r="H75" s="1"/>
      <c r="I75" t="s">
        <v>95</v>
      </c>
      <c r="J75" t="s">
        <v>401</v>
      </c>
      <c r="M75" s="2" t="s">
        <v>31</v>
      </c>
      <c r="N75" t="e" vm="1">
        <v>#VALUE!</v>
      </c>
      <c r="O75" t="str" cm="1">
        <f t="array" aca="1" ref="O75" ca="1">_FV(N75,"Name")</f>
        <v>United States</v>
      </c>
      <c r="P75" t="s">
        <v>11</v>
      </c>
      <c r="Q75" t="s">
        <v>18</v>
      </c>
      <c r="R75" t="s">
        <v>775</v>
      </c>
      <c r="S75" s="1">
        <v>45971</v>
      </c>
      <c r="T75" s="2"/>
      <c r="U75">
        <v>1</v>
      </c>
      <c r="V75">
        <v>0</v>
      </c>
      <c r="W75">
        <v>1</v>
      </c>
    </row>
    <row r="76" spans="1:23" x14ac:dyDescent="0.4">
      <c r="A76" t="s">
        <v>92</v>
      </c>
      <c r="D76" s="1">
        <v>45966</v>
      </c>
      <c r="E76" t="s">
        <v>39</v>
      </c>
      <c r="F76" t="s">
        <v>94</v>
      </c>
      <c r="H76" s="1"/>
      <c r="I76" t="s">
        <v>95</v>
      </c>
      <c r="J76" t="s">
        <v>401</v>
      </c>
      <c r="M76" s="2" t="s">
        <v>93</v>
      </c>
      <c r="N76" t="e" vm="10">
        <v>#VALUE!</v>
      </c>
      <c r="O76" t="str" cm="1">
        <f t="array" aca="1" ref="O76" ca="1">_FV(N76,"Name")</f>
        <v>Canada</v>
      </c>
      <c r="P76" t="s">
        <v>11</v>
      </c>
      <c r="R76" t="s">
        <v>775</v>
      </c>
      <c r="S76" s="1">
        <v>45971</v>
      </c>
      <c r="U76">
        <v>1</v>
      </c>
      <c r="V76">
        <v>0</v>
      </c>
      <c r="W76">
        <v>0</v>
      </c>
    </row>
    <row r="77" spans="1:23" x14ac:dyDescent="0.4">
      <c r="A77" t="s">
        <v>426</v>
      </c>
      <c r="D77" s="1">
        <v>45966</v>
      </c>
      <c r="E77" t="s">
        <v>427</v>
      </c>
      <c r="I77" t="s">
        <v>95</v>
      </c>
      <c r="J77" t="s">
        <v>401</v>
      </c>
      <c r="M77" t="s">
        <v>428</v>
      </c>
      <c r="N77" t="e" vm="1">
        <v>#VALUE!</v>
      </c>
      <c r="O77" t="str" cm="1">
        <f t="array" aca="1" ref="O77" ca="1">_FV(N77,"Name")</f>
        <v>United States</v>
      </c>
      <c r="P77" t="s">
        <v>11</v>
      </c>
      <c r="R77" t="s">
        <v>775</v>
      </c>
      <c r="S77" s="1">
        <v>45977</v>
      </c>
      <c r="U77">
        <v>1</v>
      </c>
      <c r="V77">
        <v>0</v>
      </c>
      <c r="W77">
        <v>0</v>
      </c>
    </row>
    <row r="78" spans="1:23" x14ac:dyDescent="0.4">
      <c r="A78" t="s">
        <v>443</v>
      </c>
      <c r="C78" t="s">
        <v>446</v>
      </c>
      <c r="D78" s="1">
        <v>45966</v>
      </c>
      <c r="E78" t="s">
        <v>444</v>
      </c>
      <c r="I78" t="s">
        <v>95</v>
      </c>
      <c r="J78" t="s">
        <v>402</v>
      </c>
      <c r="M78" t="s">
        <v>445</v>
      </c>
      <c r="N78" t="e" vm="1">
        <v>#VALUE!</v>
      </c>
      <c r="O78" t="str" cm="1">
        <f t="array" aca="1" ref="O78" ca="1">_FV(N78,"Name")</f>
        <v>United States</v>
      </c>
      <c r="P78" t="s">
        <v>11</v>
      </c>
      <c r="R78" t="s">
        <v>775</v>
      </c>
      <c r="S78" s="1">
        <v>45972</v>
      </c>
      <c r="U78">
        <v>1</v>
      </c>
      <c r="V78">
        <v>1</v>
      </c>
      <c r="W78">
        <v>1</v>
      </c>
    </row>
    <row r="79" spans="1:23" x14ac:dyDescent="0.4">
      <c r="A79" t="s">
        <v>451</v>
      </c>
      <c r="C79" t="s">
        <v>454</v>
      </c>
      <c r="D79" s="1">
        <v>45966</v>
      </c>
      <c r="E79" t="s">
        <v>39</v>
      </c>
      <c r="F79" t="s">
        <v>452</v>
      </c>
      <c r="G79">
        <v>1</v>
      </c>
      <c r="I79" t="s">
        <v>95</v>
      </c>
      <c r="J79" t="s">
        <v>401</v>
      </c>
      <c r="M79" t="s">
        <v>453</v>
      </c>
      <c r="N79" t="e" vm="1">
        <v>#VALUE!</v>
      </c>
      <c r="O79" t="str" cm="1">
        <f t="array" aca="1" ref="O79" ca="1">_FV(N79,"Name")</f>
        <v>United States</v>
      </c>
      <c r="P79" t="s">
        <v>11</v>
      </c>
      <c r="R79" t="s">
        <v>775</v>
      </c>
      <c r="S79" s="1">
        <v>45977</v>
      </c>
      <c r="U79">
        <v>1</v>
      </c>
      <c r="V79">
        <v>0</v>
      </c>
      <c r="W79">
        <v>0</v>
      </c>
    </row>
    <row r="80" spans="1:23" x14ac:dyDescent="0.4">
      <c r="A80" t="s">
        <v>435</v>
      </c>
      <c r="C80" t="s">
        <v>438</v>
      </c>
      <c r="D80" s="1">
        <v>45966</v>
      </c>
      <c r="E80" t="s">
        <v>15</v>
      </c>
      <c r="F80" t="s">
        <v>436</v>
      </c>
      <c r="I80" t="s">
        <v>95</v>
      </c>
      <c r="J80" t="s">
        <v>401</v>
      </c>
      <c r="M80" t="s">
        <v>437</v>
      </c>
      <c r="N80" t="e" vm="1">
        <v>#VALUE!</v>
      </c>
      <c r="O80" t="str" cm="1">
        <f t="array" aca="1" ref="O80" ca="1">_FV(N80,"Name")</f>
        <v>United States</v>
      </c>
      <c r="P80" t="s">
        <v>11</v>
      </c>
      <c r="R80" t="s">
        <v>775</v>
      </c>
      <c r="S80" s="1">
        <v>45975</v>
      </c>
      <c r="U80">
        <v>1</v>
      </c>
      <c r="V80">
        <v>1</v>
      </c>
      <c r="W80">
        <v>1</v>
      </c>
    </row>
    <row r="81" spans="1:23" x14ac:dyDescent="0.4">
      <c r="A81" t="s">
        <v>317</v>
      </c>
      <c r="D81" s="1">
        <v>45966</v>
      </c>
      <c r="E81" t="s">
        <v>15</v>
      </c>
      <c r="I81" t="s">
        <v>95</v>
      </c>
      <c r="J81" t="s">
        <v>401</v>
      </c>
      <c r="M81" t="s">
        <v>394</v>
      </c>
      <c r="N81" t="e" vm="16">
        <v>#VALUE!</v>
      </c>
      <c r="O81" t="str" cm="1">
        <f t="array" aca="1" ref="O81" ca="1">_FV(N81,"Name")</f>
        <v>Brazil</v>
      </c>
      <c r="P81" t="s">
        <v>11</v>
      </c>
      <c r="R81" t="s">
        <v>775</v>
      </c>
      <c r="S81" s="1">
        <v>45976</v>
      </c>
      <c r="U81">
        <v>1</v>
      </c>
      <c r="V81">
        <v>0</v>
      </c>
      <c r="W81">
        <v>0</v>
      </c>
    </row>
    <row r="82" spans="1:23" x14ac:dyDescent="0.4">
      <c r="A82" t="s">
        <v>316</v>
      </c>
      <c r="D82" s="1">
        <v>45966</v>
      </c>
      <c r="E82" t="s">
        <v>15</v>
      </c>
      <c r="I82" t="s">
        <v>95</v>
      </c>
      <c r="J82" t="s">
        <v>401</v>
      </c>
      <c r="M82" t="s">
        <v>315</v>
      </c>
      <c r="N82" t="e" vm="4">
        <v>#VALUE!</v>
      </c>
      <c r="O82" t="str" cm="1">
        <f t="array" aca="1" ref="O82" ca="1">_FV(N82,"Name")</f>
        <v>France</v>
      </c>
      <c r="P82" t="s">
        <v>11</v>
      </c>
      <c r="R82" t="s">
        <v>775</v>
      </c>
      <c r="S82" s="1">
        <v>45977</v>
      </c>
      <c r="U82">
        <v>1</v>
      </c>
      <c r="V82">
        <v>0</v>
      </c>
      <c r="W82">
        <v>0</v>
      </c>
    </row>
    <row r="83" spans="1:23" x14ac:dyDescent="0.4">
      <c r="A83" t="s">
        <v>455</v>
      </c>
      <c r="D83" s="1">
        <v>45966</v>
      </c>
      <c r="E83" t="s">
        <v>39</v>
      </c>
      <c r="G83">
        <v>1</v>
      </c>
      <c r="H83" t="s">
        <v>502</v>
      </c>
      <c r="I83" t="s">
        <v>95</v>
      </c>
      <c r="J83" t="s">
        <v>401</v>
      </c>
      <c r="L83" s="1"/>
      <c r="M83" t="s">
        <v>456</v>
      </c>
      <c r="N83" t="e" vm="1">
        <v>#VALUE!</v>
      </c>
      <c r="O83" t="str" cm="1">
        <f t="array" aca="1" ref="O83" ca="1">_FV(N83,"Name")</f>
        <v>United States</v>
      </c>
      <c r="P83" t="s">
        <v>11</v>
      </c>
      <c r="R83" t="s">
        <v>775</v>
      </c>
      <c r="S83" s="1">
        <v>45976</v>
      </c>
      <c r="U83">
        <v>1</v>
      </c>
      <c r="V83">
        <v>1</v>
      </c>
      <c r="W83">
        <v>1</v>
      </c>
    </row>
    <row r="84" spans="1:23" x14ac:dyDescent="0.4">
      <c r="A84" t="s">
        <v>215</v>
      </c>
      <c r="D84" s="1">
        <v>45966</v>
      </c>
      <c r="E84" t="s">
        <v>39</v>
      </c>
      <c r="F84" t="s">
        <v>216</v>
      </c>
      <c r="I84" t="s">
        <v>95</v>
      </c>
      <c r="J84" t="s">
        <v>401</v>
      </c>
      <c r="M84" t="s">
        <v>214</v>
      </c>
      <c r="N84" t="e" vm="3">
        <v>#VALUE!</v>
      </c>
      <c r="O84" t="str" cm="1">
        <f t="array" aca="1" ref="O84" ca="1">_FV(N84,"Name")</f>
        <v>Japan</v>
      </c>
      <c r="P84" t="s">
        <v>11</v>
      </c>
      <c r="R84" t="s">
        <v>775</v>
      </c>
      <c r="S84" s="1">
        <v>45975</v>
      </c>
      <c r="U84">
        <v>1</v>
      </c>
      <c r="V84">
        <v>0</v>
      </c>
      <c r="W84">
        <v>0</v>
      </c>
    </row>
    <row r="85" spans="1:23" x14ac:dyDescent="0.4">
      <c r="A85" t="s">
        <v>463</v>
      </c>
      <c r="D85" s="1">
        <v>45966</v>
      </c>
      <c r="E85" t="s">
        <v>464</v>
      </c>
      <c r="I85" t="s">
        <v>95</v>
      </c>
      <c r="J85" t="s">
        <v>401</v>
      </c>
      <c r="M85" t="s">
        <v>465</v>
      </c>
      <c r="N85" t="e" vm="1">
        <v>#VALUE!</v>
      </c>
      <c r="O85" t="str" cm="1">
        <f t="array" aca="1" ref="O85" ca="1">_FV(N85,"Name")</f>
        <v>United States</v>
      </c>
      <c r="P85" t="s">
        <v>11</v>
      </c>
      <c r="R85" t="s">
        <v>775</v>
      </c>
      <c r="S85" s="1">
        <v>45976</v>
      </c>
      <c r="U85">
        <v>1</v>
      </c>
      <c r="V85">
        <v>0</v>
      </c>
      <c r="W85">
        <v>1</v>
      </c>
    </row>
    <row r="86" spans="1:23" x14ac:dyDescent="0.4">
      <c r="A86" t="s">
        <v>466</v>
      </c>
      <c r="D86" s="1">
        <v>45966</v>
      </c>
      <c r="E86" s="2" t="s">
        <v>467</v>
      </c>
      <c r="I86" t="s">
        <v>95</v>
      </c>
      <c r="J86" t="s">
        <v>401</v>
      </c>
      <c r="M86" t="s">
        <v>468</v>
      </c>
      <c r="N86" t="e" vm="1">
        <v>#VALUE!</v>
      </c>
      <c r="O86" t="str" cm="1">
        <f t="array" aca="1" ref="O86" ca="1">_FV(N86,"Name")</f>
        <v>United States</v>
      </c>
      <c r="P86" t="s">
        <v>11</v>
      </c>
      <c r="R86" t="s">
        <v>775</v>
      </c>
      <c r="S86" s="1">
        <v>45975</v>
      </c>
      <c r="U86">
        <v>1</v>
      </c>
      <c r="V86">
        <v>1</v>
      </c>
      <c r="W86">
        <v>1</v>
      </c>
    </row>
    <row r="87" spans="1:23" x14ac:dyDescent="0.4">
      <c r="A87" t="s">
        <v>213</v>
      </c>
      <c r="D87" s="1">
        <v>45966</v>
      </c>
      <c r="E87" t="s">
        <v>39</v>
      </c>
      <c r="F87" t="s">
        <v>217</v>
      </c>
      <c r="I87" t="s">
        <v>95</v>
      </c>
      <c r="J87" t="s">
        <v>401</v>
      </c>
      <c r="M87" t="s">
        <v>212</v>
      </c>
      <c r="N87" t="e" vm="3">
        <v>#VALUE!</v>
      </c>
      <c r="O87" t="str" cm="1">
        <f t="array" aca="1" ref="O87" ca="1">_FV(N87,"Name")</f>
        <v>Japan</v>
      </c>
      <c r="P87" t="s">
        <v>11</v>
      </c>
      <c r="R87" t="s">
        <v>775</v>
      </c>
      <c r="S87" s="1">
        <v>45716</v>
      </c>
      <c r="U87">
        <v>1</v>
      </c>
      <c r="V87">
        <v>0</v>
      </c>
      <c r="W87">
        <v>0</v>
      </c>
    </row>
    <row r="88" spans="1:23" x14ac:dyDescent="0.4">
      <c r="A88" t="s">
        <v>518</v>
      </c>
      <c r="D88" s="1">
        <v>45966</v>
      </c>
      <c r="E88" t="s">
        <v>39</v>
      </c>
      <c r="I88" t="s">
        <v>95</v>
      </c>
      <c r="J88" t="s">
        <v>401</v>
      </c>
      <c r="M88" t="s">
        <v>517</v>
      </c>
      <c r="N88" t="e" vm="17">
        <v>#VALUE!</v>
      </c>
      <c r="O88" t="str" cm="1">
        <f t="array" aca="1" ref="O88" ca="1">_FV(N88,"Name")</f>
        <v>Uruguay</v>
      </c>
      <c r="P88" t="s">
        <v>11</v>
      </c>
      <c r="R88" t="s">
        <v>775</v>
      </c>
      <c r="S88" s="1">
        <v>46033</v>
      </c>
      <c r="U88">
        <v>1</v>
      </c>
      <c r="V88">
        <v>0</v>
      </c>
      <c r="W88">
        <v>0</v>
      </c>
    </row>
    <row r="89" spans="1:23" x14ac:dyDescent="0.4">
      <c r="A89" s="4" t="s">
        <v>326</v>
      </c>
      <c r="B89" s="19"/>
      <c r="D89" s="1">
        <v>45966</v>
      </c>
      <c r="E89" t="s">
        <v>15</v>
      </c>
      <c r="I89" t="s">
        <v>95</v>
      </c>
      <c r="J89" t="s">
        <v>401</v>
      </c>
      <c r="M89" t="s">
        <v>325</v>
      </c>
      <c r="N89" t="e" vm="14">
        <v>#VALUE!</v>
      </c>
      <c r="O89" t="str" cm="1">
        <f t="array" aca="1" ref="O89" ca="1">_FV(N89,"Name")</f>
        <v>Sweden</v>
      </c>
      <c r="P89" t="s">
        <v>11</v>
      </c>
      <c r="R89" t="s">
        <v>775</v>
      </c>
      <c r="S89" s="1">
        <v>45976</v>
      </c>
      <c r="U89">
        <v>1</v>
      </c>
      <c r="V89">
        <v>0</v>
      </c>
      <c r="W89">
        <v>0</v>
      </c>
    </row>
    <row r="90" spans="1:23" x14ac:dyDescent="0.4">
      <c r="A90" t="s">
        <v>333</v>
      </c>
      <c r="D90" s="1">
        <v>45966</v>
      </c>
      <c r="E90" t="s">
        <v>15</v>
      </c>
      <c r="H90" t="s">
        <v>334</v>
      </c>
      <c r="I90" t="s">
        <v>95</v>
      </c>
      <c r="J90" t="s">
        <v>401</v>
      </c>
      <c r="M90" t="s">
        <v>332</v>
      </c>
      <c r="N90" t="e" vm="14">
        <v>#VALUE!</v>
      </c>
      <c r="O90" t="str" cm="1">
        <f t="array" aca="1" ref="O90" ca="1">_FV(N90,"Name")</f>
        <v>Sweden</v>
      </c>
      <c r="P90" t="s">
        <v>11</v>
      </c>
      <c r="R90" t="s">
        <v>775</v>
      </c>
      <c r="S90" s="1">
        <v>45975</v>
      </c>
      <c r="U90">
        <v>1</v>
      </c>
      <c r="V90">
        <v>0</v>
      </c>
      <c r="W90">
        <v>0</v>
      </c>
    </row>
    <row r="91" spans="1:23" x14ac:dyDescent="0.4">
      <c r="A91" t="s">
        <v>330</v>
      </c>
      <c r="D91" s="1">
        <v>45966</v>
      </c>
      <c r="E91" t="s">
        <v>15</v>
      </c>
      <c r="H91" t="s">
        <v>331</v>
      </c>
      <c r="I91" t="s">
        <v>95</v>
      </c>
      <c r="J91" t="s">
        <v>401</v>
      </c>
      <c r="M91" t="s">
        <v>329</v>
      </c>
      <c r="N91" t="e" vm="14">
        <v>#VALUE!</v>
      </c>
      <c r="O91" t="str" cm="1">
        <f t="array" aca="1" ref="O91" ca="1">_FV(N91,"Name")</f>
        <v>Sweden</v>
      </c>
      <c r="P91" t="s">
        <v>25</v>
      </c>
      <c r="R91" t="s">
        <v>775</v>
      </c>
      <c r="S91" s="1">
        <v>45975</v>
      </c>
      <c r="U91">
        <v>1</v>
      </c>
      <c r="V91">
        <v>0</v>
      </c>
      <c r="W91">
        <v>0</v>
      </c>
    </row>
    <row r="92" spans="1:23" x14ac:dyDescent="0.4">
      <c r="A92" t="s">
        <v>88</v>
      </c>
      <c r="D92" s="1">
        <v>45966</v>
      </c>
      <c r="E92" t="s">
        <v>90</v>
      </c>
      <c r="H92" s="1"/>
      <c r="I92" t="s">
        <v>95</v>
      </c>
      <c r="J92" t="s">
        <v>401</v>
      </c>
      <c r="M92" s="2" t="s">
        <v>89</v>
      </c>
      <c r="N92" t="e" vm="1">
        <v>#VALUE!</v>
      </c>
      <c r="O92" t="str" cm="1">
        <f t="array" aca="1" ref="O92" ca="1">_FV(N92,"Name")</f>
        <v>United States</v>
      </c>
      <c r="P92" t="s">
        <v>11</v>
      </c>
      <c r="Q92" t="s">
        <v>91</v>
      </c>
      <c r="R92" t="s">
        <v>775</v>
      </c>
      <c r="S92" s="1">
        <v>45971</v>
      </c>
      <c r="U92">
        <v>1</v>
      </c>
      <c r="V92">
        <v>0</v>
      </c>
      <c r="W92">
        <v>1</v>
      </c>
    </row>
    <row r="93" spans="1:23" x14ac:dyDescent="0.4">
      <c r="A93" t="s">
        <v>328</v>
      </c>
      <c r="D93" s="1">
        <v>45966</v>
      </c>
      <c r="E93" t="s">
        <v>15</v>
      </c>
      <c r="I93" t="s">
        <v>95</v>
      </c>
      <c r="J93" t="s">
        <v>401</v>
      </c>
      <c r="M93" t="s">
        <v>327</v>
      </c>
      <c r="N93" t="e" vm="12">
        <v>#VALUE!</v>
      </c>
      <c r="O93" t="str" cm="1">
        <f t="array" aca="1" ref="O93" ca="1">_FV(N93,"Name")</f>
        <v>Italy</v>
      </c>
      <c r="P93" t="s">
        <v>11</v>
      </c>
      <c r="R93" t="s">
        <v>775</v>
      </c>
      <c r="S93" s="1">
        <v>45975</v>
      </c>
      <c r="U93">
        <v>1</v>
      </c>
      <c r="V93">
        <v>0</v>
      </c>
      <c r="W93">
        <v>0</v>
      </c>
    </row>
    <row r="94" spans="1:23" x14ac:dyDescent="0.4">
      <c r="A94" t="s">
        <v>160</v>
      </c>
      <c r="D94" s="1">
        <v>45966</v>
      </c>
      <c r="E94" t="s">
        <v>15</v>
      </c>
      <c r="F94" s="2" t="s">
        <v>162</v>
      </c>
      <c r="I94" t="s">
        <v>95</v>
      </c>
      <c r="J94" t="s">
        <v>401</v>
      </c>
      <c r="M94" s="2" t="s">
        <v>161</v>
      </c>
      <c r="N94" t="e" vm="1">
        <v>#VALUE!</v>
      </c>
      <c r="O94" t="str" cm="1">
        <f t="array" aca="1" ref="O94" ca="1">_FV(N94,"Name")</f>
        <v>United States</v>
      </c>
      <c r="P94" t="s">
        <v>11</v>
      </c>
      <c r="Q94" t="s">
        <v>91</v>
      </c>
      <c r="R94" t="s">
        <v>775</v>
      </c>
      <c r="S94" s="1">
        <v>45971</v>
      </c>
      <c r="U94">
        <v>1</v>
      </c>
      <c r="V94">
        <v>1</v>
      </c>
      <c r="W94">
        <v>1</v>
      </c>
    </row>
    <row r="95" spans="1:23" x14ac:dyDescent="0.4">
      <c r="A95" t="s">
        <v>364</v>
      </c>
      <c r="D95" s="1">
        <v>45966</v>
      </c>
      <c r="E95" t="s">
        <v>366</v>
      </c>
      <c r="I95" t="s">
        <v>95</v>
      </c>
      <c r="J95" t="s">
        <v>401</v>
      </c>
      <c r="M95" t="s">
        <v>365</v>
      </c>
      <c r="N95" t="e" vm="1">
        <v>#VALUE!</v>
      </c>
      <c r="O95" t="str" cm="1">
        <f t="array" aca="1" ref="O95" ca="1">_FV(N95,"Name")</f>
        <v>United States</v>
      </c>
      <c r="P95" t="s">
        <v>11</v>
      </c>
      <c r="R95" t="s">
        <v>775</v>
      </c>
      <c r="S95" s="1">
        <v>45975</v>
      </c>
      <c r="U95">
        <v>1</v>
      </c>
      <c r="V95">
        <v>0</v>
      </c>
      <c r="W95">
        <v>1</v>
      </c>
    </row>
    <row r="96" spans="1:23" x14ac:dyDescent="0.4">
      <c r="A96" t="s">
        <v>233</v>
      </c>
      <c r="D96" s="1">
        <v>45966</v>
      </c>
      <c r="E96" t="s">
        <v>39</v>
      </c>
      <c r="F96" t="s">
        <v>234</v>
      </c>
      <c r="G96">
        <v>1</v>
      </c>
      <c r="I96" t="s">
        <v>95</v>
      </c>
      <c r="J96" t="s">
        <v>401</v>
      </c>
      <c r="M96" t="s">
        <v>232</v>
      </c>
      <c r="N96" t="e" vm="1">
        <v>#VALUE!</v>
      </c>
      <c r="O96" t="str" cm="1">
        <f t="array" aca="1" ref="O96" ca="1">_FV(N96,"Name")</f>
        <v>United States</v>
      </c>
      <c r="P96" t="s">
        <v>11</v>
      </c>
      <c r="R96" t="s">
        <v>775</v>
      </c>
      <c r="S96" s="1">
        <v>45976</v>
      </c>
      <c r="U96">
        <v>1</v>
      </c>
      <c r="V96">
        <v>1</v>
      </c>
      <c r="W96">
        <v>1</v>
      </c>
    </row>
    <row r="97" spans="1:23" x14ac:dyDescent="0.4">
      <c r="A97" t="s">
        <v>392</v>
      </c>
      <c r="D97" s="1">
        <v>45966</v>
      </c>
      <c r="E97" t="s">
        <v>15</v>
      </c>
      <c r="I97" t="s">
        <v>95</v>
      </c>
      <c r="J97" t="s">
        <v>401</v>
      </c>
      <c r="M97" t="s">
        <v>393</v>
      </c>
      <c r="N97" t="e" vm="2">
        <v>#VALUE!</v>
      </c>
      <c r="O97" t="str" cm="1">
        <f t="array" aca="1" ref="O97" ca="1">_FV(N97,"Name")</f>
        <v>Spain</v>
      </c>
      <c r="R97" t="s">
        <v>775</v>
      </c>
      <c r="S97" s="1">
        <v>45977</v>
      </c>
      <c r="U97">
        <v>1</v>
      </c>
      <c r="V97">
        <v>0</v>
      </c>
      <c r="W97">
        <v>0</v>
      </c>
    </row>
    <row r="98" spans="1:23" x14ac:dyDescent="0.4">
      <c r="A98" t="s">
        <v>310</v>
      </c>
      <c r="D98" s="1">
        <v>45966</v>
      </c>
      <c r="E98" t="s">
        <v>15</v>
      </c>
      <c r="H98" t="s">
        <v>311</v>
      </c>
      <c r="I98" t="s">
        <v>95</v>
      </c>
      <c r="J98" t="s">
        <v>401</v>
      </c>
      <c r="M98" t="s">
        <v>309</v>
      </c>
      <c r="N98" t="e" vm="6">
        <v>#VALUE!</v>
      </c>
      <c r="O98" t="str" cm="1">
        <f t="array" aca="1" ref="O98" ca="1">_FV(N98,"Name")</f>
        <v>Netherlands</v>
      </c>
      <c r="P98" t="s">
        <v>11</v>
      </c>
      <c r="R98" t="s">
        <v>775</v>
      </c>
      <c r="S98" s="1">
        <v>45978</v>
      </c>
      <c r="U98">
        <v>1</v>
      </c>
      <c r="V98">
        <v>0</v>
      </c>
      <c r="W98">
        <v>0</v>
      </c>
    </row>
    <row r="99" spans="1:23" x14ac:dyDescent="0.4">
      <c r="A99" s="4" t="s">
        <v>277</v>
      </c>
      <c r="C99" t="s">
        <v>278</v>
      </c>
      <c r="D99" s="1">
        <v>45971</v>
      </c>
      <c r="E99" t="s">
        <v>15</v>
      </c>
      <c r="G99">
        <v>1</v>
      </c>
      <c r="I99" t="s">
        <v>95</v>
      </c>
      <c r="J99" t="s">
        <v>401</v>
      </c>
      <c r="K99" t="s">
        <v>308</v>
      </c>
      <c r="L99" s="1">
        <v>45976</v>
      </c>
      <c r="M99" t="s">
        <v>276</v>
      </c>
      <c r="N99" t="e" vm="10">
        <v>#VALUE!</v>
      </c>
      <c r="O99" t="str" cm="1">
        <f t="array" aca="1" ref="O99" ca="1">_FV(N99,"Name")</f>
        <v>Canada</v>
      </c>
      <c r="P99" t="s">
        <v>11</v>
      </c>
      <c r="R99" t="s">
        <v>775</v>
      </c>
      <c r="S99" s="1">
        <v>45976</v>
      </c>
      <c r="U99">
        <v>1</v>
      </c>
      <c r="V99">
        <v>0</v>
      </c>
      <c r="W99">
        <v>1</v>
      </c>
    </row>
    <row r="100" spans="1:23" x14ac:dyDescent="0.4">
      <c r="A100" s="4" t="s">
        <v>23</v>
      </c>
      <c r="D100" s="1">
        <v>45971</v>
      </c>
      <c r="E100" t="s">
        <v>15</v>
      </c>
      <c r="F100" t="s">
        <v>15</v>
      </c>
      <c r="G100">
        <v>2</v>
      </c>
      <c r="H100" s="1" t="s">
        <v>566</v>
      </c>
      <c r="I100" t="s">
        <v>95</v>
      </c>
      <c r="J100" t="s">
        <v>403</v>
      </c>
      <c r="K100" t="s">
        <v>308</v>
      </c>
      <c r="L100" s="1">
        <v>45976</v>
      </c>
      <c r="M100" s="2" t="s">
        <v>24</v>
      </c>
      <c r="N100" t="e" vm="7">
        <v>#VALUE!</v>
      </c>
      <c r="O100" t="str" cm="1">
        <f t="array" aca="1" ref="O100" ca="1">_FV(N100,"Name")</f>
        <v>Australia</v>
      </c>
      <c r="P100" t="s">
        <v>25</v>
      </c>
      <c r="Q100" t="s">
        <v>26</v>
      </c>
      <c r="R100" t="s">
        <v>775</v>
      </c>
      <c r="S100" s="1">
        <v>45978</v>
      </c>
      <c r="U100">
        <v>1</v>
      </c>
      <c r="V100">
        <v>0</v>
      </c>
      <c r="W100">
        <v>0</v>
      </c>
    </row>
    <row r="101" spans="1:23" x14ac:dyDescent="0.4">
      <c r="A101" s="4" t="s">
        <v>69</v>
      </c>
      <c r="D101" s="1">
        <v>45971</v>
      </c>
      <c r="E101" t="s">
        <v>71</v>
      </c>
      <c r="G101">
        <v>3</v>
      </c>
      <c r="H101" s="1"/>
      <c r="I101" t="s">
        <v>95</v>
      </c>
      <c r="J101" t="s">
        <v>401</v>
      </c>
      <c r="K101" t="s">
        <v>308</v>
      </c>
      <c r="L101" s="1">
        <v>45976</v>
      </c>
      <c r="M101" s="2" t="s">
        <v>70</v>
      </c>
      <c r="N101" t="e" vm="2">
        <v>#VALUE!</v>
      </c>
      <c r="O101" t="str" cm="1">
        <f t="array" aca="1" ref="O101" ca="1">_FV(N101,"Name")</f>
        <v>Spain</v>
      </c>
      <c r="P101" t="s">
        <v>11</v>
      </c>
      <c r="R101" t="s">
        <v>775</v>
      </c>
      <c r="S101" s="1">
        <v>45976</v>
      </c>
      <c r="U101">
        <v>1</v>
      </c>
      <c r="V101">
        <v>0</v>
      </c>
      <c r="W101">
        <v>0</v>
      </c>
    </row>
    <row r="102" spans="1:23" x14ac:dyDescent="0.4">
      <c r="A102" s="4" t="s">
        <v>271</v>
      </c>
      <c r="B102" s="19"/>
      <c r="C102" t="s">
        <v>273</v>
      </c>
      <c r="D102" s="1">
        <v>45971</v>
      </c>
      <c r="E102" t="s">
        <v>15</v>
      </c>
      <c r="G102">
        <v>2</v>
      </c>
      <c r="H102" t="s">
        <v>272</v>
      </c>
      <c r="I102" t="s">
        <v>95</v>
      </c>
      <c r="J102" t="s">
        <v>401</v>
      </c>
      <c r="K102" t="s">
        <v>308</v>
      </c>
      <c r="L102" s="1">
        <v>45976</v>
      </c>
      <c r="M102" t="s">
        <v>159</v>
      </c>
      <c r="N102" t="e" vm="2">
        <v>#VALUE!</v>
      </c>
      <c r="O102" t="str" cm="1">
        <f t="array" aca="1" ref="O102" ca="1">_FV(N102,"Name")</f>
        <v>Spain</v>
      </c>
      <c r="P102" t="s">
        <v>11</v>
      </c>
      <c r="R102" t="s">
        <v>775</v>
      </c>
      <c r="S102" s="1">
        <v>45977</v>
      </c>
      <c r="U102">
        <v>1</v>
      </c>
      <c r="V102">
        <v>0</v>
      </c>
      <c r="W102">
        <v>1</v>
      </c>
    </row>
    <row r="103" spans="1:23" x14ac:dyDescent="0.4">
      <c r="A103" s="4" t="s">
        <v>84</v>
      </c>
      <c r="D103" s="1">
        <v>45971</v>
      </c>
      <c r="E103" t="s">
        <v>15</v>
      </c>
      <c r="G103">
        <v>2</v>
      </c>
      <c r="H103" s="1"/>
      <c r="I103" t="s">
        <v>95</v>
      </c>
      <c r="J103" t="s">
        <v>401</v>
      </c>
      <c r="K103" t="s">
        <v>308</v>
      </c>
      <c r="L103" s="1">
        <v>45976</v>
      </c>
      <c r="M103" s="2" t="s">
        <v>85</v>
      </c>
      <c r="N103" t="e" vm="4">
        <v>#VALUE!</v>
      </c>
      <c r="O103" t="str" cm="1">
        <f t="array" aca="1" ref="O103" ca="1">_FV(N103,"Name")</f>
        <v>France</v>
      </c>
      <c r="P103" t="s">
        <v>11</v>
      </c>
      <c r="R103" t="s">
        <v>775</v>
      </c>
      <c r="S103" s="1">
        <v>45976</v>
      </c>
      <c r="U103">
        <v>1</v>
      </c>
      <c r="V103">
        <v>0</v>
      </c>
      <c r="W103">
        <v>0</v>
      </c>
    </row>
    <row r="104" spans="1:23" x14ac:dyDescent="0.4">
      <c r="A104" s="4" t="s">
        <v>270</v>
      </c>
      <c r="D104" s="1">
        <v>45971</v>
      </c>
      <c r="E104" t="s">
        <v>15</v>
      </c>
      <c r="G104">
        <v>1</v>
      </c>
      <c r="I104" t="s">
        <v>95</v>
      </c>
      <c r="J104" t="s">
        <v>401</v>
      </c>
      <c r="K104" t="s">
        <v>308</v>
      </c>
      <c r="L104" s="1">
        <v>45976</v>
      </c>
      <c r="M104" t="s">
        <v>269</v>
      </c>
      <c r="N104" t="e" vm="14">
        <v>#VALUE!</v>
      </c>
      <c r="O104" t="str" cm="1">
        <f t="array" aca="1" ref="O104" ca="1">_FV(N104,"Name")</f>
        <v>Sweden</v>
      </c>
      <c r="P104" t="s">
        <v>11</v>
      </c>
      <c r="R104" t="s">
        <v>775</v>
      </c>
      <c r="S104" s="1">
        <v>45976</v>
      </c>
      <c r="U104">
        <v>1</v>
      </c>
      <c r="V104">
        <v>0</v>
      </c>
      <c r="W104">
        <v>0</v>
      </c>
    </row>
    <row r="105" spans="1:23" x14ac:dyDescent="0.4">
      <c r="A105" s="4" t="s">
        <v>86</v>
      </c>
      <c r="D105" s="1">
        <v>45971</v>
      </c>
      <c r="E105" t="s">
        <v>15</v>
      </c>
      <c r="G105">
        <v>2</v>
      </c>
      <c r="H105" s="1" t="s">
        <v>114</v>
      </c>
      <c r="I105" t="s">
        <v>95</v>
      </c>
      <c r="J105" t="s">
        <v>401</v>
      </c>
      <c r="K105" t="s">
        <v>308</v>
      </c>
      <c r="L105" s="1">
        <v>45976</v>
      </c>
      <c r="M105" s="2" t="s">
        <v>87</v>
      </c>
      <c r="N105" t="e" vm="14">
        <v>#VALUE!</v>
      </c>
      <c r="O105" t="str" cm="1">
        <f t="array" aca="1" ref="O105" ca="1">_FV(N105,"Name")</f>
        <v>Sweden</v>
      </c>
      <c r="P105" t="s">
        <v>11</v>
      </c>
      <c r="R105" t="s">
        <v>775</v>
      </c>
      <c r="S105" s="1">
        <v>45976</v>
      </c>
      <c r="U105">
        <v>1</v>
      </c>
      <c r="V105">
        <v>0</v>
      </c>
      <c r="W105">
        <v>0</v>
      </c>
    </row>
    <row r="106" spans="1:23" x14ac:dyDescent="0.4">
      <c r="A106" s="4" t="s">
        <v>617</v>
      </c>
      <c r="C106" t="s">
        <v>702</v>
      </c>
      <c r="D106" s="1">
        <v>45971</v>
      </c>
      <c r="E106" t="s">
        <v>39</v>
      </c>
      <c r="G106">
        <v>2</v>
      </c>
      <c r="H106" t="s">
        <v>631</v>
      </c>
      <c r="I106" t="s">
        <v>95</v>
      </c>
      <c r="J106" t="s">
        <v>401</v>
      </c>
      <c r="K106" t="s">
        <v>308</v>
      </c>
      <c r="L106" s="1">
        <v>45976</v>
      </c>
      <c r="M106" t="s">
        <v>616</v>
      </c>
      <c r="N106" t="e" vm="18">
        <v>#VALUE!</v>
      </c>
      <c r="O106" t="str" cm="1">
        <f t="array" aca="1" ref="O106" ca="1">_FV(N106,"Name")</f>
        <v>Singapore</v>
      </c>
      <c r="P106" t="s">
        <v>11</v>
      </c>
      <c r="R106" t="s">
        <v>775</v>
      </c>
      <c r="S106" s="1">
        <v>45976</v>
      </c>
      <c r="U106">
        <v>1</v>
      </c>
      <c r="V106">
        <v>1</v>
      </c>
      <c r="W106">
        <v>1</v>
      </c>
    </row>
    <row r="107" spans="1:23" x14ac:dyDescent="0.4">
      <c r="A107" s="4" t="s">
        <v>603</v>
      </c>
      <c r="C107" t="s">
        <v>607</v>
      </c>
      <c r="D107" s="1">
        <v>45971</v>
      </c>
      <c r="E107" t="s">
        <v>39</v>
      </c>
      <c r="I107" t="s">
        <v>95</v>
      </c>
      <c r="J107" t="s">
        <v>401</v>
      </c>
      <c r="K107" t="s">
        <v>308</v>
      </c>
      <c r="L107" s="1">
        <v>45976</v>
      </c>
      <c r="M107" t="s">
        <v>107</v>
      </c>
      <c r="N107" t="e" vm="5">
        <v>#VALUE!</v>
      </c>
      <c r="O107" t="str" cm="1">
        <f t="array" aca="1" ref="O107" ca="1">_FV(N107,"Name")</f>
        <v>Chile</v>
      </c>
      <c r="P107" t="s">
        <v>11</v>
      </c>
      <c r="R107" t="s">
        <v>775</v>
      </c>
      <c r="S107" s="1">
        <v>46053</v>
      </c>
      <c r="U107">
        <v>1</v>
      </c>
      <c r="V107">
        <v>0</v>
      </c>
      <c r="W107">
        <v>0</v>
      </c>
    </row>
    <row r="108" spans="1:23" x14ac:dyDescent="0.4">
      <c r="A108" s="4" t="s">
        <v>723</v>
      </c>
      <c r="C108" t="s">
        <v>726</v>
      </c>
      <c r="D108" s="1">
        <v>45971</v>
      </c>
      <c r="E108" t="s">
        <v>724</v>
      </c>
      <c r="G108">
        <v>2</v>
      </c>
      <c r="I108" t="s">
        <v>95</v>
      </c>
      <c r="J108" t="s">
        <v>401</v>
      </c>
      <c r="K108" t="s">
        <v>308</v>
      </c>
      <c r="L108" s="1">
        <v>45976</v>
      </c>
      <c r="M108" t="s">
        <v>725</v>
      </c>
      <c r="N108" t="e" vm="1">
        <v>#VALUE!</v>
      </c>
      <c r="O108" t="str" cm="1">
        <f t="array" aca="1" ref="O108" ca="1">_FV(N108,"Name")</f>
        <v>United States</v>
      </c>
      <c r="P108" t="s">
        <v>11</v>
      </c>
      <c r="R108" t="s">
        <v>775</v>
      </c>
      <c r="S108" s="1">
        <v>45976</v>
      </c>
      <c r="U108">
        <v>1</v>
      </c>
      <c r="V108">
        <v>1</v>
      </c>
      <c r="W108">
        <v>1</v>
      </c>
    </row>
    <row r="109" spans="1:23" x14ac:dyDescent="0.4">
      <c r="A109" s="4" t="s">
        <v>131</v>
      </c>
      <c r="B109" s="19"/>
      <c r="D109" s="1">
        <v>45971</v>
      </c>
      <c r="E109" t="s">
        <v>15</v>
      </c>
      <c r="F109" t="s">
        <v>133</v>
      </c>
      <c r="G109">
        <v>2</v>
      </c>
      <c r="I109" t="s">
        <v>95</v>
      </c>
      <c r="J109" t="s">
        <v>401</v>
      </c>
      <c r="K109" t="s">
        <v>308</v>
      </c>
      <c r="L109" s="1">
        <v>45976</v>
      </c>
      <c r="M109" s="2" t="s">
        <v>132</v>
      </c>
      <c r="N109" t="e" vm="2">
        <v>#VALUE!</v>
      </c>
      <c r="O109" t="str" cm="1">
        <f t="array" aca="1" ref="O109" ca="1">_FV(N109,"Name")</f>
        <v>Spain</v>
      </c>
      <c r="P109" t="s">
        <v>11</v>
      </c>
      <c r="R109" t="s">
        <v>775</v>
      </c>
      <c r="S109" s="1">
        <v>45974</v>
      </c>
      <c r="U109">
        <v>1</v>
      </c>
      <c r="V109">
        <v>0</v>
      </c>
      <c r="W109">
        <v>1</v>
      </c>
    </row>
    <row r="110" spans="1:23" x14ac:dyDescent="0.4">
      <c r="A110" s="4" t="s">
        <v>128</v>
      </c>
      <c r="D110" s="1">
        <v>45971</v>
      </c>
      <c r="E110" t="s">
        <v>15</v>
      </c>
      <c r="G110">
        <v>1</v>
      </c>
      <c r="I110" t="s">
        <v>95</v>
      </c>
      <c r="J110" t="s">
        <v>401</v>
      </c>
      <c r="K110" t="s">
        <v>308</v>
      </c>
      <c r="L110" s="1">
        <v>45976</v>
      </c>
      <c r="M110" s="2" t="s">
        <v>129</v>
      </c>
      <c r="N110" t="e" vm="2">
        <v>#VALUE!</v>
      </c>
      <c r="O110" t="str" cm="1">
        <f t="array" aca="1" ref="O110" ca="1">_FV(N110,"Name")</f>
        <v>Spain</v>
      </c>
      <c r="P110" t="s">
        <v>11</v>
      </c>
      <c r="R110" t="s">
        <v>775</v>
      </c>
      <c r="S110" s="1">
        <v>45976</v>
      </c>
      <c r="U110">
        <v>1</v>
      </c>
      <c r="V110">
        <v>0</v>
      </c>
      <c r="W110">
        <v>0</v>
      </c>
    </row>
    <row r="111" spans="1:23" x14ac:dyDescent="0.4">
      <c r="A111" s="4" t="s">
        <v>155</v>
      </c>
      <c r="D111" s="1">
        <v>45971</v>
      </c>
      <c r="E111" t="s">
        <v>15</v>
      </c>
      <c r="G111">
        <v>1</v>
      </c>
      <c r="I111" t="s">
        <v>95</v>
      </c>
      <c r="J111" t="s">
        <v>401</v>
      </c>
      <c r="K111" t="s">
        <v>308</v>
      </c>
      <c r="L111" s="1">
        <v>45976</v>
      </c>
      <c r="M111" s="2" t="s">
        <v>130</v>
      </c>
      <c r="N111" t="e" vm="2">
        <v>#VALUE!</v>
      </c>
      <c r="O111" t="str" cm="1">
        <f t="array" aca="1" ref="O111" ca="1">_FV(N111,"Name")</f>
        <v>Spain</v>
      </c>
      <c r="P111" t="s">
        <v>11</v>
      </c>
      <c r="R111" t="s">
        <v>775</v>
      </c>
      <c r="S111" s="1">
        <v>45976</v>
      </c>
      <c r="U111">
        <v>1</v>
      </c>
      <c r="V111">
        <v>0</v>
      </c>
      <c r="W111">
        <v>0</v>
      </c>
    </row>
    <row r="112" spans="1:23" x14ac:dyDescent="0.4">
      <c r="A112" s="4" t="s">
        <v>670</v>
      </c>
      <c r="C112" t="s">
        <v>672</v>
      </c>
      <c r="D112" s="1">
        <v>45971</v>
      </c>
      <c r="E112" t="s">
        <v>668</v>
      </c>
      <c r="H112" t="s">
        <v>673</v>
      </c>
      <c r="I112" t="s">
        <v>95</v>
      </c>
      <c r="J112" t="s">
        <v>402</v>
      </c>
      <c r="K112" t="s">
        <v>308</v>
      </c>
      <c r="L112" s="1">
        <v>45976</v>
      </c>
      <c r="M112" t="s">
        <v>667</v>
      </c>
      <c r="N112" t="e" vm="19">
        <v>#VALUE!</v>
      </c>
      <c r="O112" t="s">
        <v>878</v>
      </c>
      <c r="P112" t="s">
        <v>11</v>
      </c>
      <c r="R112" t="s">
        <v>775</v>
      </c>
      <c r="S112" s="1">
        <v>45986</v>
      </c>
      <c r="U112">
        <v>1</v>
      </c>
      <c r="V112">
        <v>1</v>
      </c>
      <c r="W112">
        <v>1</v>
      </c>
    </row>
    <row r="113" spans="1:23" x14ac:dyDescent="0.4">
      <c r="A113" s="4" t="s">
        <v>387</v>
      </c>
      <c r="C113" t="s">
        <v>389</v>
      </c>
      <c r="D113" s="1">
        <v>45971</v>
      </c>
      <c r="E113" t="s">
        <v>15</v>
      </c>
      <c r="G113">
        <v>2</v>
      </c>
      <c r="I113" t="s">
        <v>95</v>
      </c>
      <c r="J113" t="s">
        <v>402</v>
      </c>
      <c r="K113" t="s">
        <v>308</v>
      </c>
      <c r="L113" s="1">
        <v>45986</v>
      </c>
      <c r="M113" t="s">
        <v>388</v>
      </c>
      <c r="N113" t="e" vm="9">
        <v>#VALUE!</v>
      </c>
      <c r="O113" t="str" cm="1">
        <f t="array" aca="1" ref="O113" ca="1">_FV(N113,"Name")</f>
        <v>Germany</v>
      </c>
      <c r="P113" t="s">
        <v>25</v>
      </c>
      <c r="R113" t="s">
        <v>775</v>
      </c>
      <c r="S113" s="1">
        <v>45980</v>
      </c>
      <c r="U113">
        <v>1</v>
      </c>
      <c r="V113">
        <v>0</v>
      </c>
      <c r="W113">
        <v>0</v>
      </c>
    </row>
    <row r="114" spans="1:23" x14ac:dyDescent="0.4">
      <c r="A114" s="4" t="s">
        <v>386</v>
      </c>
      <c r="B114" s="19"/>
      <c r="D114" s="1">
        <v>45971</v>
      </c>
      <c r="E114" t="s">
        <v>15</v>
      </c>
      <c r="G114">
        <v>1</v>
      </c>
      <c r="I114" t="s">
        <v>95</v>
      </c>
      <c r="J114" t="s">
        <v>401</v>
      </c>
      <c r="K114" t="s">
        <v>308</v>
      </c>
      <c r="L114" s="1">
        <v>45986</v>
      </c>
      <c r="M114" t="s">
        <v>385</v>
      </c>
      <c r="N114" t="e" vm="20">
        <v>#VALUE!</v>
      </c>
      <c r="O114" t="str" cm="1">
        <f t="array" aca="1" ref="O114" ca="1">_FV(N114,"Name")</f>
        <v>Denmark</v>
      </c>
      <c r="P114" t="s">
        <v>11</v>
      </c>
      <c r="R114" t="s">
        <v>775</v>
      </c>
      <c r="S114" s="1">
        <v>45982</v>
      </c>
      <c r="U114">
        <v>1</v>
      </c>
      <c r="V114">
        <v>1</v>
      </c>
      <c r="W114">
        <v>0</v>
      </c>
    </row>
    <row r="115" spans="1:23" x14ac:dyDescent="0.4">
      <c r="A115" s="4" t="s">
        <v>341</v>
      </c>
      <c r="B115" s="19"/>
      <c r="C115" t="s">
        <v>345</v>
      </c>
      <c r="D115" s="1">
        <v>45971</v>
      </c>
      <c r="E115" t="s">
        <v>344</v>
      </c>
      <c r="F115" t="s">
        <v>343</v>
      </c>
      <c r="G115">
        <v>3</v>
      </c>
      <c r="H115" s="2" t="s">
        <v>346</v>
      </c>
      <c r="I115" t="s">
        <v>95</v>
      </c>
      <c r="J115" t="s">
        <v>401</v>
      </c>
      <c r="K115" t="s">
        <v>308</v>
      </c>
      <c r="L115" s="1">
        <v>45986</v>
      </c>
      <c r="M115" t="s">
        <v>342</v>
      </c>
      <c r="N115" t="e" vm="9">
        <v>#VALUE!</v>
      </c>
      <c r="O115" t="str" cm="1">
        <f t="array" aca="1" ref="O115" ca="1">_FV(N115,"Name")</f>
        <v>Germany</v>
      </c>
      <c r="R115" t="s">
        <v>775</v>
      </c>
      <c r="S115" s="1">
        <v>45981</v>
      </c>
      <c r="U115">
        <v>1</v>
      </c>
      <c r="V115">
        <v>1</v>
      </c>
      <c r="W115">
        <v>0</v>
      </c>
    </row>
    <row r="116" spans="1:23" x14ac:dyDescent="0.4">
      <c r="A116" t="s">
        <v>415</v>
      </c>
      <c r="D116" s="1">
        <v>45971</v>
      </c>
      <c r="E116" t="s">
        <v>416</v>
      </c>
      <c r="I116" t="s">
        <v>95</v>
      </c>
      <c r="J116" t="s">
        <v>401</v>
      </c>
      <c r="M116" t="s">
        <v>417</v>
      </c>
      <c r="N116" t="e" vm="1">
        <v>#VALUE!</v>
      </c>
      <c r="O116" t="str" cm="1">
        <f t="array" aca="1" ref="O116" ca="1">_FV(N116,"Name")</f>
        <v>United States</v>
      </c>
      <c r="P116" t="s">
        <v>19</v>
      </c>
      <c r="R116" t="s">
        <v>775</v>
      </c>
      <c r="S116" s="1">
        <v>45981</v>
      </c>
      <c r="U116">
        <v>1</v>
      </c>
      <c r="V116">
        <v>0</v>
      </c>
      <c r="W116">
        <v>1</v>
      </c>
    </row>
    <row r="117" spans="1:23" x14ac:dyDescent="0.4">
      <c r="A117" t="s">
        <v>431</v>
      </c>
      <c r="C117" t="s">
        <v>433</v>
      </c>
      <c r="D117" s="1">
        <v>45971</v>
      </c>
      <c r="E117" t="s">
        <v>15</v>
      </c>
      <c r="F117" t="s">
        <v>432</v>
      </c>
      <c r="G117">
        <v>1</v>
      </c>
      <c r="I117" t="s">
        <v>95</v>
      </c>
      <c r="J117" t="s">
        <v>401</v>
      </c>
      <c r="M117" t="s">
        <v>434</v>
      </c>
      <c r="N117" t="e" vm="21">
        <v>#VALUE!</v>
      </c>
      <c r="O117" t="str" cm="1">
        <f t="array" aca="1" ref="O117" ca="1">_FV(N117,"Name")</f>
        <v>United Kingdom</v>
      </c>
      <c r="P117" t="s">
        <v>11</v>
      </c>
      <c r="R117" t="s">
        <v>775</v>
      </c>
      <c r="S117" s="1">
        <v>45977</v>
      </c>
      <c r="U117">
        <v>1</v>
      </c>
      <c r="V117">
        <v>0</v>
      </c>
      <c r="W117">
        <v>0</v>
      </c>
    </row>
    <row r="118" spans="1:23" x14ac:dyDescent="0.4">
      <c r="A118" t="s">
        <v>491</v>
      </c>
      <c r="D118" s="1">
        <v>45971</v>
      </c>
      <c r="E118" t="s">
        <v>39</v>
      </c>
      <c r="F118" t="s">
        <v>493</v>
      </c>
      <c r="I118" t="s">
        <v>95</v>
      </c>
      <c r="J118" t="s">
        <v>401</v>
      </c>
      <c r="M118" s="17" t="s">
        <v>492</v>
      </c>
      <c r="N118" t="e" vm="1">
        <v>#VALUE!</v>
      </c>
      <c r="O118" t="str" cm="1">
        <f t="array" aca="1" ref="O118" ca="1">_FV(N118,"Name")</f>
        <v>United States</v>
      </c>
      <c r="P118" t="s">
        <v>11</v>
      </c>
      <c r="R118" t="s">
        <v>775</v>
      </c>
      <c r="S118" s="1">
        <v>45976</v>
      </c>
      <c r="U118">
        <v>1</v>
      </c>
      <c r="V118">
        <v>0</v>
      </c>
      <c r="W118">
        <v>0</v>
      </c>
    </row>
    <row r="119" spans="1:23" x14ac:dyDescent="0.4">
      <c r="A119" t="s">
        <v>383</v>
      </c>
      <c r="C119" t="s">
        <v>384</v>
      </c>
      <c r="D119" s="1">
        <v>45971</v>
      </c>
      <c r="E119" t="s">
        <v>15</v>
      </c>
      <c r="I119" t="s">
        <v>95</v>
      </c>
      <c r="J119" t="s">
        <v>401</v>
      </c>
      <c r="M119" t="s">
        <v>164</v>
      </c>
      <c r="N119" t="e" vm="21">
        <v>#VALUE!</v>
      </c>
      <c r="O119" t="str" cm="1">
        <f t="array" aca="1" ref="O119" ca="1">_FV(N119,"Name")</f>
        <v>United Kingdom</v>
      </c>
      <c r="P119" t="s">
        <v>25</v>
      </c>
      <c r="R119" t="s">
        <v>775</v>
      </c>
      <c r="S119" s="1">
        <v>45982</v>
      </c>
      <c r="U119">
        <v>1</v>
      </c>
      <c r="V119">
        <v>0</v>
      </c>
      <c r="W119">
        <v>0</v>
      </c>
    </row>
    <row r="120" spans="1:23" x14ac:dyDescent="0.4">
      <c r="A120" t="s">
        <v>669</v>
      </c>
      <c r="C120" t="s">
        <v>671</v>
      </c>
      <c r="D120" s="1">
        <v>45971</v>
      </c>
      <c r="E120" t="s">
        <v>668</v>
      </c>
      <c r="F120" t="s">
        <v>703</v>
      </c>
      <c r="H120" t="s">
        <v>673</v>
      </c>
      <c r="I120" t="s">
        <v>95</v>
      </c>
      <c r="J120" t="s">
        <v>401</v>
      </c>
      <c r="M120" t="s">
        <v>667</v>
      </c>
      <c r="N120" t="e" vm="19">
        <v>#VALUE!</v>
      </c>
      <c r="O120" t="s">
        <v>877</v>
      </c>
      <c r="P120" t="s">
        <v>11</v>
      </c>
      <c r="R120" t="s">
        <v>775</v>
      </c>
      <c r="S120" s="1">
        <v>45986</v>
      </c>
      <c r="U120">
        <v>1</v>
      </c>
      <c r="V120">
        <v>1</v>
      </c>
      <c r="W120">
        <v>1</v>
      </c>
    </row>
    <row r="121" spans="1:23" x14ac:dyDescent="0.4">
      <c r="A121" t="s">
        <v>275</v>
      </c>
      <c r="C121" t="s">
        <v>373</v>
      </c>
      <c r="D121" s="1">
        <v>45971</v>
      </c>
      <c r="E121" t="s">
        <v>15</v>
      </c>
      <c r="I121" t="s">
        <v>95</v>
      </c>
      <c r="J121" t="s">
        <v>401</v>
      </c>
      <c r="M121" t="s">
        <v>198</v>
      </c>
      <c r="N121" t="e" vm="10">
        <v>#VALUE!</v>
      </c>
      <c r="O121" t="str" cm="1">
        <f t="array" aca="1" ref="O121" ca="1">_FV(N121,"Name")</f>
        <v>Canada</v>
      </c>
      <c r="P121" t="s">
        <v>11</v>
      </c>
      <c r="R121" t="s">
        <v>775</v>
      </c>
      <c r="S121" s="1">
        <v>45975</v>
      </c>
      <c r="U121">
        <v>1</v>
      </c>
      <c r="V121">
        <v>0</v>
      </c>
      <c r="W121">
        <v>1</v>
      </c>
    </row>
    <row r="122" spans="1:23" x14ac:dyDescent="0.4">
      <c r="A122" t="s">
        <v>429</v>
      </c>
      <c r="D122" s="1">
        <v>45971</v>
      </c>
      <c r="E122" t="s">
        <v>15</v>
      </c>
      <c r="I122" t="s">
        <v>95</v>
      </c>
      <c r="J122" t="s">
        <v>401</v>
      </c>
      <c r="M122" t="s">
        <v>430</v>
      </c>
      <c r="N122" t="e" vm="4">
        <v>#VALUE!</v>
      </c>
      <c r="O122" t="str" cm="1">
        <f t="array" aca="1" ref="O122" ca="1">_FV(N122,"Name")</f>
        <v>France</v>
      </c>
      <c r="P122" t="s">
        <v>11</v>
      </c>
      <c r="R122" t="s">
        <v>775</v>
      </c>
      <c r="S122" s="1">
        <v>45974</v>
      </c>
      <c r="U122">
        <v>1</v>
      </c>
      <c r="V122">
        <v>0</v>
      </c>
      <c r="W122">
        <v>0</v>
      </c>
    </row>
    <row r="123" spans="1:23" x14ac:dyDescent="0.4">
      <c r="A123" t="s">
        <v>572</v>
      </c>
      <c r="C123" t="s">
        <v>575</v>
      </c>
      <c r="D123" s="1">
        <v>45971</v>
      </c>
      <c r="E123" t="s">
        <v>39</v>
      </c>
      <c r="F123" t="s">
        <v>573</v>
      </c>
      <c r="I123" t="s">
        <v>95</v>
      </c>
      <c r="J123" t="s">
        <v>402</v>
      </c>
      <c r="M123" t="s">
        <v>574</v>
      </c>
      <c r="N123" t="e" vm="1">
        <v>#VALUE!</v>
      </c>
      <c r="O123" t="str" cm="1">
        <f t="array" aca="1" ref="O123" ca="1">_FV(N123,"Name")</f>
        <v>United States</v>
      </c>
      <c r="P123" t="s">
        <v>11</v>
      </c>
      <c r="R123" t="s">
        <v>775</v>
      </c>
      <c r="S123" s="1">
        <v>45976</v>
      </c>
      <c r="U123">
        <v>1</v>
      </c>
      <c r="V123">
        <v>1</v>
      </c>
      <c r="W123">
        <v>1</v>
      </c>
    </row>
    <row r="124" spans="1:23" x14ac:dyDescent="0.4">
      <c r="A124" t="s">
        <v>656</v>
      </c>
      <c r="D124" s="1">
        <v>45971</v>
      </c>
      <c r="E124" t="s">
        <v>15</v>
      </c>
      <c r="I124" t="s">
        <v>95</v>
      </c>
      <c r="J124" t="s">
        <v>401</v>
      </c>
      <c r="M124" t="s">
        <v>655</v>
      </c>
      <c r="N124" t="e" vm="6">
        <v>#VALUE!</v>
      </c>
      <c r="O124" t="str" cm="1">
        <f t="array" aca="1" ref="O124" ca="1">_FV(N124,"Name")</f>
        <v>Netherlands</v>
      </c>
      <c r="P124" t="s">
        <v>11</v>
      </c>
      <c r="R124" t="s">
        <v>775</v>
      </c>
      <c r="S124" s="1">
        <v>45982</v>
      </c>
      <c r="U124">
        <v>1</v>
      </c>
      <c r="V124">
        <v>0</v>
      </c>
      <c r="W124">
        <v>0</v>
      </c>
    </row>
    <row r="125" spans="1:23" x14ac:dyDescent="0.4">
      <c r="A125" t="s">
        <v>78</v>
      </c>
      <c r="D125" s="1">
        <v>45971</v>
      </c>
      <c r="E125" t="s">
        <v>80</v>
      </c>
      <c r="F125" t="s">
        <v>15</v>
      </c>
      <c r="H125" s="1"/>
      <c r="I125" t="s">
        <v>95</v>
      </c>
      <c r="J125" t="s">
        <v>401</v>
      </c>
      <c r="M125" s="2" t="s">
        <v>79</v>
      </c>
      <c r="N125" t="e" vm="9">
        <v>#VALUE!</v>
      </c>
      <c r="O125" t="str" cm="1">
        <f t="array" aca="1" ref="O125" ca="1">_FV(N125,"Name")</f>
        <v>Germany</v>
      </c>
      <c r="P125" t="s">
        <v>25</v>
      </c>
      <c r="Q125" t="s">
        <v>18</v>
      </c>
      <c r="R125" t="s">
        <v>775</v>
      </c>
      <c r="S125" s="1">
        <v>45976</v>
      </c>
      <c r="U125">
        <v>1</v>
      </c>
      <c r="V125">
        <v>0</v>
      </c>
      <c r="W125">
        <v>0</v>
      </c>
    </row>
    <row r="126" spans="1:23" x14ac:dyDescent="0.4">
      <c r="A126" t="s">
        <v>689</v>
      </c>
      <c r="D126" s="1">
        <v>45971</v>
      </c>
      <c r="E126" t="s">
        <v>15</v>
      </c>
      <c r="F126" t="s">
        <v>690</v>
      </c>
      <c r="I126" t="s">
        <v>95</v>
      </c>
      <c r="J126" t="s">
        <v>401</v>
      </c>
      <c r="M126" t="s">
        <v>688</v>
      </c>
      <c r="N126" t="e" vm="4">
        <v>#VALUE!</v>
      </c>
      <c r="O126" t="str" cm="1">
        <f t="array" aca="1" ref="O126" ca="1">_FV(N126,"Name")</f>
        <v>France</v>
      </c>
      <c r="P126" t="s">
        <v>11</v>
      </c>
      <c r="R126" t="s">
        <v>775</v>
      </c>
      <c r="S126" s="1">
        <v>45984</v>
      </c>
      <c r="U126">
        <v>0</v>
      </c>
      <c r="V126">
        <v>0</v>
      </c>
      <c r="W126">
        <v>0</v>
      </c>
    </row>
    <row r="127" spans="1:23" x14ac:dyDescent="0.4">
      <c r="A127" t="s">
        <v>43</v>
      </c>
      <c r="D127" s="1">
        <v>45971</v>
      </c>
      <c r="E127" t="s">
        <v>15</v>
      </c>
      <c r="F127" t="s">
        <v>45</v>
      </c>
      <c r="G127">
        <v>1</v>
      </c>
      <c r="H127" s="1"/>
      <c r="I127" t="s">
        <v>95</v>
      </c>
      <c r="J127" t="s">
        <v>401</v>
      </c>
      <c r="M127" s="2" t="s">
        <v>44</v>
      </c>
      <c r="N127" t="e" vm="1">
        <v>#VALUE!</v>
      </c>
      <c r="O127" t="str" cm="1">
        <f t="array" aca="1" ref="O127" ca="1">_FV(N127,"Name")</f>
        <v>United States</v>
      </c>
      <c r="P127" t="s">
        <v>11</v>
      </c>
      <c r="R127" t="s">
        <v>775</v>
      </c>
      <c r="S127" s="1">
        <v>46010</v>
      </c>
      <c r="U127">
        <v>1</v>
      </c>
      <c r="V127">
        <v>0</v>
      </c>
      <c r="W127">
        <v>0</v>
      </c>
    </row>
    <row r="128" spans="1:23" x14ac:dyDescent="0.4">
      <c r="A128" t="s">
        <v>695</v>
      </c>
      <c r="D128" s="1">
        <v>45971</v>
      </c>
      <c r="E128" t="s">
        <v>15</v>
      </c>
      <c r="I128" t="s">
        <v>95</v>
      </c>
      <c r="J128" t="s">
        <v>401</v>
      </c>
      <c r="M128" t="s">
        <v>696</v>
      </c>
      <c r="N128" t="e" vm="14">
        <v>#VALUE!</v>
      </c>
      <c r="O128" t="str" cm="1">
        <f t="array" aca="1" ref="O128" ca="1">_FV(N128,"Name")</f>
        <v>Sweden</v>
      </c>
      <c r="P128" t="s">
        <v>25</v>
      </c>
      <c r="R128" t="s">
        <v>775</v>
      </c>
      <c r="S128" s="1">
        <v>45978</v>
      </c>
      <c r="U128">
        <v>1</v>
      </c>
      <c r="V128">
        <v>1</v>
      </c>
      <c r="W128">
        <v>0</v>
      </c>
    </row>
    <row r="129" spans="1:23" x14ac:dyDescent="0.4">
      <c r="A129" t="s">
        <v>28</v>
      </c>
      <c r="D129" s="1">
        <v>45971</v>
      </c>
      <c r="E129" t="s">
        <v>15</v>
      </c>
      <c r="F129" t="s">
        <v>15</v>
      </c>
      <c r="H129" s="1"/>
      <c r="I129" t="s">
        <v>95</v>
      </c>
      <c r="J129" t="s">
        <v>401</v>
      </c>
      <c r="M129" s="9" t="s">
        <v>29</v>
      </c>
      <c r="N129" t="e" vm="22">
        <v>#VALUE!</v>
      </c>
      <c r="O129" t="str" cm="1">
        <f t="array" aca="1" ref="O129" ca="1">_FV(N129,"Name")</f>
        <v>Portugal</v>
      </c>
      <c r="P129" t="s">
        <v>11</v>
      </c>
      <c r="Q129" t="s">
        <v>30</v>
      </c>
      <c r="R129" t="s">
        <v>775</v>
      </c>
      <c r="S129" s="1">
        <v>45978</v>
      </c>
      <c r="U129">
        <v>1</v>
      </c>
      <c r="V129">
        <v>0</v>
      </c>
      <c r="W129">
        <v>0</v>
      </c>
    </row>
    <row r="130" spans="1:23" x14ac:dyDescent="0.4">
      <c r="A130" t="s">
        <v>615</v>
      </c>
      <c r="D130" s="1">
        <v>45971</v>
      </c>
      <c r="E130" t="s">
        <v>39</v>
      </c>
      <c r="F130" t="s">
        <v>614</v>
      </c>
      <c r="I130" t="s">
        <v>95</v>
      </c>
      <c r="J130" t="s">
        <v>401</v>
      </c>
      <c r="M130" t="s">
        <v>613</v>
      </c>
      <c r="N130" t="e" vm="1">
        <v>#VALUE!</v>
      </c>
      <c r="O130" t="str" cm="1">
        <f t="array" aca="1" ref="O130" ca="1">_FV(N130,"Name")</f>
        <v>United States</v>
      </c>
      <c r="P130" t="s">
        <v>11</v>
      </c>
      <c r="R130" t="s">
        <v>775</v>
      </c>
      <c r="S130" s="1">
        <v>46053</v>
      </c>
      <c r="U130">
        <v>1</v>
      </c>
      <c r="V130">
        <v>1</v>
      </c>
      <c r="W130">
        <v>1</v>
      </c>
    </row>
    <row r="131" spans="1:23" x14ac:dyDescent="0.4">
      <c r="A131" t="s">
        <v>321</v>
      </c>
      <c r="D131" s="1">
        <v>45971</v>
      </c>
      <c r="E131" t="s">
        <v>15</v>
      </c>
      <c r="H131" t="s">
        <v>322</v>
      </c>
      <c r="I131" t="s">
        <v>95</v>
      </c>
      <c r="J131" t="s">
        <v>401</v>
      </c>
      <c r="M131" t="s">
        <v>320</v>
      </c>
      <c r="N131" t="e" vm="10">
        <v>#VALUE!</v>
      </c>
      <c r="O131" t="str" cm="1">
        <f t="array" aca="1" ref="O131" ca="1">_FV(N131,"Name")</f>
        <v>Canada</v>
      </c>
      <c r="P131" t="s">
        <v>11</v>
      </c>
      <c r="R131" t="s">
        <v>775</v>
      </c>
      <c r="S131" s="1">
        <v>45976</v>
      </c>
      <c r="U131">
        <v>1</v>
      </c>
      <c r="V131">
        <v>1</v>
      </c>
      <c r="W131">
        <v>1</v>
      </c>
    </row>
    <row r="132" spans="1:23" x14ac:dyDescent="0.4">
      <c r="A132" t="s">
        <v>288</v>
      </c>
      <c r="D132" s="1">
        <v>45971</v>
      </c>
      <c r="E132" t="s">
        <v>15</v>
      </c>
      <c r="I132" t="s">
        <v>95</v>
      </c>
      <c r="J132" t="s">
        <v>401</v>
      </c>
      <c r="M132" t="s">
        <v>289</v>
      </c>
      <c r="N132" t="e" vm="21">
        <v>#VALUE!</v>
      </c>
      <c r="O132" t="str" cm="1">
        <f t="array" aca="1" ref="O132" ca="1">_FV(N132,"Name")</f>
        <v>United Kingdom</v>
      </c>
      <c r="P132" t="s">
        <v>11</v>
      </c>
      <c r="R132" t="s">
        <v>775</v>
      </c>
      <c r="S132" s="1">
        <v>45989</v>
      </c>
      <c r="U132">
        <v>1</v>
      </c>
      <c r="V132">
        <v>0</v>
      </c>
      <c r="W132">
        <v>0</v>
      </c>
    </row>
    <row r="133" spans="1:23" x14ac:dyDescent="0.4">
      <c r="A133" t="s">
        <v>301</v>
      </c>
      <c r="D133" s="1">
        <v>45971</v>
      </c>
      <c r="E133" t="s">
        <v>15</v>
      </c>
      <c r="F133" t="s">
        <v>303</v>
      </c>
      <c r="I133" t="s">
        <v>95</v>
      </c>
      <c r="J133" t="s">
        <v>401</v>
      </c>
      <c r="M133" t="s">
        <v>302</v>
      </c>
      <c r="N133" t="e" vm="21">
        <v>#VALUE!</v>
      </c>
      <c r="O133" t="str" cm="1">
        <f t="array" aca="1" ref="O133" ca="1">_FV(N133,"Name")</f>
        <v>United Kingdom</v>
      </c>
      <c r="P133" t="s">
        <v>11</v>
      </c>
      <c r="R133" t="s">
        <v>775</v>
      </c>
      <c r="S133" s="1">
        <v>45980</v>
      </c>
      <c r="U133">
        <v>1</v>
      </c>
      <c r="V133">
        <v>0</v>
      </c>
      <c r="W133">
        <v>0</v>
      </c>
    </row>
    <row r="134" spans="1:23" x14ac:dyDescent="0.4">
      <c r="A134" t="s">
        <v>323</v>
      </c>
      <c r="D134" s="1">
        <v>45971</v>
      </c>
      <c r="E134" t="s">
        <v>39</v>
      </c>
      <c r="F134" t="s">
        <v>324</v>
      </c>
      <c r="I134" t="s">
        <v>95</v>
      </c>
      <c r="J134" t="s">
        <v>401</v>
      </c>
      <c r="M134" t="s">
        <v>82</v>
      </c>
      <c r="N134" t="e" vm="1">
        <v>#VALUE!</v>
      </c>
      <c r="O134" t="str" cm="1">
        <f t="array" aca="1" ref="O134" ca="1">_FV(N134,"Name")</f>
        <v>United States</v>
      </c>
      <c r="R134" t="s">
        <v>775</v>
      </c>
      <c r="S134" s="1">
        <v>45973</v>
      </c>
      <c r="U134">
        <v>1</v>
      </c>
      <c r="V134">
        <v>0</v>
      </c>
      <c r="W134">
        <v>0</v>
      </c>
    </row>
    <row r="135" spans="1:23" x14ac:dyDescent="0.4">
      <c r="A135" t="s">
        <v>628</v>
      </c>
      <c r="D135" s="1">
        <v>45971</v>
      </c>
      <c r="E135" t="s">
        <v>39</v>
      </c>
      <c r="F135" t="s">
        <v>630</v>
      </c>
      <c r="I135" t="s">
        <v>95</v>
      </c>
      <c r="J135" t="s">
        <v>401</v>
      </c>
      <c r="M135" t="s">
        <v>629</v>
      </c>
      <c r="N135" t="e" vm="1">
        <v>#VALUE!</v>
      </c>
      <c r="O135" t="str" cm="1">
        <f t="array" aca="1" ref="O135" ca="1">_FV(N135,"Name")</f>
        <v>United States</v>
      </c>
      <c r="P135" t="s">
        <v>11</v>
      </c>
      <c r="R135" t="s">
        <v>775</v>
      </c>
      <c r="S135" s="1">
        <v>45976</v>
      </c>
      <c r="U135">
        <v>1</v>
      </c>
      <c r="V135">
        <v>1</v>
      </c>
      <c r="W135">
        <v>1</v>
      </c>
    </row>
    <row r="136" spans="1:23" x14ac:dyDescent="0.4">
      <c r="A136" t="s">
        <v>208</v>
      </c>
      <c r="D136" s="1">
        <v>45971</v>
      </c>
      <c r="E136" t="s">
        <v>39</v>
      </c>
      <c r="I136" t="s">
        <v>95</v>
      </c>
      <c r="J136" t="s">
        <v>401</v>
      </c>
      <c r="M136" t="s">
        <v>207</v>
      </c>
      <c r="N136" t="e" vm="3">
        <v>#VALUE!</v>
      </c>
      <c r="O136" t="str" cm="1">
        <f t="array" aca="1" ref="O136" ca="1">_FV(N136,"Name")</f>
        <v>Japan</v>
      </c>
      <c r="P136" t="s">
        <v>11</v>
      </c>
      <c r="R136" t="s">
        <v>775</v>
      </c>
      <c r="S136" s="1">
        <v>45991</v>
      </c>
      <c r="U136">
        <v>1</v>
      </c>
      <c r="V136">
        <v>0</v>
      </c>
      <c r="W136">
        <v>0</v>
      </c>
    </row>
    <row r="137" spans="1:23" x14ac:dyDescent="0.4">
      <c r="A137" t="s">
        <v>300</v>
      </c>
      <c r="D137" s="1">
        <v>45971</v>
      </c>
      <c r="E137" t="s">
        <v>15</v>
      </c>
      <c r="I137" t="s">
        <v>95</v>
      </c>
      <c r="J137" t="s">
        <v>402</v>
      </c>
      <c r="M137" t="s">
        <v>299</v>
      </c>
      <c r="N137" t="e" vm="23">
        <v>#VALUE!</v>
      </c>
      <c r="O137" t="str" cm="1">
        <f t="array" aca="1" ref="O137" ca="1">_FV(N137,"Name")</f>
        <v>Finland</v>
      </c>
      <c r="P137" t="s">
        <v>11</v>
      </c>
      <c r="R137" t="s">
        <v>775</v>
      </c>
      <c r="S137" s="1">
        <v>45981</v>
      </c>
      <c r="U137">
        <v>1</v>
      </c>
      <c r="V137">
        <v>1</v>
      </c>
      <c r="W137">
        <v>1</v>
      </c>
    </row>
    <row r="138" spans="1:23" x14ac:dyDescent="0.4">
      <c r="A138" t="s">
        <v>305</v>
      </c>
      <c r="C138" t="s">
        <v>391</v>
      </c>
      <c r="D138" s="1">
        <v>45971</v>
      </c>
      <c r="E138" t="s">
        <v>15</v>
      </c>
      <c r="F138" t="s">
        <v>390</v>
      </c>
      <c r="H138" s="2" t="s">
        <v>306</v>
      </c>
      <c r="I138" t="s">
        <v>95</v>
      </c>
      <c r="J138" t="s">
        <v>401</v>
      </c>
      <c r="M138" t="s">
        <v>304</v>
      </c>
      <c r="N138" t="e" vm="23">
        <v>#VALUE!</v>
      </c>
      <c r="O138" t="str" cm="1">
        <f t="array" aca="1" ref="O138" ca="1">_FV(N138,"Name")</f>
        <v>Finland</v>
      </c>
      <c r="P138" t="s">
        <v>11</v>
      </c>
      <c r="R138" t="s">
        <v>775</v>
      </c>
      <c r="S138" s="1">
        <v>45978</v>
      </c>
      <c r="U138">
        <v>1</v>
      </c>
      <c r="V138">
        <v>0</v>
      </c>
      <c r="W138">
        <v>1</v>
      </c>
    </row>
    <row r="139" spans="1:23" x14ac:dyDescent="0.4">
      <c r="A139" t="s">
        <v>244</v>
      </c>
      <c r="D139" s="1">
        <v>45971</v>
      </c>
      <c r="E139" t="s">
        <v>15</v>
      </c>
      <c r="I139" t="s">
        <v>95</v>
      </c>
      <c r="J139" t="s">
        <v>401</v>
      </c>
      <c r="M139" t="s">
        <v>245</v>
      </c>
      <c r="N139" t="e" vm="15">
        <v>#VALUE!</v>
      </c>
      <c r="O139" t="str" cm="1">
        <f t="array" aca="1" ref="O139" ca="1">_FV(N139,"Name")</f>
        <v>Switzerland</v>
      </c>
      <c r="P139" t="s">
        <v>25</v>
      </c>
      <c r="R139" t="s">
        <v>775</v>
      </c>
      <c r="S139" s="1">
        <v>45977</v>
      </c>
      <c r="U139">
        <v>1</v>
      </c>
      <c r="V139">
        <v>0</v>
      </c>
      <c r="W139">
        <v>0</v>
      </c>
    </row>
    <row r="140" spans="1:23" x14ac:dyDescent="0.4">
      <c r="A140" t="s">
        <v>319</v>
      </c>
      <c r="D140" s="1">
        <v>45971</v>
      </c>
      <c r="E140" t="s">
        <v>15</v>
      </c>
      <c r="I140" t="s">
        <v>95</v>
      </c>
      <c r="J140" t="s">
        <v>401</v>
      </c>
      <c r="M140" t="s">
        <v>318</v>
      </c>
      <c r="N140" t="e" vm="16">
        <v>#VALUE!</v>
      </c>
      <c r="O140" t="str" cm="1">
        <f t="array" aca="1" ref="O140" ca="1">_FV(N140,"Name")</f>
        <v>Brazil</v>
      </c>
      <c r="P140" t="s">
        <v>11</v>
      </c>
      <c r="R140" t="s">
        <v>775</v>
      </c>
      <c r="S140" s="1">
        <v>45976</v>
      </c>
      <c r="U140">
        <v>1</v>
      </c>
      <c r="V140">
        <v>0</v>
      </c>
      <c r="W140">
        <v>0</v>
      </c>
    </row>
    <row r="141" spans="1:23" x14ac:dyDescent="0.4">
      <c r="A141" t="s">
        <v>108</v>
      </c>
      <c r="D141" s="1">
        <v>45971</v>
      </c>
      <c r="E141" t="s">
        <v>39</v>
      </c>
      <c r="F141" t="s">
        <v>149</v>
      </c>
      <c r="H141" s="1"/>
      <c r="I141" t="s">
        <v>95</v>
      </c>
      <c r="J141" t="s">
        <v>401</v>
      </c>
      <c r="M141" s="2" t="s">
        <v>109</v>
      </c>
      <c r="N141" t="e" vm="1">
        <v>#VALUE!</v>
      </c>
      <c r="O141" t="str" cm="1">
        <f t="array" aca="1" ref="O141" ca="1">_FV(N141,"Name")</f>
        <v>United States</v>
      </c>
      <c r="P141" t="s">
        <v>11</v>
      </c>
      <c r="R141" t="s">
        <v>775</v>
      </c>
      <c r="S141" s="1">
        <v>45976</v>
      </c>
      <c r="U141">
        <v>1</v>
      </c>
      <c r="V141">
        <v>0</v>
      </c>
      <c r="W141">
        <v>1</v>
      </c>
    </row>
    <row r="142" spans="1:23" x14ac:dyDescent="0.4">
      <c r="A142" t="s">
        <v>359</v>
      </c>
      <c r="C142" t="s">
        <v>360</v>
      </c>
      <c r="D142" s="1">
        <v>45971</v>
      </c>
      <c r="E142" t="s">
        <v>39</v>
      </c>
      <c r="I142" t="s">
        <v>95</v>
      </c>
      <c r="J142" t="s">
        <v>402</v>
      </c>
      <c r="M142" t="s">
        <v>358</v>
      </c>
      <c r="N142" t="e" vm="22">
        <v>#VALUE!</v>
      </c>
      <c r="O142" t="str" cm="1">
        <f t="array" aca="1" ref="O142" ca="1">_FV(N142,"Name")</f>
        <v>Portugal</v>
      </c>
      <c r="P142" t="s">
        <v>11</v>
      </c>
      <c r="R142" t="s">
        <v>775</v>
      </c>
      <c r="S142" s="1">
        <v>45982</v>
      </c>
      <c r="U142">
        <v>1</v>
      </c>
      <c r="V142">
        <v>0</v>
      </c>
      <c r="W142">
        <v>0</v>
      </c>
    </row>
    <row r="143" spans="1:23" x14ac:dyDescent="0.4">
      <c r="A143" t="s">
        <v>355</v>
      </c>
      <c r="D143" s="1">
        <v>45971</v>
      </c>
      <c r="E143" t="s">
        <v>357</v>
      </c>
      <c r="I143" t="s">
        <v>95</v>
      </c>
      <c r="J143" t="s">
        <v>401</v>
      </c>
      <c r="M143" t="s">
        <v>353</v>
      </c>
      <c r="N143" t="e" vm="1">
        <v>#VALUE!</v>
      </c>
      <c r="O143" t="str" cm="1">
        <f t="array" aca="1" ref="O143" ca="1">_FV(N143,"Name")</f>
        <v>United States</v>
      </c>
      <c r="P143" t="s">
        <v>11</v>
      </c>
      <c r="R143" t="s">
        <v>775</v>
      </c>
      <c r="S143" s="1">
        <v>45976</v>
      </c>
      <c r="U143">
        <v>1</v>
      </c>
      <c r="V143">
        <v>1</v>
      </c>
      <c r="W143">
        <v>1</v>
      </c>
    </row>
    <row r="144" spans="1:23" x14ac:dyDescent="0.4">
      <c r="A144" t="s">
        <v>347</v>
      </c>
      <c r="C144" t="s">
        <v>350</v>
      </c>
      <c r="D144" s="1">
        <v>45971</v>
      </c>
      <c r="E144" t="s">
        <v>349</v>
      </c>
      <c r="I144" t="s">
        <v>95</v>
      </c>
      <c r="J144" t="s">
        <v>401</v>
      </c>
      <c r="M144" t="s">
        <v>348</v>
      </c>
      <c r="N144" t="e" vm="1">
        <v>#VALUE!</v>
      </c>
      <c r="O144" t="str" cm="1">
        <f t="array" aca="1" ref="O144" ca="1">_FV(N144,"Name")</f>
        <v>United States</v>
      </c>
      <c r="P144" t="s">
        <v>11</v>
      </c>
      <c r="R144" t="s">
        <v>775</v>
      </c>
      <c r="S144" s="1">
        <v>45975</v>
      </c>
      <c r="U144">
        <v>1</v>
      </c>
      <c r="V144">
        <v>0</v>
      </c>
      <c r="W144">
        <v>1</v>
      </c>
    </row>
    <row r="145" spans="1:23" x14ac:dyDescent="0.4">
      <c r="A145" t="s">
        <v>285</v>
      </c>
      <c r="D145" s="1">
        <v>45971</v>
      </c>
      <c r="E145" t="s">
        <v>15</v>
      </c>
      <c r="I145" t="s">
        <v>95</v>
      </c>
      <c r="J145" t="s">
        <v>401</v>
      </c>
      <c r="M145" t="s">
        <v>284</v>
      </c>
      <c r="N145" t="e" vm="12">
        <v>#VALUE!</v>
      </c>
      <c r="O145" t="str" cm="1">
        <f t="array" aca="1" ref="O145" ca="1">_FV(N145,"Name")</f>
        <v>Italy</v>
      </c>
      <c r="P145" t="s">
        <v>25</v>
      </c>
      <c r="R145" t="s">
        <v>775</v>
      </c>
      <c r="S145" s="1">
        <v>45981</v>
      </c>
      <c r="U145">
        <v>1</v>
      </c>
      <c r="V145">
        <v>0</v>
      </c>
      <c r="W145">
        <v>0</v>
      </c>
    </row>
    <row r="146" spans="1:23" x14ac:dyDescent="0.4">
      <c r="A146" t="s">
        <v>297</v>
      </c>
      <c r="D146" s="1">
        <v>45971</v>
      </c>
      <c r="E146" t="s">
        <v>15</v>
      </c>
      <c r="H146" t="s">
        <v>298</v>
      </c>
      <c r="I146" t="s">
        <v>95</v>
      </c>
      <c r="J146" t="s">
        <v>401</v>
      </c>
      <c r="M146" t="s">
        <v>296</v>
      </c>
      <c r="N146" t="e" vm="24">
        <v>#VALUE!</v>
      </c>
      <c r="O146" t="str" cm="1">
        <f t="array" aca="1" ref="O146" ca="1">_FV(N146,"Name")</f>
        <v>Norway</v>
      </c>
      <c r="P146" t="s">
        <v>11</v>
      </c>
      <c r="R146" t="s">
        <v>775</v>
      </c>
      <c r="S146" s="1">
        <v>45981</v>
      </c>
      <c r="U146">
        <v>1</v>
      </c>
      <c r="V146">
        <v>1</v>
      </c>
      <c r="W146">
        <v>1</v>
      </c>
    </row>
    <row r="147" spans="1:23" x14ac:dyDescent="0.4">
      <c r="A147" t="s">
        <v>505</v>
      </c>
      <c r="D147" s="1">
        <v>45971</v>
      </c>
      <c r="E147" t="s">
        <v>503</v>
      </c>
      <c r="I147" t="s">
        <v>95</v>
      </c>
      <c r="J147" t="s">
        <v>401</v>
      </c>
      <c r="M147" t="s">
        <v>504</v>
      </c>
      <c r="N147" t="e" vm="1">
        <v>#VALUE!</v>
      </c>
      <c r="O147" t="str" cm="1">
        <f t="array" aca="1" ref="O147" ca="1">_FV(N147,"Name")</f>
        <v>United States</v>
      </c>
      <c r="P147" t="s">
        <v>11</v>
      </c>
      <c r="R147" t="s">
        <v>775</v>
      </c>
      <c r="S147" s="1">
        <v>45975</v>
      </c>
      <c r="U147">
        <v>1</v>
      </c>
      <c r="V147">
        <v>1</v>
      </c>
      <c r="W147">
        <v>1</v>
      </c>
    </row>
    <row r="148" spans="1:23" x14ac:dyDescent="0.4">
      <c r="A148" t="s">
        <v>648</v>
      </c>
      <c r="C148" t="s">
        <v>652</v>
      </c>
      <c r="D148" s="1">
        <v>45971</v>
      </c>
      <c r="E148" t="s">
        <v>15</v>
      </c>
      <c r="I148" t="s">
        <v>95</v>
      </c>
      <c r="J148" t="s">
        <v>401</v>
      </c>
      <c r="M148" t="s">
        <v>651</v>
      </c>
      <c r="N148" t="e" vm="25">
        <v>#VALUE!</v>
      </c>
      <c r="O148" t="str" cm="1">
        <f t="array" aca="1" ref="O148" ca="1">_FV(N148,"Name")</f>
        <v>Mexico</v>
      </c>
      <c r="R148" t="s">
        <v>775</v>
      </c>
      <c r="S148" s="1">
        <v>45982</v>
      </c>
      <c r="U148">
        <v>1</v>
      </c>
      <c r="V148">
        <v>0</v>
      </c>
      <c r="W148">
        <v>0</v>
      </c>
    </row>
    <row r="149" spans="1:23" x14ac:dyDescent="0.4">
      <c r="A149" t="s">
        <v>509</v>
      </c>
      <c r="C149" t="s">
        <v>511</v>
      </c>
      <c r="D149" s="1">
        <v>45971</v>
      </c>
      <c r="E149" t="s">
        <v>510</v>
      </c>
      <c r="H149">
        <v>1</v>
      </c>
      <c r="I149" t="s">
        <v>95</v>
      </c>
      <c r="J149" t="s">
        <v>402</v>
      </c>
      <c r="M149" t="s">
        <v>512</v>
      </c>
      <c r="N149" t="e" vm="1">
        <v>#VALUE!</v>
      </c>
      <c r="O149" t="str" cm="1">
        <f t="array" aca="1" ref="O149" ca="1">_FV(N149,"Name")</f>
        <v>United States</v>
      </c>
      <c r="P149" t="s">
        <v>11</v>
      </c>
      <c r="R149" t="s">
        <v>775</v>
      </c>
      <c r="S149" s="1">
        <v>45976</v>
      </c>
      <c r="U149">
        <v>1</v>
      </c>
      <c r="V149">
        <v>0</v>
      </c>
      <c r="W149">
        <v>0</v>
      </c>
    </row>
    <row r="150" spans="1:23" x14ac:dyDescent="0.4">
      <c r="A150" t="s">
        <v>34</v>
      </c>
      <c r="D150" s="1">
        <v>45971</v>
      </c>
      <c r="F150" t="s">
        <v>46</v>
      </c>
      <c r="G150">
        <v>1</v>
      </c>
      <c r="H150" s="1"/>
      <c r="I150" t="s">
        <v>95</v>
      </c>
      <c r="J150" t="s">
        <v>401</v>
      </c>
      <c r="K150" t="s">
        <v>308</v>
      </c>
      <c r="L150" s="1">
        <v>45976</v>
      </c>
      <c r="M150" s="2" t="s">
        <v>35</v>
      </c>
      <c r="N150" t="e" vm="4">
        <v>#VALUE!</v>
      </c>
      <c r="O150" t="str" cm="1">
        <f t="array" aca="1" ref="O150" ca="1">_FV(N150,"Name")</f>
        <v>France</v>
      </c>
      <c r="P150" t="s">
        <v>36</v>
      </c>
      <c r="R150" t="s">
        <v>775</v>
      </c>
      <c r="S150" s="1">
        <v>45971</v>
      </c>
      <c r="U150">
        <v>1</v>
      </c>
      <c r="V150">
        <v>1</v>
      </c>
      <c r="W150">
        <v>0</v>
      </c>
    </row>
    <row r="151" spans="1:23" x14ac:dyDescent="0.4">
      <c r="A151" t="s">
        <v>738</v>
      </c>
      <c r="C151" t="s">
        <v>744</v>
      </c>
      <c r="D151" s="1">
        <v>45971</v>
      </c>
      <c r="E151" t="s">
        <v>739</v>
      </c>
      <c r="I151" t="s">
        <v>95</v>
      </c>
      <c r="J151" t="s">
        <v>402</v>
      </c>
      <c r="M151" t="s">
        <v>740</v>
      </c>
      <c r="N151" t="e" vm="9">
        <v>#VALUE!</v>
      </c>
      <c r="O151" t="str" cm="1">
        <f t="array" aca="1" ref="O151" ca="1">_FV(N151,"Name")</f>
        <v>Germany</v>
      </c>
      <c r="P151" t="s">
        <v>25</v>
      </c>
      <c r="R151" t="s">
        <v>775</v>
      </c>
      <c r="S151" s="1">
        <v>45979</v>
      </c>
      <c r="U151">
        <v>1</v>
      </c>
      <c r="V151">
        <v>0</v>
      </c>
      <c r="W151">
        <v>0</v>
      </c>
    </row>
    <row r="152" spans="1:23" x14ac:dyDescent="0.4">
      <c r="A152" s="4" t="s">
        <v>746</v>
      </c>
      <c r="C152" t="s">
        <v>776</v>
      </c>
      <c r="D152" s="1">
        <v>45971</v>
      </c>
      <c r="E152" s="2" t="s">
        <v>748</v>
      </c>
      <c r="G152">
        <v>1</v>
      </c>
      <c r="I152" t="s">
        <v>95</v>
      </c>
      <c r="J152" t="s">
        <v>401</v>
      </c>
      <c r="K152" t="s">
        <v>308</v>
      </c>
      <c r="L152" s="1">
        <v>45986</v>
      </c>
      <c r="M152" t="s">
        <v>747</v>
      </c>
      <c r="N152" t="e" vm="1">
        <v>#VALUE!</v>
      </c>
      <c r="O152" t="str" cm="1">
        <f t="array" aca="1" ref="O152" ca="1">_FV(N152,"Name")</f>
        <v>United States</v>
      </c>
      <c r="P152" t="s">
        <v>11</v>
      </c>
      <c r="R152" t="s">
        <v>775</v>
      </c>
      <c r="S152" s="1">
        <v>45982</v>
      </c>
      <c r="U152">
        <v>1</v>
      </c>
      <c r="V152">
        <v>0</v>
      </c>
      <c r="W152">
        <v>0</v>
      </c>
    </row>
    <row r="153" spans="1:23" x14ac:dyDescent="0.4">
      <c r="A153" s="4" t="s">
        <v>163</v>
      </c>
      <c r="D153" s="1">
        <v>45976</v>
      </c>
      <c r="E153" t="s">
        <v>15</v>
      </c>
      <c r="G153">
        <v>2</v>
      </c>
      <c r="H153" s="7" t="s">
        <v>165</v>
      </c>
      <c r="I153" t="s">
        <v>95</v>
      </c>
      <c r="J153" t="s">
        <v>401</v>
      </c>
      <c r="K153" t="s">
        <v>308</v>
      </c>
      <c r="L153" s="1">
        <v>45986</v>
      </c>
      <c r="M153" s="2" t="s">
        <v>164</v>
      </c>
      <c r="N153" t="e" vm="21">
        <v>#VALUE!</v>
      </c>
      <c r="O153" t="str" cm="1">
        <f t="array" aca="1" ref="O153" ca="1">_FV(N153,"Name")</f>
        <v>United Kingdom</v>
      </c>
      <c r="P153" t="s">
        <v>11</v>
      </c>
      <c r="R153" t="s">
        <v>775</v>
      </c>
      <c r="S153" s="1">
        <v>45982</v>
      </c>
      <c r="U153">
        <v>1</v>
      </c>
      <c r="V153">
        <v>0</v>
      </c>
      <c r="W153">
        <v>0</v>
      </c>
    </row>
    <row r="154" spans="1:23" x14ac:dyDescent="0.4">
      <c r="A154" s="4" t="s">
        <v>137</v>
      </c>
      <c r="D154" s="1">
        <v>45976</v>
      </c>
      <c r="E154" t="s">
        <v>15</v>
      </c>
      <c r="G154">
        <v>1</v>
      </c>
      <c r="I154" t="s">
        <v>95</v>
      </c>
      <c r="J154" t="s">
        <v>401</v>
      </c>
      <c r="K154" t="s">
        <v>308</v>
      </c>
      <c r="L154" s="1">
        <v>45986</v>
      </c>
      <c r="M154" s="2" t="s">
        <v>138</v>
      </c>
      <c r="N154" t="e" vm="25">
        <v>#VALUE!</v>
      </c>
      <c r="O154" t="str" cm="1">
        <f t="array" aca="1" ref="O154" ca="1">_FV(N154,"Name")</f>
        <v>Mexico</v>
      </c>
      <c r="P154" t="s">
        <v>11</v>
      </c>
      <c r="R154" t="s">
        <v>775</v>
      </c>
      <c r="S154" s="1">
        <v>45986</v>
      </c>
      <c r="U154">
        <v>1</v>
      </c>
      <c r="V154">
        <v>1</v>
      </c>
      <c r="W154">
        <v>1</v>
      </c>
    </row>
    <row r="155" spans="1:23" x14ac:dyDescent="0.4">
      <c r="A155" s="4" t="s">
        <v>139</v>
      </c>
      <c r="C155" t="s">
        <v>632</v>
      </c>
      <c r="D155" s="1">
        <v>45976</v>
      </c>
      <c r="E155" t="s">
        <v>15</v>
      </c>
      <c r="G155">
        <v>2</v>
      </c>
      <c r="I155" t="s">
        <v>95</v>
      </c>
      <c r="J155" t="s">
        <v>401</v>
      </c>
      <c r="K155" t="s">
        <v>308</v>
      </c>
      <c r="L155" s="1">
        <v>45986</v>
      </c>
      <c r="M155" s="2" t="s">
        <v>140</v>
      </c>
      <c r="N155" t="e" vm="25">
        <v>#VALUE!</v>
      </c>
      <c r="O155" t="str" cm="1">
        <f t="array" aca="1" ref="O155" ca="1">_FV(N155,"Name")</f>
        <v>Mexico</v>
      </c>
      <c r="P155" t="s">
        <v>11</v>
      </c>
      <c r="R155" t="s">
        <v>775</v>
      </c>
      <c r="S155" s="1">
        <v>45989</v>
      </c>
      <c r="U155">
        <v>1</v>
      </c>
      <c r="V155">
        <v>0</v>
      </c>
      <c r="W155">
        <v>0</v>
      </c>
    </row>
    <row r="156" spans="1:23" x14ac:dyDescent="0.4">
      <c r="A156" t="s">
        <v>559</v>
      </c>
      <c r="D156" s="1">
        <v>45976</v>
      </c>
      <c r="E156" t="s">
        <v>39</v>
      </c>
      <c r="I156" t="s">
        <v>95</v>
      </c>
      <c r="J156" t="s">
        <v>401</v>
      </c>
      <c r="M156" t="s">
        <v>558</v>
      </c>
      <c r="N156" t="e" vm="1">
        <v>#VALUE!</v>
      </c>
      <c r="O156" t="str" cm="1">
        <f t="array" aca="1" ref="O156" ca="1">_FV(N156,"Name")</f>
        <v>United States</v>
      </c>
      <c r="P156" t="s">
        <v>11</v>
      </c>
      <c r="R156" t="s">
        <v>775</v>
      </c>
      <c r="S156" s="1">
        <v>46053</v>
      </c>
      <c r="U156">
        <v>1</v>
      </c>
      <c r="V156">
        <v>1</v>
      </c>
      <c r="W156">
        <v>1</v>
      </c>
    </row>
    <row r="157" spans="1:23" x14ac:dyDescent="0.4">
      <c r="A157" t="s">
        <v>692</v>
      </c>
      <c r="C157" t="s">
        <v>694</v>
      </c>
      <c r="D157" s="1">
        <v>45976</v>
      </c>
      <c r="E157" t="s">
        <v>15</v>
      </c>
      <c r="I157" t="s">
        <v>95</v>
      </c>
      <c r="J157" t="s">
        <v>401</v>
      </c>
      <c r="M157" t="s">
        <v>693</v>
      </c>
      <c r="N157" t="e" vm="26">
        <v>#VALUE!</v>
      </c>
      <c r="O157" t="str" cm="1">
        <f t="array" aca="1" ref="O157" ca="1">_FV(N157,"Name")</f>
        <v>Austria</v>
      </c>
      <c r="P157" t="s">
        <v>11</v>
      </c>
      <c r="R157" t="s">
        <v>775</v>
      </c>
      <c r="S157" s="1">
        <v>45984</v>
      </c>
      <c r="U157">
        <v>1</v>
      </c>
      <c r="V157">
        <v>0</v>
      </c>
      <c r="W157">
        <v>0</v>
      </c>
    </row>
    <row r="158" spans="1:23" x14ac:dyDescent="0.4">
      <c r="A158" t="s">
        <v>524</v>
      </c>
      <c r="D158" s="1">
        <v>45976</v>
      </c>
      <c r="E158" t="s">
        <v>525</v>
      </c>
      <c r="I158" t="s">
        <v>95</v>
      </c>
      <c r="J158" t="s">
        <v>401</v>
      </c>
      <c r="M158" t="s">
        <v>526</v>
      </c>
      <c r="N158" t="e" vm="1">
        <v>#VALUE!</v>
      </c>
      <c r="O158" t="str" cm="1">
        <f t="array" aca="1" ref="O158" ca="1">_FV(N158,"Name")</f>
        <v>United States</v>
      </c>
      <c r="P158" t="s">
        <v>11</v>
      </c>
      <c r="R158" t="s">
        <v>775</v>
      </c>
      <c r="S158" s="1">
        <v>46081</v>
      </c>
      <c r="U158">
        <v>1</v>
      </c>
      <c r="V158">
        <v>0</v>
      </c>
      <c r="W158">
        <v>0</v>
      </c>
    </row>
    <row r="159" spans="1:23" x14ac:dyDescent="0.4">
      <c r="A159" t="s">
        <v>530</v>
      </c>
      <c r="C159" t="s">
        <v>531</v>
      </c>
      <c r="D159" s="1">
        <v>45976</v>
      </c>
      <c r="E159" t="s">
        <v>532</v>
      </c>
      <c r="I159" t="s">
        <v>95</v>
      </c>
      <c r="J159" t="s">
        <v>401</v>
      </c>
      <c r="M159" t="s">
        <v>533</v>
      </c>
      <c r="N159" t="e" vm="1">
        <v>#VALUE!</v>
      </c>
      <c r="O159" t="str" cm="1">
        <f t="array" aca="1" ref="O159" ca="1">_FV(N159,"Name")</f>
        <v>United States</v>
      </c>
      <c r="P159" t="s">
        <v>11</v>
      </c>
      <c r="R159" t="s">
        <v>775</v>
      </c>
      <c r="S159" s="1">
        <v>46082</v>
      </c>
      <c r="U159">
        <v>1</v>
      </c>
      <c r="V159">
        <v>0</v>
      </c>
      <c r="W159">
        <v>1</v>
      </c>
    </row>
    <row r="160" spans="1:23" x14ac:dyDescent="0.4">
      <c r="A160" t="s">
        <v>634</v>
      </c>
      <c r="D160" s="1">
        <v>45976</v>
      </c>
      <c r="E160" t="s">
        <v>39</v>
      </c>
      <c r="F160" t="s">
        <v>579</v>
      </c>
      <c r="I160" t="s">
        <v>95</v>
      </c>
      <c r="J160" t="s">
        <v>401</v>
      </c>
      <c r="M160" t="s">
        <v>580</v>
      </c>
      <c r="N160" t="e" vm="1">
        <v>#VALUE!</v>
      </c>
      <c r="O160" t="str" cm="1">
        <f t="array" aca="1" ref="O160" ca="1">_FV(N160,"Name")</f>
        <v>United States</v>
      </c>
      <c r="P160" t="s">
        <v>11</v>
      </c>
      <c r="R160" t="s">
        <v>775</v>
      </c>
      <c r="S160" s="1">
        <v>45976</v>
      </c>
      <c r="U160">
        <v>1</v>
      </c>
      <c r="V160">
        <v>0</v>
      </c>
      <c r="W160">
        <v>1</v>
      </c>
    </row>
    <row r="161" spans="1:23" x14ac:dyDescent="0.4">
      <c r="A161" t="s">
        <v>593</v>
      </c>
      <c r="D161" s="1">
        <v>45976</v>
      </c>
      <c r="E161" t="s">
        <v>39</v>
      </c>
      <c r="F161" t="s">
        <v>594</v>
      </c>
      <c r="I161" t="s">
        <v>95</v>
      </c>
      <c r="J161" t="s">
        <v>401</v>
      </c>
      <c r="M161" t="s">
        <v>592</v>
      </c>
      <c r="N161" t="e" vm="1">
        <v>#VALUE!</v>
      </c>
      <c r="O161" t="str" cm="1">
        <f t="array" aca="1" ref="O161" ca="1">_FV(N161,"Name")</f>
        <v>United States</v>
      </c>
      <c r="P161" t="s">
        <v>11</v>
      </c>
      <c r="R161" t="s">
        <v>775</v>
      </c>
      <c r="S161" s="1">
        <v>45991</v>
      </c>
      <c r="U161">
        <v>1</v>
      </c>
      <c r="V161">
        <v>1</v>
      </c>
      <c r="W161">
        <v>1</v>
      </c>
    </row>
    <row r="162" spans="1:23" x14ac:dyDescent="0.4">
      <c r="A162" t="s">
        <v>457</v>
      </c>
      <c r="D162" s="1">
        <v>45976</v>
      </c>
      <c r="E162" t="s">
        <v>39</v>
      </c>
      <c r="F162" t="s">
        <v>458</v>
      </c>
      <c r="I162" t="s">
        <v>95</v>
      </c>
      <c r="J162" t="s">
        <v>401</v>
      </c>
      <c r="M162" t="s">
        <v>459</v>
      </c>
      <c r="N162" t="e" vm="1">
        <v>#VALUE!</v>
      </c>
      <c r="O162" t="str" cm="1">
        <f t="array" aca="1" ref="O162" ca="1">_FV(N162,"Name")</f>
        <v>United States</v>
      </c>
      <c r="P162" t="s">
        <v>11</v>
      </c>
      <c r="R162" t="s">
        <v>775</v>
      </c>
      <c r="S162" s="1">
        <v>45985</v>
      </c>
      <c r="U162">
        <v>1</v>
      </c>
      <c r="V162">
        <v>1</v>
      </c>
      <c r="W162">
        <v>1</v>
      </c>
    </row>
    <row r="163" spans="1:23" x14ac:dyDescent="0.4">
      <c r="A163" t="s">
        <v>106</v>
      </c>
      <c r="D163" s="1">
        <v>45976</v>
      </c>
      <c r="E163" t="s">
        <v>15</v>
      </c>
      <c r="H163" s="1"/>
      <c r="I163" t="s">
        <v>95</v>
      </c>
      <c r="J163" t="s">
        <v>401</v>
      </c>
      <c r="M163" t="s">
        <v>107</v>
      </c>
      <c r="N163" t="e" vm="5">
        <v>#VALUE!</v>
      </c>
      <c r="O163" t="str" cm="1">
        <f t="array" aca="1" ref="O163" ca="1">_FV(N163,"Name")</f>
        <v>Chile</v>
      </c>
      <c r="P163" t="s">
        <v>11</v>
      </c>
      <c r="R163" t="s">
        <v>775</v>
      </c>
      <c r="S163" s="1">
        <v>45981</v>
      </c>
      <c r="U163">
        <v>1</v>
      </c>
      <c r="V163">
        <v>0</v>
      </c>
      <c r="W163">
        <v>0</v>
      </c>
    </row>
    <row r="164" spans="1:23" x14ac:dyDescent="0.4">
      <c r="A164" t="s">
        <v>556</v>
      </c>
      <c r="D164" s="1">
        <v>45976</v>
      </c>
      <c r="E164" t="s">
        <v>39</v>
      </c>
      <c r="I164" t="s">
        <v>95</v>
      </c>
      <c r="J164" t="s">
        <v>403</v>
      </c>
      <c r="M164" t="s">
        <v>557</v>
      </c>
      <c r="N164" t="e" vm="27">
        <v>#VALUE!</v>
      </c>
      <c r="O164" t="str" cm="1">
        <f t="array" aca="1" ref="O164" ca="1">_FV(N164,"Name")</f>
        <v>Russia</v>
      </c>
      <c r="P164" t="s">
        <v>11</v>
      </c>
      <c r="R164" t="s">
        <v>775</v>
      </c>
      <c r="S164" s="1">
        <v>46022</v>
      </c>
      <c r="U164">
        <v>1</v>
      </c>
      <c r="V164">
        <v>0</v>
      </c>
      <c r="W164">
        <v>0</v>
      </c>
    </row>
    <row r="165" spans="1:23" x14ac:dyDescent="0.4">
      <c r="A165" t="s">
        <v>118</v>
      </c>
      <c r="D165" s="1">
        <v>45976</v>
      </c>
      <c r="E165" t="s">
        <v>15</v>
      </c>
      <c r="F165" t="s">
        <v>119</v>
      </c>
      <c r="I165" t="s">
        <v>95</v>
      </c>
      <c r="J165" t="s">
        <v>401</v>
      </c>
      <c r="L165" s="1"/>
      <c r="M165" s="2" t="s">
        <v>117</v>
      </c>
      <c r="N165" t="e" vm="7">
        <v>#VALUE!</v>
      </c>
      <c r="O165" t="str" cm="1">
        <f t="array" aca="1" ref="O165" ca="1">_FV(N165,"Name")</f>
        <v>Australia</v>
      </c>
      <c r="P165" t="s">
        <v>11</v>
      </c>
      <c r="R165" t="s">
        <v>775</v>
      </c>
      <c r="S165" s="1">
        <v>45988</v>
      </c>
      <c r="U165">
        <v>1</v>
      </c>
      <c r="V165">
        <v>0</v>
      </c>
      <c r="W165">
        <v>0</v>
      </c>
    </row>
    <row r="166" spans="1:23" x14ac:dyDescent="0.4">
      <c r="A166" s="4" t="s">
        <v>686</v>
      </c>
      <c r="B166" s="19"/>
      <c r="D166" s="1">
        <v>45976</v>
      </c>
      <c r="E166" t="s">
        <v>15</v>
      </c>
      <c r="I166" t="s">
        <v>95</v>
      </c>
      <c r="J166" t="s">
        <v>401</v>
      </c>
      <c r="K166" t="s">
        <v>308</v>
      </c>
      <c r="L166" s="1">
        <v>45986</v>
      </c>
      <c r="M166" t="s">
        <v>687</v>
      </c>
      <c r="N166" t="e" vm="12">
        <v>#VALUE!</v>
      </c>
      <c r="O166" t="str" cm="1">
        <f t="array" aca="1" ref="O166" ca="1">_FV(N166,"Name")</f>
        <v>Italy</v>
      </c>
      <c r="P166" t="s">
        <v>11</v>
      </c>
      <c r="R166" t="s">
        <v>775</v>
      </c>
      <c r="S166" s="1">
        <v>45984</v>
      </c>
      <c r="U166">
        <v>1</v>
      </c>
      <c r="V166">
        <v>0</v>
      </c>
      <c r="W166">
        <v>0</v>
      </c>
    </row>
    <row r="167" spans="1:23" x14ac:dyDescent="0.4">
      <c r="A167" t="s">
        <v>379</v>
      </c>
      <c r="D167" s="1">
        <v>45976</v>
      </c>
      <c r="E167" t="s">
        <v>15</v>
      </c>
      <c r="I167" t="s">
        <v>95</v>
      </c>
      <c r="J167" t="s">
        <v>401</v>
      </c>
      <c r="M167" t="s">
        <v>378</v>
      </c>
      <c r="N167" t="e" vm="9">
        <v>#VALUE!</v>
      </c>
      <c r="O167" t="str" cm="1">
        <f t="array" aca="1" ref="O167" ca="1">_FV(N167,"Name")</f>
        <v>Germany</v>
      </c>
      <c r="P167" t="s">
        <v>11</v>
      </c>
      <c r="R167" t="s">
        <v>775</v>
      </c>
      <c r="S167" s="1">
        <v>45985</v>
      </c>
      <c r="U167">
        <v>1</v>
      </c>
      <c r="V167">
        <v>0</v>
      </c>
      <c r="W167">
        <v>0</v>
      </c>
    </row>
    <row r="168" spans="1:23" x14ac:dyDescent="0.4">
      <c r="A168" t="s">
        <v>550</v>
      </c>
      <c r="C168" t="s">
        <v>551</v>
      </c>
      <c r="D168" s="1">
        <v>45976</v>
      </c>
      <c r="E168" t="s">
        <v>39</v>
      </c>
      <c r="F168" t="s">
        <v>552</v>
      </c>
      <c r="I168" t="s">
        <v>95</v>
      </c>
      <c r="J168" t="s">
        <v>401</v>
      </c>
      <c r="M168" t="s">
        <v>549</v>
      </c>
      <c r="N168" t="e" vm="1">
        <v>#VALUE!</v>
      </c>
      <c r="O168" t="str" cm="1">
        <f t="array" aca="1" ref="O168" ca="1">_FV(N168,"Name")</f>
        <v>United States</v>
      </c>
      <c r="P168" t="s">
        <v>11</v>
      </c>
      <c r="R168" t="s">
        <v>775</v>
      </c>
      <c r="S168" s="1">
        <v>45688</v>
      </c>
      <c r="U168">
        <v>1</v>
      </c>
      <c r="V168">
        <v>0</v>
      </c>
      <c r="W168">
        <v>1</v>
      </c>
    </row>
    <row r="169" spans="1:23" x14ac:dyDescent="0.4">
      <c r="A169" s="4" t="s">
        <v>697</v>
      </c>
      <c r="B169" s="19"/>
      <c r="C169" t="s">
        <v>700</v>
      </c>
      <c r="D169" s="1">
        <v>45981</v>
      </c>
      <c r="E169" t="s">
        <v>15</v>
      </c>
      <c r="F169" s="2" t="s">
        <v>698</v>
      </c>
      <c r="I169" t="s">
        <v>95</v>
      </c>
      <c r="J169" t="s">
        <v>401</v>
      </c>
      <c r="K169" t="s">
        <v>308</v>
      </c>
      <c r="L169" s="1">
        <v>45986</v>
      </c>
      <c r="M169" t="s">
        <v>699</v>
      </c>
      <c r="N169" t="e" vm="26">
        <v>#VALUE!</v>
      </c>
      <c r="O169" t="str" cm="1">
        <f t="array" aca="1" ref="O169" ca="1">_FV(N169,"Name")</f>
        <v>Austria</v>
      </c>
      <c r="P169" t="s">
        <v>11</v>
      </c>
      <c r="R169" t="s">
        <v>775</v>
      </c>
      <c r="S169" s="1">
        <v>45986</v>
      </c>
      <c r="U169">
        <v>1</v>
      </c>
      <c r="V169">
        <v>0</v>
      </c>
      <c r="W169">
        <v>0</v>
      </c>
    </row>
    <row r="170" spans="1:23" x14ac:dyDescent="0.4">
      <c r="A170" s="4" t="s">
        <v>657</v>
      </c>
      <c r="B170" s="19"/>
      <c r="C170" t="s">
        <v>658</v>
      </c>
      <c r="D170" s="1">
        <v>45981</v>
      </c>
      <c r="E170" t="s">
        <v>15</v>
      </c>
      <c r="G170">
        <v>3</v>
      </c>
      <c r="H170" s="2" t="s">
        <v>659</v>
      </c>
      <c r="I170" t="s">
        <v>95</v>
      </c>
      <c r="J170" t="s">
        <v>401</v>
      </c>
      <c r="K170" t="s">
        <v>308</v>
      </c>
      <c r="L170" s="1">
        <v>45992</v>
      </c>
      <c r="M170" t="s">
        <v>660</v>
      </c>
      <c r="N170" t="e" vm="15">
        <v>#VALUE!</v>
      </c>
      <c r="O170" t="str" cm="1">
        <f t="array" aca="1" ref="O170" ca="1">_FV(N170,"Name")</f>
        <v>Switzerland</v>
      </c>
      <c r="P170" t="s">
        <v>25</v>
      </c>
      <c r="R170" t="s">
        <v>775</v>
      </c>
      <c r="S170" s="1">
        <v>45992</v>
      </c>
      <c r="U170">
        <v>1</v>
      </c>
      <c r="V170">
        <v>0</v>
      </c>
      <c r="W170">
        <v>0</v>
      </c>
    </row>
    <row r="171" spans="1:23" x14ac:dyDescent="0.4">
      <c r="A171" s="4" t="s">
        <v>635</v>
      </c>
      <c r="C171" t="s">
        <v>638</v>
      </c>
      <c r="D171" s="1">
        <v>45981</v>
      </c>
      <c r="E171" t="s">
        <v>636</v>
      </c>
      <c r="I171" t="s">
        <v>95</v>
      </c>
      <c r="J171" t="s">
        <v>401</v>
      </c>
      <c r="K171" t="s">
        <v>308</v>
      </c>
      <c r="L171" s="1">
        <v>45992</v>
      </c>
      <c r="M171" t="s">
        <v>637</v>
      </c>
      <c r="N171" t="e" vm="1">
        <v>#VALUE!</v>
      </c>
      <c r="O171" t="str" cm="1">
        <f t="array" aca="1" ref="O171" ca="1">_FV(N171,"Name")</f>
        <v>United States</v>
      </c>
      <c r="P171" t="s">
        <v>25</v>
      </c>
      <c r="R171" t="s">
        <v>775</v>
      </c>
      <c r="S171" s="1">
        <v>45992</v>
      </c>
      <c r="U171">
        <v>1</v>
      </c>
      <c r="V171">
        <v>0</v>
      </c>
      <c r="W171">
        <v>1</v>
      </c>
    </row>
    <row r="172" spans="1:23" x14ac:dyDescent="0.4">
      <c r="A172" s="4" t="s">
        <v>156</v>
      </c>
      <c r="D172" s="1">
        <v>45981</v>
      </c>
      <c r="E172" t="s">
        <v>15</v>
      </c>
      <c r="G172">
        <v>1</v>
      </c>
      <c r="I172" t="s">
        <v>95</v>
      </c>
      <c r="J172" t="s">
        <v>401</v>
      </c>
      <c r="K172" t="s">
        <v>308</v>
      </c>
      <c r="L172" s="1">
        <v>45992</v>
      </c>
      <c r="M172" s="2" t="s">
        <v>157</v>
      </c>
      <c r="N172" t="e" vm="4">
        <v>#VALUE!</v>
      </c>
      <c r="O172" t="str" cm="1">
        <f t="array" aca="1" ref="O172" ca="1">_FV(N172,"Name")</f>
        <v>France</v>
      </c>
      <c r="P172" t="s">
        <v>25</v>
      </c>
      <c r="R172" t="s">
        <v>775</v>
      </c>
      <c r="S172" s="1">
        <v>45992</v>
      </c>
      <c r="U172">
        <v>1</v>
      </c>
      <c r="V172">
        <v>1</v>
      </c>
      <c r="W172">
        <v>0</v>
      </c>
    </row>
    <row r="173" spans="1:23" x14ac:dyDescent="0.4">
      <c r="A173" s="4" t="s">
        <v>152</v>
      </c>
      <c r="D173" s="1">
        <v>45981</v>
      </c>
      <c r="E173" t="s">
        <v>15</v>
      </c>
      <c r="G173">
        <v>1</v>
      </c>
      <c r="H173" s="7" t="s">
        <v>154</v>
      </c>
      <c r="I173" t="s">
        <v>95</v>
      </c>
      <c r="J173" t="s">
        <v>401</v>
      </c>
      <c r="K173" t="s">
        <v>308</v>
      </c>
      <c r="L173" s="1">
        <v>45992</v>
      </c>
      <c r="M173" s="2" t="s">
        <v>153</v>
      </c>
      <c r="N173" t="e" vm="4">
        <v>#VALUE!</v>
      </c>
      <c r="O173" t="str" cm="1">
        <f t="array" aca="1" ref="O173" ca="1">_FV(N173,"Name")</f>
        <v>France</v>
      </c>
      <c r="P173" t="s">
        <v>25</v>
      </c>
      <c r="R173" t="s">
        <v>775</v>
      </c>
      <c r="S173" s="1">
        <v>45991</v>
      </c>
      <c r="U173">
        <v>1</v>
      </c>
      <c r="V173">
        <v>1</v>
      </c>
      <c r="W173">
        <v>0</v>
      </c>
    </row>
    <row r="174" spans="1:23" x14ac:dyDescent="0.4">
      <c r="A174" s="4" t="s">
        <v>674</v>
      </c>
      <c r="D174" s="1">
        <v>45981</v>
      </c>
      <c r="E174" t="s">
        <v>15</v>
      </c>
      <c r="I174" t="s">
        <v>95</v>
      </c>
      <c r="J174" t="s">
        <v>401</v>
      </c>
      <c r="K174" t="s">
        <v>308</v>
      </c>
      <c r="L174" s="1">
        <v>45992</v>
      </c>
      <c r="M174" t="s">
        <v>675</v>
      </c>
      <c r="N174" t="e" vm="4">
        <v>#VALUE!</v>
      </c>
      <c r="O174" t="str" cm="1">
        <f t="array" aca="1" ref="O174" ca="1">_FV(N174,"Name")</f>
        <v>France</v>
      </c>
      <c r="P174" t="s">
        <v>11</v>
      </c>
      <c r="R174" t="s">
        <v>775</v>
      </c>
      <c r="S174" s="1">
        <v>45991</v>
      </c>
      <c r="U174">
        <v>1</v>
      </c>
      <c r="V174">
        <v>0</v>
      </c>
      <c r="W174">
        <v>0</v>
      </c>
    </row>
    <row r="175" spans="1:23" x14ac:dyDescent="0.4">
      <c r="A175" t="s">
        <v>422</v>
      </c>
      <c r="D175" s="1">
        <v>45981</v>
      </c>
      <c r="E175" t="s">
        <v>424</v>
      </c>
      <c r="F175" t="s">
        <v>423</v>
      </c>
      <c r="I175" t="s">
        <v>95</v>
      </c>
      <c r="J175" t="s">
        <v>401</v>
      </c>
      <c r="M175" t="s">
        <v>425</v>
      </c>
      <c r="N175" t="e" vm="1">
        <v>#VALUE!</v>
      </c>
      <c r="O175" t="str" cm="1">
        <f t="array" aca="1" ref="O175" ca="1">_FV(N175,"Name")</f>
        <v>United States</v>
      </c>
      <c r="P175" t="s">
        <v>11</v>
      </c>
      <c r="R175" t="s">
        <v>775</v>
      </c>
      <c r="S175" s="1">
        <v>45992</v>
      </c>
      <c r="U175">
        <v>1</v>
      </c>
      <c r="V175">
        <v>1</v>
      </c>
      <c r="W175">
        <v>1</v>
      </c>
    </row>
    <row r="176" spans="1:23" x14ac:dyDescent="0.4">
      <c r="A176" s="4" t="s">
        <v>291</v>
      </c>
      <c r="D176" s="1">
        <v>45981</v>
      </c>
      <c r="E176" t="s">
        <v>15</v>
      </c>
      <c r="H176" t="s">
        <v>292</v>
      </c>
      <c r="I176" t="s">
        <v>95</v>
      </c>
      <c r="J176" t="s">
        <v>401</v>
      </c>
      <c r="K176" t="s">
        <v>308</v>
      </c>
      <c r="L176" s="1">
        <v>45992</v>
      </c>
      <c r="M176" t="s">
        <v>290</v>
      </c>
      <c r="N176" t="e" vm="7">
        <v>#VALUE!</v>
      </c>
      <c r="O176" t="str" cm="1">
        <f t="array" aca="1" ref="O176" ca="1">_FV(N176,"Name")</f>
        <v>Australia</v>
      </c>
      <c r="P176" t="s">
        <v>11</v>
      </c>
      <c r="R176" t="s">
        <v>775</v>
      </c>
      <c r="S176" s="1">
        <v>45989</v>
      </c>
      <c r="U176">
        <v>1</v>
      </c>
      <c r="V176">
        <v>0</v>
      </c>
      <c r="W176">
        <v>0</v>
      </c>
    </row>
    <row r="177" spans="1:23" x14ac:dyDescent="0.4">
      <c r="A177" s="4" t="s">
        <v>237</v>
      </c>
      <c r="D177" s="1">
        <v>45981</v>
      </c>
      <c r="E177" t="s">
        <v>39</v>
      </c>
      <c r="F177" s="2" t="s">
        <v>239</v>
      </c>
      <c r="I177" t="s">
        <v>95</v>
      </c>
      <c r="J177" t="s">
        <v>401</v>
      </c>
      <c r="K177" t="s">
        <v>308</v>
      </c>
      <c r="L177" s="1">
        <v>45992</v>
      </c>
      <c r="M177" t="s">
        <v>238</v>
      </c>
      <c r="N177" t="e" vm="5">
        <v>#VALUE!</v>
      </c>
      <c r="O177" t="str" cm="1">
        <f t="array" aca="1" ref="O177" ca="1">_FV(N177,"Name")</f>
        <v>Chile</v>
      </c>
      <c r="P177" t="s">
        <v>11</v>
      </c>
      <c r="Q177" t="s">
        <v>63</v>
      </c>
      <c r="R177" t="s">
        <v>775</v>
      </c>
      <c r="S177" s="1">
        <v>45992</v>
      </c>
      <c r="U177">
        <v>1</v>
      </c>
      <c r="V177">
        <v>0</v>
      </c>
      <c r="W177">
        <v>0</v>
      </c>
    </row>
    <row r="178" spans="1:23" x14ac:dyDescent="0.4">
      <c r="A178" t="s">
        <v>499</v>
      </c>
      <c r="D178" s="1">
        <v>45981</v>
      </c>
      <c r="E178" t="s">
        <v>39</v>
      </c>
      <c r="G178">
        <v>1</v>
      </c>
      <c r="I178" t="s">
        <v>95</v>
      </c>
      <c r="J178" t="s">
        <v>401</v>
      </c>
      <c r="M178" t="s">
        <v>500</v>
      </c>
      <c r="N178" t="e" vm="5">
        <v>#VALUE!</v>
      </c>
      <c r="O178" t="str" cm="1">
        <f t="array" aca="1" ref="O178" ca="1">_FV(N178,"Name")</f>
        <v>Chile</v>
      </c>
      <c r="P178" t="s">
        <v>11</v>
      </c>
      <c r="R178" t="s">
        <v>775</v>
      </c>
      <c r="S178" s="1">
        <v>45997</v>
      </c>
      <c r="U178">
        <v>1</v>
      </c>
      <c r="V178">
        <v>0</v>
      </c>
      <c r="W178">
        <v>0</v>
      </c>
    </row>
    <row r="179" spans="1:23" x14ac:dyDescent="0.4">
      <c r="A179" s="4" t="s">
        <v>577</v>
      </c>
      <c r="D179" s="1">
        <v>45981</v>
      </c>
      <c r="E179" t="s">
        <v>39</v>
      </c>
      <c r="F179" t="s">
        <v>578</v>
      </c>
      <c r="I179" t="s">
        <v>95</v>
      </c>
      <c r="J179" t="s">
        <v>402</v>
      </c>
      <c r="K179" t="s">
        <v>308</v>
      </c>
      <c r="L179" s="1">
        <v>45992</v>
      </c>
      <c r="M179" t="s">
        <v>576</v>
      </c>
      <c r="N179" t="e" vm="20">
        <v>#VALUE!</v>
      </c>
      <c r="O179" t="str" cm="1">
        <f t="array" aca="1" ref="O179" ca="1">_FV(N179,"Name")</f>
        <v>Denmark</v>
      </c>
      <c r="P179" t="s">
        <v>11</v>
      </c>
      <c r="R179" t="s">
        <v>775</v>
      </c>
      <c r="S179" s="1">
        <v>45992</v>
      </c>
      <c r="U179">
        <v>1</v>
      </c>
      <c r="V179">
        <v>1</v>
      </c>
      <c r="W179">
        <v>1</v>
      </c>
    </row>
    <row r="180" spans="1:23" x14ac:dyDescent="0.4">
      <c r="A180" t="s">
        <v>641</v>
      </c>
      <c r="C180" t="s">
        <v>640</v>
      </c>
      <c r="D180" s="1">
        <v>45981</v>
      </c>
      <c r="E180" t="s">
        <v>642</v>
      </c>
      <c r="I180" t="s">
        <v>95</v>
      </c>
      <c r="J180" t="s">
        <v>401</v>
      </c>
      <c r="M180" t="s">
        <v>639</v>
      </c>
      <c r="N180" t="e" vm="18">
        <v>#VALUE!</v>
      </c>
      <c r="O180" t="str" cm="1">
        <f t="array" aca="1" ref="O180" ca="1">_FV(N180,"Name")</f>
        <v>Singapore</v>
      </c>
      <c r="P180" t="s">
        <v>11</v>
      </c>
      <c r="R180" t="s">
        <v>775</v>
      </c>
      <c r="S180" s="1">
        <v>46022</v>
      </c>
      <c r="U180">
        <v>1</v>
      </c>
      <c r="V180">
        <v>0</v>
      </c>
      <c r="W180">
        <v>0</v>
      </c>
    </row>
    <row r="181" spans="1:23" x14ac:dyDescent="0.4">
      <c r="A181" s="4" t="s">
        <v>581</v>
      </c>
      <c r="C181" t="s">
        <v>584</v>
      </c>
      <c r="D181" s="1">
        <v>45981</v>
      </c>
      <c r="E181" t="s">
        <v>39</v>
      </c>
      <c r="F181" t="s">
        <v>582</v>
      </c>
      <c r="I181" t="s">
        <v>95</v>
      </c>
      <c r="J181" t="s">
        <v>401</v>
      </c>
      <c r="K181" t="s">
        <v>308</v>
      </c>
      <c r="L181" s="1">
        <v>45992</v>
      </c>
      <c r="M181" t="s">
        <v>583</v>
      </c>
      <c r="N181" t="e" vm="1">
        <v>#VALUE!</v>
      </c>
      <c r="O181" t="str" cm="1">
        <f t="array" aca="1" ref="O181" ca="1">_FV(N181,"Name")</f>
        <v>United States</v>
      </c>
      <c r="P181" t="s">
        <v>11</v>
      </c>
      <c r="R181" t="s">
        <v>775</v>
      </c>
      <c r="S181" s="1">
        <v>45991</v>
      </c>
      <c r="U181">
        <v>1</v>
      </c>
      <c r="V181">
        <v>1</v>
      </c>
      <c r="W181">
        <v>1</v>
      </c>
    </row>
    <row r="182" spans="1:23" x14ac:dyDescent="0.4">
      <c r="A182" t="s">
        <v>265</v>
      </c>
      <c r="D182" s="1">
        <v>45981</v>
      </c>
      <c r="E182" t="s">
        <v>15</v>
      </c>
      <c r="I182" t="s">
        <v>95</v>
      </c>
      <c r="J182" t="s">
        <v>401</v>
      </c>
      <c r="M182" t="s">
        <v>264</v>
      </c>
      <c r="N182" t="e" vm="24">
        <v>#VALUE!</v>
      </c>
      <c r="O182" t="str" cm="1">
        <f t="array" aca="1" ref="O182" ca="1">_FV(N182,"Name")</f>
        <v>Norway</v>
      </c>
      <c r="P182" t="s">
        <v>25</v>
      </c>
      <c r="R182" t="s">
        <v>775</v>
      </c>
      <c r="S182" s="1">
        <v>45992</v>
      </c>
      <c r="U182">
        <v>1</v>
      </c>
      <c r="V182">
        <v>1</v>
      </c>
      <c r="W182">
        <v>0</v>
      </c>
    </row>
    <row r="183" spans="1:23" x14ac:dyDescent="0.4">
      <c r="A183" t="s">
        <v>588</v>
      </c>
      <c r="C183" t="s">
        <v>591</v>
      </c>
      <c r="D183" s="1">
        <v>45981</v>
      </c>
      <c r="E183" t="s">
        <v>39</v>
      </c>
      <c r="F183" t="s">
        <v>589</v>
      </c>
      <c r="I183" t="s">
        <v>95</v>
      </c>
      <c r="J183" t="s">
        <v>401</v>
      </c>
      <c r="M183" t="s">
        <v>590</v>
      </c>
      <c r="N183" t="e" vm="1">
        <v>#VALUE!</v>
      </c>
      <c r="O183" t="str" cm="1">
        <f t="array" aca="1" ref="O183" ca="1">_FV(N183,"Name")</f>
        <v>United States</v>
      </c>
      <c r="P183" t="s">
        <v>11</v>
      </c>
      <c r="R183" t="s">
        <v>775</v>
      </c>
      <c r="S183" s="1">
        <v>45992</v>
      </c>
      <c r="U183">
        <v>1</v>
      </c>
      <c r="V183">
        <v>0</v>
      </c>
      <c r="W183">
        <v>1</v>
      </c>
    </row>
    <row r="184" spans="1:23" x14ac:dyDescent="0.4">
      <c r="A184" s="4" t="s">
        <v>586</v>
      </c>
      <c r="C184" t="s">
        <v>777</v>
      </c>
      <c r="D184" s="1">
        <v>45981</v>
      </c>
      <c r="E184" t="s">
        <v>39</v>
      </c>
      <c r="F184" t="s">
        <v>587</v>
      </c>
      <c r="G184">
        <v>1</v>
      </c>
      <c r="I184" t="s">
        <v>95</v>
      </c>
      <c r="J184" t="s">
        <v>401</v>
      </c>
      <c r="M184" t="s">
        <v>585</v>
      </c>
      <c r="N184" t="e" vm="1">
        <v>#VALUE!</v>
      </c>
      <c r="O184" t="str" cm="1">
        <f t="array" aca="1" ref="O184" ca="1">_FV(N184,"Name")</f>
        <v>United States</v>
      </c>
      <c r="P184" t="s">
        <v>11</v>
      </c>
      <c r="R184" t="s">
        <v>775</v>
      </c>
      <c r="S184" s="1">
        <v>46006</v>
      </c>
      <c r="U184">
        <v>1</v>
      </c>
      <c r="V184">
        <v>0</v>
      </c>
      <c r="W184">
        <v>1</v>
      </c>
    </row>
    <row r="185" spans="1:23" x14ac:dyDescent="0.4">
      <c r="A185" t="s">
        <v>447</v>
      </c>
      <c r="C185" t="s">
        <v>449</v>
      </c>
      <c r="D185" s="1">
        <v>45981</v>
      </c>
      <c r="E185" t="s">
        <v>39</v>
      </c>
      <c r="F185" t="s">
        <v>448</v>
      </c>
      <c r="I185" t="s">
        <v>95</v>
      </c>
      <c r="J185" t="s">
        <v>401</v>
      </c>
      <c r="M185" t="s">
        <v>450</v>
      </c>
      <c r="N185" t="e" vm="1">
        <v>#VALUE!</v>
      </c>
      <c r="O185" t="str" cm="1">
        <f t="array" aca="1" ref="O185" ca="1">_FV(N185,"Name")</f>
        <v>United States</v>
      </c>
      <c r="P185" t="s">
        <v>11</v>
      </c>
      <c r="R185" t="s">
        <v>775</v>
      </c>
      <c r="S185" s="1">
        <v>46003</v>
      </c>
      <c r="U185">
        <v>1</v>
      </c>
      <c r="V185">
        <v>0</v>
      </c>
      <c r="W185">
        <v>1</v>
      </c>
    </row>
    <row r="186" spans="1:23" x14ac:dyDescent="0.4">
      <c r="A186" t="s">
        <v>249</v>
      </c>
      <c r="D186" s="1">
        <v>45981</v>
      </c>
      <c r="E186" t="s">
        <v>15</v>
      </c>
      <c r="H186" s="8" t="s">
        <v>250</v>
      </c>
      <c r="I186" t="s">
        <v>95</v>
      </c>
      <c r="J186" t="s">
        <v>403</v>
      </c>
      <c r="M186" t="s">
        <v>248</v>
      </c>
      <c r="N186" t="e" vm="28">
        <v>#VALUE!</v>
      </c>
      <c r="O186" t="str" cm="1">
        <f t="array" aca="1" ref="O186" ca="1">_FV(N186,"Name")</f>
        <v>South Africa</v>
      </c>
      <c r="P186" t="s">
        <v>25</v>
      </c>
      <c r="R186" t="s">
        <v>775</v>
      </c>
      <c r="S186" s="1">
        <v>46006</v>
      </c>
      <c r="U186">
        <v>1</v>
      </c>
      <c r="V186">
        <v>0</v>
      </c>
      <c r="W186">
        <v>0</v>
      </c>
    </row>
    <row r="187" spans="1:23" x14ac:dyDescent="0.4">
      <c r="A187" t="s">
        <v>681</v>
      </c>
      <c r="D187" s="1">
        <v>45981</v>
      </c>
      <c r="E187" t="s">
        <v>15</v>
      </c>
      <c r="I187" t="s">
        <v>95</v>
      </c>
      <c r="J187" t="s">
        <v>402</v>
      </c>
      <c r="M187" t="s">
        <v>682</v>
      </c>
      <c r="N187" t="e" vm="12">
        <v>#VALUE!</v>
      </c>
      <c r="O187" t="str" cm="1">
        <f t="array" aca="1" ref="O187" ca="1">_FV(N187,"Name")</f>
        <v>Italy</v>
      </c>
      <c r="P187" t="s">
        <v>25</v>
      </c>
      <c r="R187" t="s">
        <v>775</v>
      </c>
      <c r="S187" s="1">
        <v>45991</v>
      </c>
      <c r="U187">
        <v>1</v>
      </c>
      <c r="V187">
        <v>1</v>
      </c>
      <c r="W187">
        <v>0</v>
      </c>
    </row>
    <row r="188" spans="1:23" x14ac:dyDescent="0.4">
      <c r="A188" t="s">
        <v>599</v>
      </c>
      <c r="C188" t="s">
        <v>601</v>
      </c>
      <c r="D188" s="1">
        <v>45981</v>
      </c>
      <c r="E188" t="s">
        <v>39</v>
      </c>
      <c r="F188" t="s">
        <v>602</v>
      </c>
      <c r="I188" t="s">
        <v>95</v>
      </c>
      <c r="J188" t="s">
        <v>401</v>
      </c>
      <c r="M188" t="s">
        <v>600</v>
      </c>
      <c r="N188" t="e" vm="1">
        <v>#VALUE!</v>
      </c>
      <c r="O188" t="str" cm="1">
        <f t="array" aca="1" ref="O188" ca="1">_FV(N188,"Name")</f>
        <v>United States</v>
      </c>
      <c r="R188" t="s">
        <v>775</v>
      </c>
      <c r="S188" s="1">
        <v>45992</v>
      </c>
    </row>
    <row r="189" spans="1:23" x14ac:dyDescent="0.4">
      <c r="A189" t="s">
        <v>643</v>
      </c>
      <c r="C189" t="s">
        <v>646</v>
      </c>
      <c r="D189" s="1">
        <v>45981</v>
      </c>
      <c r="E189" t="s">
        <v>644</v>
      </c>
      <c r="I189" t="s">
        <v>95</v>
      </c>
      <c r="J189" t="s">
        <v>401</v>
      </c>
      <c r="L189" s="1"/>
      <c r="M189" t="s">
        <v>645</v>
      </c>
      <c r="N189" t="e" vm="29">
        <v>#VALUE!</v>
      </c>
      <c r="O189" t="str" cm="1">
        <f t="array" aca="1" ref="O189" ca="1">_FV(N189,"Name")</f>
        <v>Belgium</v>
      </c>
      <c r="P189" t="s">
        <v>11</v>
      </c>
      <c r="R189" t="s">
        <v>775</v>
      </c>
      <c r="S189" s="1">
        <v>45992</v>
      </c>
      <c r="U189">
        <v>1</v>
      </c>
      <c r="V189">
        <v>0</v>
      </c>
      <c r="W189">
        <v>0</v>
      </c>
    </row>
    <row r="190" spans="1:23" x14ac:dyDescent="0.4">
      <c r="A190" s="4" t="s">
        <v>407</v>
      </c>
      <c r="D190" s="1">
        <v>45981</v>
      </c>
      <c r="E190" s="2" t="s">
        <v>408</v>
      </c>
      <c r="F190" s="2" t="s">
        <v>409</v>
      </c>
      <c r="H190" t="s">
        <v>410</v>
      </c>
      <c r="I190" t="s">
        <v>95</v>
      </c>
      <c r="J190" t="s">
        <v>401</v>
      </c>
      <c r="K190" t="s">
        <v>308</v>
      </c>
      <c r="L190" s="1">
        <v>45992</v>
      </c>
      <c r="M190" t="s">
        <v>107</v>
      </c>
      <c r="N190" t="e" vm="5">
        <v>#VALUE!</v>
      </c>
      <c r="O190" t="str" cm="1">
        <f t="array" aca="1" ref="O190" ca="1">_FV(N190,"Name")</f>
        <v>Chile</v>
      </c>
      <c r="P190" t="s">
        <v>11</v>
      </c>
      <c r="R190" t="s">
        <v>775</v>
      </c>
      <c r="S190" s="1">
        <v>45991</v>
      </c>
      <c r="U190">
        <v>1</v>
      </c>
      <c r="V190">
        <v>1</v>
      </c>
      <c r="W190">
        <v>0</v>
      </c>
    </row>
    <row r="191" spans="1:23" x14ac:dyDescent="0.4">
      <c r="A191" t="s">
        <v>605</v>
      </c>
      <c r="D191" s="1">
        <v>45981</v>
      </c>
      <c r="E191" t="s">
        <v>39</v>
      </c>
      <c r="F191" t="s">
        <v>606</v>
      </c>
      <c r="I191" t="s">
        <v>95</v>
      </c>
      <c r="J191" t="s">
        <v>401</v>
      </c>
      <c r="M191" t="s">
        <v>604</v>
      </c>
      <c r="N191" t="e" vm="1">
        <v>#VALUE!</v>
      </c>
      <c r="O191" t="str" cm="1">
        <f t="array" aca="1" ref="O191" ca="1">_FV(N191,"Name")</f>
        <v>United States</v>
      </c>
      <c r="P191" t="s">
        <v>11</v>
      </c>
      <c r="R191" t="s">
        <v>775</v>
      </c>
      <c r="S191" s="1">
        <v>45989</v>
      </c>
      <c r="U191">
        <v>1</v>
      </c>
      <c r="V191">
        <v>1</v>
      </c>
      <c r="W191">
        <v>1</v>
      </c>
    </row>
    <row r="192" spans="1:23" x14ac:dyDescent="0.4">
      <c r="A192" t="s">
        <v>258</v>
      </c>
      <c r="D192" s="1">
        <v>45981</v>
      </c>
      <c r="E192" t="s">
        <v>15</v>
      </c>
      <c r="I192" t="s">
        <v>95</v>
      </c>
      <c r="J192" t="s">
        <v>401</v>
      </c>
      <c r="M192" t="s">
        <v>257</v>
      </c>
      <c r="N192" t="e" vm="4">
        <v>#VALUE!</v>
      </c>
      <c r="O192" t="str" cm="1">
        <f t="array" aca="1" ref="O192" ca="1">_FV(N192,"Name")</f>
        <v>France</v>
      </c>
      <c r="R192" t="s">
        <v>775</v>
      </c>
      <c r="S192" s="1">
        <v>45998</v>
      </c>
      <c r="U192">
        <v>1</v>
      </c>
      <c r="V192">
        <v>0</v>
      </c>
      <c r="W192">
        <v>0</v>
      </c>
    </row>
    <row r="193" spans="1:23" x14ac:dyDescent="0.4">
      <c r="A193" t="s">
        <v>676</v>
      </c>
      <c r="C193" t="s">
        <v>677</v>
      </c>
      <c r="D193" s="1">
        <v>45981</v>
      </c>
      <c r="E193" t="s">
        <v>15</v>
      </c>
      <c r="I193" t="s">
        <v>95</v>
      </c>
      <c r="J193" t="s">
        <v>401</v>
      </c>
      <c r="M193" t="s">
        <v>286</v>
      </c>
      <c r="N193" t="e" vm="24">
        <v>#VALUE!</v>
      </c>
      <c r="O193" t="str" cm="1">
        <f t="array" aca="1" ref="O193" ca="1">_FV(N193,"Name")</f>
        <v>Norway</v>
      </c>
      <c r="P193" t="s">
        <v>25</v>
      </c>
      <c r="R193" t="s">
        <v>775</v>
      </c>
      <c r="S193" s="1">
        <v>45991</v>
      </c>
      <c r="U193">
        <v>1</v>
      </c>
      <c r="V193">
        <v>1</v>
      </c>
      <c r="W193">
        <v>1</v>
      </c>
    </row>
    <row r="194" spans="1:23" x14ac:dyDescent="0.4">
      <c r="A194" t="s">
        <v>287</v>
      </c>
      <c r="D194" s="1">
        <v>45981</v>
      </c>
      <c r="E194" t="s">
        <v>15</v>
      </c>
      <c r="I194" t="s">
        <v>95</v>
      </c>
      <c r="J194" t="s">
        <v>401</v>
      </c>
      <c r="M194" t="s">
        <v>286</v>
      </c>
      <c r="N194" t="e" vm="24">
        <v>#VALUE!</v>
      </c>
      <c r="O194" t="str" cm="1">
        <f t="array" aca="1" ref="O194" ca="1">_FV(N194,"Name")</f>
        <v>Norway</v>
      </c>
      <c r="P194" t="s">
        <v>11</v>
      </c>
      <c r="R194" t="s">
        <v>775</v>
      </c>
      <c r="S194" s="1">
        <v>45991</v>
      </c>
      <c r="U194">
        <v>1</v>
      </c>
      <c r="V194">
        <v>1</v>
      </c>
      <c r="W194">
        <v>1</v>
      </c>
    </row>
    <row r="195" spans="1:23" x14ac:dyDescent="0.4">
      <c r="A195" t="s">
        <v>411</v>
      </c>
      <c r="D195" s="1">
        <v>45981</v>
      </c>
      <c r="E195" t="s">
        <v>412</v>
      </c>
      <c r="I195" t="s">
        <v>95</v>
      </c>
      <c r="J195" t="s">
        <v>401</v>
      </c>
      <c r="M195" t="s">
        <v>101</v>
      </c>
      <c r="N195" t="e" vm="4">
        <v>#VALUE!</v>
      </c>
      <c r="O195" t="str" cm="1">
        <f t="array" aca="1" ref="O195" ca="1">_FV(N195,"Name")</f>
        <v>France</v>
      </c>
      <c r="P195" t="s">
        <v>11</v>
      </c>
      <c r="R195" t="s">
        <v>775</v>
      </c>
      <c r="S195" s="1">
        <v>45984</v>
      </c>
      <c r="U195">
        <v>1</v>
      </c>
      <c r="V195">
        <v>0</v>
      </c>
      <c r="W195">
        <v>0</v>
      </c>
    </row>
    <row r="196" spans="1:23" x14ac:dyDescent="0.4">
      <c r="A196" t="s">
        <v>381</v>
      </c>
      <c r="D196" s="1">
        <v>45981</v>
      </c>
      <c r="E196" t="s">
        <v>15</v>
      </c>
      <c r="I196" t="s">
        <v>95</v>
      </c>
      <c r="J196" t="s">
        <v>401</v>
      </c>
      <c r="M196" t="s">
        <v>382</v>
      </c>
      <c r="N196" t="e" vm="24">
        <v>#VALUE!</v>
      </c>
      <c r="O196" t="str" cm="1">
        <f t="array" aca="1" ref="O196" ca="1">_FV(N196,"Name")</f>
        <v>Norway</v>
      </c>
      <c r="R196" t="s">
        <v>775</v>
      </c>
      <c r="S196" s="1">
        <v>45985</v>
      </c>
      <c r="U196">
        <v>1</v>
      </c>
      <c r="V196">
        <v>0</v>
      </c>
      <c r="W196">
        <v>0</v>
      </c>
    </row>
    <row r="197" spans="1:23" x14ac:dyDescent="0.4">
      <c r="A197" t="s">
        <v>480</v>
      </c>
      <c r="D197" s="1">
        <v>45981</v>
      </c>
      <c r="E197" t="s">
        <v>39</v>
      </c>
      <c r="F197" t="s">
        <v>481</v>
      </c>
      <c r="I197" t="s">
        <v>95</v>
      </c>
      <c r="J197" t="s">
        <v>401</v>
      </c>
      <c r="M197" t="s">
        <v>482</v>
      </c>
      <c r="N197" t="e" vm="30">
        <v>#VALUE!</v>
      </c>
      <c r="O197" t="str" cm="1">
        <f t="array" aca="1" ref="O197" ca="1">_FV(N197,"Name")</f>
        <v>Miami</v>
      </c>
      <c r="P197" t="s">
        <v>485</v>
      </c>
      <c r="R197" t="s">
        <v>775</v>
      </c>
      <c r="S197" s="1">
        <v>45688</v>
      </c>
      <c r="U197">
        <v>1</v>
      </c>
      <c r="V197">
        <v>1</v>
      </c>
      <c r="W197">
        <v>1</v>
      </c>
    </row>
    <row r="198" spans="1:23" x14ac:dyDescent="0.4">
      <c r="A198" t="s">
        <v>376</v>
      </c>
      <c r="D198" s="1">
        <v>45981</v>
      </c>
      <c r="E198" s="2" t="s">
        <v>377</v>
      </c>
      <c r="I198" t="s">
        <v>95</v>
      </c>
      <c r="J198" t="s">
        <v>402</v>
      </c>
      <c r="M198" t="s">
        <v>375</v>
      </c>
      <c r="N198" t="e" vm="9">
        <v>#VALUE!</v>
      </c>
      <c r="O198" t="str" cm="1">
        <f t="array" aca="1" ref="O198" ca="1">_FV(N198,"Name")</f>
        <v>Germany</v>
      </c>
      <c r="P198" t="s">
        <v>25</v>
      </c>
      <c r="R198" t="s">
        <v>775</v>
      </c>
      <c r="S198" s="1">
        <v>45991</v>
      </c>
      <c r="U198">
        <v>1</v>
      </c>
      <c r="V198">
        <v>0</v>
      </c>
      <c r="W198">
        <v>0</v>
      </c>
    </row>
    <row r="199" spans="1:23" x14ac:dyDescent="0.4">
      <c r="A199" s="4" t="s">
        <v>678</v>
      </c>
      <c r="D199" s="1">
        <v>45981</v>
      </c>
      <c r="E199" t="s">
        <v>15</v>
      </c>
      <c r="H199" t="s">
        <v>680</v>
      </c>
      <c r="I199" t="s">
        <v>95</v>
      </c>
      <c r="J199" t="s">
        <v>401</v>
      </c>
      <c r="K199" t="s">
        <v>308</v>
      </c>
      <c r="L199" s="1">
        <v>45992</v>
      </c>
      <c r="M199" t="s">
        <v>679</v>
      </c>
      <c r="N199" t="e" vm="10">
        <v>#VALUE!</v>
      </c>
      <c r="O199" t="str" cm="1">
        <f t="array" aca="1" ref="O199" ca="1">_FV(N199,"Name")</f>
        <v>Canada</v>
      </c>
      <c r="P199" t="s">
        <v>11</v>
      </c>
      <c r="R199" t="s">
        <v>775</v>
      </c>
      <c r="S199" s="1">
        <v>45991</v>
      </c>
      <c r="U199">
        <v>1</v>
      </c>
      <c r="V199">
        <v>0</v>
      </c>
      <c r="W199">
        <v>0</v>
      </c>
    </row>
    <row r="200" spans="1:23" x14ac:dyDescent="0.4">
      <c r="A200" t="s">
        <v>664</v>
      </c>
      <c r="D200" s="1">
        <v>45981</v>
      </c>
      <c r="E200" t="s">
        <v>15</v>
      </c>
      <c r="I200" t="s">
        <v>95</v>
      </c>
      <c r="J200" t="s">
        <v>401</v>
      </c>
      <c r="M200" t="s">
        <v>665</v>
      </c>
      <c r="N200" t="e" vm="31">
        <v>#VALUE!</v>
      </c>
      <c r="O200" t="str" cm="1">
        <f t="array" aca="1" ref="O200" ca="1">_FV(N200,"Name")</f>
        <v>South Korea</v>
      </c>
      <c r="R200" t="s">
        <v>775</v>
      </c>
      <c r="S200" s="1">
        <v>45992</v>
      </c>
      <c r="U200">
        <v>1</v>
      </c>
      <c r="V200">
        <v>0</v>
      </c>
      <c r="W200">
        <v>0</v>
      </c>
    </row>
    <row r="201" spans="1:23" x14ac:dyDescent="0.4">
      <c r="A201" t="s">
        <v>259</v>
      </c>
      <c r="D201" s="1">
        <v>45981</v>
      </c>
      <c r="E201" t="s">
        <v>15</v>
      </c>
      <c r="H201" t="s">
        <v>261</v>
      </c>
      <c r="I201" t="s">
        <v>95</v>
      </c>
      <c r="J201" t="s">
        <v>401</v>
      </c>
      <c r="M201" t="s">
        <v>260</v>
      </c>
      <c r="N201" t="e" vm="31">
        <v>#VALUE!</v>
      </c>
      <c r="O201" t="str" cm="1">
        <f t="array" aca="1" ref="O201" ca="1">_FV(N201,"Name")</f>
        <v>South Korea</v>
      </c>
      <c r="R201" t="s">
        <v>775</v>
      </c>
      <c r="S201" s="1">
        <v>45994</v>
      </c>
      <c r="U201">
        <v>1</v>
      </c>
      <c r="V201">
        <v>0</v>
      </c>
      <c r="W201">
        <v>0</v>
      </c>
    </row>
    <row r="202" spans="1:23" x14ac:dyDescent="0.4">
      <c r="A202" t="s">
        <v>496</v>
      </c>
      <c r="D202" s="1">
        <v>45981</v>
      </c>
      <c r="E202" t="s">
        <v>39</v>
      </c>
      <c r="F202" t="s">
        <v>497</v>
      </c>
      <c r="I202" t="s">
        <v>95</v>
      </c>
      <c r="J202" t="s">
        <v>401</v>
      </c>
      <c r="M202" t="s">
        <v>498</v>
      </c>
      <c r="N202" t="e" vm="1">
        <v>#VALUE!</v>
      </c>
      <c r="O202" t="str" cm="1">
        <f t="array" aca="1" ref="O202" ca="1">_FV(N202,"Name")</f>
        <v>United States</v>
      </c>
      <c r="P202" t="s">
        <v>11</v>
      </c>
      <c r="R202" t="s">
        <v>775</v>
      </c>
      <c r="S202" s="1">
        <v>46022</v>
      </c>
      <c r="U202">
        <v>1</v>
      </c>
      <c r="V202">
        <v>1</v>
      </c>
      <c r="W202">
        <v>1</v>
      </c>
    </row>
    <row r="203" spans="1:23" x14ac:dyDescent="0.4">
      <c r="A203" s="4" t="s">
        <v>571</v>
      </c>
      <c r="C203" t="s">
        <v>778</v>
      </c>
      <c r="D203" s="1">
        <v>45981</v>
      </c>
      <c r="E203" t="s">
        <v>39</v>
      </c>
      <c r="I203" t="s">
        <v>95</v>
      </c>
      <c r="J203" t="s">
        <v>401</v>
      </c>
      <c r="K203" t="s">
        <v>308</v>
      </c>
      <c r="L203" s="1">
        <v>45992</v>
      </c>
      <c r="M203" t="s">
        <v>570</v>
      </c>
      <c r="N203" t="e" vm="1">
        <v>#VALUE!</v>
      </c>
      <c r="O203" t="str" cm="1">
        <f t="array" aca="1" ref="O203" ca="1">_FV(N203,"Name")</f>
        <v>United States</v>
      </c>
      <c r="P203" t="s">
        <v>11</v>
      </c>
      <c r="R203" t="s">
        <v>775</v>
      </c>
      <c r="S203" s="1">
        <v>45992</v>
      </c>
      <c r="U203">
        <v>1</v>
      </c>
      <c r="V203">
        <v>1</v>
      </c>
      <c r="W203">
        <v>1</v>
      </c>
    </row>
    <row r="204" spans="1:23" x14ac:dyDescent="0.4">
      <c r="A204" t="s">
        <v>706</v>
      </c>
      <c r="C204" t="s">
        <v>705</v>
      </c>
      <c r="D204" s="1">
        <v>45981</v>
      </c>
      <c r="E204" t="s">
        <v>15</v>
      </c>
      <c r="F204" s="2" t="s">
        <v>707</v>
      </c>
      <c r="I204" t="s">
        <v>151</v>
      </c>
      <c r="J204" t="s">
        <v>401</v>
      </c>
      <c r="M204" t="s">
        <v>704</v>
      </c>
      <c r="N204" t="e" vm="29">
        <v>#VALUE!</v>
      </c>
      <c r="O204" t="str" cm="1">
        <f t="array" aca="1" ref="O204" ca="1">_FV(N204,"Name")</f>
        <v>Belgium</v>
      </c>
      <c r="P204" t="s">
        <v>25</v>
      </c>
      <c r="R204" t="s">
        <v>775</v>
      </c>
      <c r="S204" s="1">
        <v>45992</v>
      </c>
      <c r="U204">
        <v>1</v>
      </c>
      <c r="V204">
        <v>0</v>
      </c>
      <c r="W204">
        <v>0</v>
      </c>
    </row>
    <row r="205" spans="1:23" x14ac:dyDescent="0.4">
      <c r="A205" t="s">
        <v>253</v>
      </c>
      <c r="D205" s="1">
        <v>45981</v>
      </c>
      <c r="E205" t="s">
        <v>15</v>
      </c>
      <c r="I205" t="s">
        <v>95</v>
      </c>
      <c r="J205" t="s">
        <v>403</v>
      </c>
      <c r="M205" t="s">
        <v>252</v>
      </c>
      <c r="N205" t="e" vm="32">
        <v>#VALUE!</v>
      </c>
      <c r="O205" t="str" cm="1">
        <f t="array" aca="1" ref="O205" ca="1">_FV(N205,"Name")</f>
        <v>Argentina</v>
      </c>
      <c r="P205" t="s">
        <v>11</v>
      </c>
      <c r="R205" t="s">
        <v>775</v>
      </c>
      <c r="S205" s="1">
        <v>46022</v>
      </c>
      <c r="U205">
        <v>1</v>
      </c>
      <c r="V205">
        <v>0</v>
      </c>
      <c r="W205">
        <v>0</v>
      </c>
    </row>
    <row r="206" spans="1:23" x14ac:dyDescent="0.4">
      <c r="A206" t="s">
        <v>203</v>
      </c>
      <c r="D206" s="1">
        <v>45981</v>
      </c>
      <c r="E206" t="s">
        <v>39</v>
      </c>
      <c r="I206" t="s">
        <v>95</v>
      </c>
      <c r="J206" t="s">
        <v>401</v>
      </c>
      <c r="M206" s="2" t="s">
        <v>204</v>
      </c>
      <c r="N206" t="e" vm="3">
        <v>#VALUE!</v>
      </c>
      <c r="O206" t="str" cm="1">
        <f t="array" aca="1" ref="O206" ca="1">_FV(N206,"Name")</f>
        <v>Japan</v>
      </c>
      <c r="R206" t="s">
        <v>775</v>
      </c>
      <c r="S206" s="1">
        <v>46053</v>
      </c>
      <c r="U206">
        <v>1</v>
      </c>
      <c r="V206">
        <v>0</v>
      </c>
      <c r="W206">
        <v>0</v>
      </c>
    </row>
    <row r="207" spans="1:23" x14ac:dyDescent="0.4">
      <c r="A207" s="4" t="s">
        <v>337</v>
      </c>
      <c r="D207" s="1">
        <v>45981</v>
      </c>
      <c r="E207" t="s">
        <v>39</v>
      </c>
      <c r="I207" t="s">
        <v>95</v>
      </c>
      <c r="J207" t="s">
        <v>401</v>
      </c>
      <c r="K207" t="s">
        <v>308</v>
      </c>
      <c r="L207" s="1">
        <v>45992</v>
      </c>
      <c r="M207" t="s">
        <v>338</v>
      </c>
      <c r="N207" t="e" vm="25">
        <v>#VALUE!</v>
      </c>
      <c r="O207" t="str" cm="1">
        <f t="array" aca="1" ref="O207" ca="1">_FV(N207,"Name")</f>
        <v>Mexico</v>
      </c>
      <c r="P207" t="s">
        <v>11</v>
      </c>
      <c r="R207" t="s">
        <v>775</v>
      </c>
      <c r="S207" s="1">
        <v>45661</v>
      </c>
      <c r="U207">
        <v>1</v>
      </c>
      <c r="V207">
        <v>0</v>
      </c>
      <c r="W207">
        <v>0</v>
      </c>
    </row>
    <row r="208" spans="1:23" x14ac:dyDescent="0.4">
      <c r="A208" t="s">
        <v>647</v>
      </c>
      <c r="C208" t="s">
        <v>779</v>
      </c>
      <c r="D208" s="1">
        <v>45981</v>
      </c>
      <c r="E208" s="2" t="s">
        <v>649</v>
      </c>
      <c r="I208" t="s">
        <v>95</v>
      </c>
      <c r="J208" t="s">
        <v>402</v>
      </c>
      <c r="M208" t="s">
        <v>650</v>
      </c>
      <c r="N208" t="e" vm="1">
        <v>#VALUE!</v>
      </c>
      <c r="O208" t="str" cm="1">
        <f t="array" aca="1" ref="O208" ca="1">_FV(N208,"Name")</f>
        <v>United States</v>
      </c>
      <c r="R208" t="s">
        <v>775</v>
      </c>
      <c r="S208" s="1">
        <v>45991</v>
      </c>
      <c r="U208">
        <v>1</v>
      </c>
      <c r="V208">
        <v>0</v>
      </c>
      <c r="W208">
        <v>0</v>
      </c>
    </row>
    <row r="209" spans="1:23" x14ac:dyDescent="0.4">
      <c r="A209" t="s">
        <v>474</v>
      </c>
      <c r="D209" s="1">
        <v>45981</v>
      </c>
      <c r="E209" t="s">
        <v>39</v>
      </c>
      <c r="F209" t="s">
        <v>475</v>
      </c>
      <c r="I209" t="s">
        <v>95</v>
      </c>
      <c r="J209" t="s">
        <v>401</v>
      </c>
      <c r="M209" t="s">
        <v>476</v>
      </c>
      <c r="N209" t="e" vm="1">
        <v>#VALUE!</v>
      </c>
      <c r="O209" t="str" cm="1">
        <f t="array" aca="1" ref="O209" ca="1">_FV(N209,"Name")</f>
        <v>United States</v>
      </c>
      <c r="P209" t="s">
        <v>11</v>
      </c>
      <c r="R209" t="s">
        <v>775</v>
      </c>
      <c r="S209" s="1">
        <v>45996</v>
      </c>
      <c r="U209">
        <v>1</v>
      </c>
      <c r="V209">
        <v>1</v>
      </c>
      <c r="W209">
        <v>1</v>
      </c>
    </row>
    <row r="210" spans="1:23" x14ac:dyDescent="0.4">
      <c r="A210" t="s">
        <v>266</v>
      </c>
      <c r="D210" s="1">
        <v>45981</v>
      </c>
      <c r="E210" t="s">
        <v>15</v>
      </c>
      <c r="G210">
        <v>1</v>
      </c>
      <c r="I210" t="s">
        <v>95</v>
      </c>
      <c r="J210" t="s">
        <v>401</v>
      </c>
      <c r="M210" t="s">
        <v>267</v>
      </c>
      <c r="N210" t="e" vm="33">
        <v>#VALUE!</v>
      </c>
      <c r="O210" t="str" cm="1">
        <f t="array" aca="1" ref="O210" ca="1">_FV(N210,"Name")</f>
        <v>Czech Republic</v>
      </c>
      <c r="P210" t="s">
        <v>11</v>
      </c>
      <c r="R210" t="s">
        <v>775</v>
      </c>
      <c r="S210" s="1">
        <v>45991</v>
      </c>
      <c r="U210">
        <v>1</v>
      </c>
      <c r="V210">
        <v>0</v>
      </c>
      <c r="W210">
        <v>0</v>
      </c>
    </row>
    <row r="211" spans="1:23" x14ac:dyDescent="0.4">
      <c r="A211" t="s">
        <v>352</v>
      </c>
      <c r="D211" s="1">
        <v>45981</v>
      </c>
      <c r="E211" t="s">
        <v>39</v>
      </c>
      <c r="I211" t="s">
        <v>95</v>
      </c>
      <c r="J211" t="s">
        <v>402</v>
      </c>
      <c r="M211" t="s">
        <v>351</v>
      </c>
      <c r="N211" t="e" vm="1">
        <v>#VALUE!</v>
      </c>
      <c r="O211" t="str" cm="1">
        <f t="array" aca="1" ref="O211" ca="1">_FV(N211,"Name")</f>
        <v>United States</v>
      </c>
      <c r="P211" t="s">
        <v>11</v>
      </c>
      <c r="R211" t="s">
        <v>775</v>
      </c>
      <c r="S211" s="1">
        <v>45987</v>
      </c>
      <c r="U211">
        <v>1</v>
      </c>
      <c r="V211">
        <v>0</v>
      </c>
      <c r="W211">
        <v>1</v>
      </c>
    </row>
    <row r="212" spans="1:23" x14ac:dyDescent="0.4">
      <c r="A212" t="s">
        <v>282</v>
      </c>
      <c r="D212" s="1">
        <v>45981</v>
      </c>
      <c r="E212" t="s">
        <v>15</v>
      </c>
      <c r="I212" t="s">
        <v>95</v>
      </c>
      <c r="J212" t="s">
        <v>401</v>
      </c>
      <c r="M212" t="s">
        <v>283</v>
      </c>
      <c r="N212" t="e" vm="34">
        <v>#VALUE!</v>
      </c>
      <c r="O212" t="str" cm="1">
        <f t="array" aca="1" ref="O212" ca="1">_FV(N212,"Name")</f>
        <v>Slovakia</v>
      </c>
      <c r="R212" t="s">
        <v>775</v>
      </c>
      <c r="S212" s="1">
        <v>45991</v>
      </c>
      <c r="U212">
        <v>1</v>
      </c>
      <c r="V212">
        <v>0</v>
      </c>
      <c r="W212">
        <v>0</v>
      </c>
    </row>
    <row r="213" spans="1:23" x14ac:dyDescent="0.4">
      <c r="A213" t="s">
        <v>280</v>
      </c>
      <c r="D213" s="1">
        <v>45981</v>
      </c>
      <c r="E213" t="s">
        <v>15</v>
      </c>
      <c r="I213" t="s">
        <v>95</v>
      </c>
      <c r="J213" t="s">
        <v>401</v>
      </c>
      <c r="M213" t="s">
        <v>281</v>
      </c>
      <c r="N213" t="e" vm="22">
        <v>#VALUE!</v>
      </c>
      <c r="O213" t="str" cm="1">
        <f t="array" aca="1" ref="O213" ca="1">_FV(N213,"Name")</f>
        <v>Portugal</v>
      </c>
      <c r="R213" t="s">
        <v>775</v>
      </c>
      <c r="S213" s="1">
        <v>45991</v>
      </c>
      <c r="U213">
        <v>1</v>
      </c>
      <c r="V213">
        <v>0</v>
      </c>
      <c r="W213">
        <v>0</v>
      </c>
    </row>
    <row r="214" spans="1:23" x14ac:dyDescent="0.4">
      <c r="A214" t="s">
        <v>683</v>
      </c>
      <c r="C214" t="s">
        <v>685</v>
      </c>
      <c r="D214" s="1">
        <v>45981</v>
      </c>
      <c r="E214" t="s">
        <v>15</v>
      </c>
      <c r="I214" t="s">
        <v>95</v>
      </c>
      <c r="J214" t="s">
        <v>401</v>
      </c>
      <c r="M214" t="s">
        <v>684</v>
      </c>
      <c r="N214" t="e" vm="9">
        <v>#VALUE!</v>
      </c>
      <c r="O214" t="str" cm="1">
        <f t="array" aca="1" ref="O214" ca="1">_FV(N214,"Name")</f>
        <v>Germany</v>
      </c>
      <c r="R214" t="s">
        <v>775</v>
      </c>
      <c r="S214" s="1">
        <v>45985</v>
      </c>
      <c r="U214">
        <v>1</v>
      </c>
      <c r="V214">
        <v>0</v>
      </c>
      <c r="W214">
        <v>0</v>
      </c>
    </row>
    <row r="215" spans="1:23" x14ac:dyDescent="0.4">
      <c r="A215" t="s">
        <v>294</v>
      </c>
      <c r="D215" s="1">
        <v>45981</v>
      </c>
      <c r="E215" t="s">
        <v>15</v>
      </c>
      <c r="H215" s="2" t="s">
        <v>295</v>
      </c>
      <c r="I215" t="s">
        <v>95</v>
      </c>
      <c r="J215" t="s">
        <v>401</v>
      </c>
      <c r="M215" t="s">
        <v>293</v>
      </c>
      <c r="N215" t="e" vm="2">
        <v>#VALUE!</v>
      </c>
      <c r="O215" t="str" cm="1">
        <f t="array" aca="1" ref="O215" ca="1">_FV(N215,"Name")</f>
        <v>Spain</v>
      </c>
      <c r="P215" t="s">
        <v>11</v>
      </c>
      <c r="Q215" t="s">
        <v>63</v>
      </c>
      <c r="R215" t="s">
        <v>775</v>
      </c>
      <c r="S215" s="1">
        <v>45989</v>
      </c>
      <c r="U215">
        <v>1</v>
      </c>
      <c r="V215">
        <v>0</v>
      </c>
      <c r="W215">
        <v>0</v>
      </c>
    </row>
    <row r="216" spans="1:23" x14ac:dyDescent="0.4">
      <c r="A216" t="s">
        <v>374</v>
      </c>
      <c r="D216" s="1">
        <v>45981</v>
      </c>
      <c r="E216" t="s">
        <v>15</v>
      </c>
      <c r="G216">
        <v>1</v>
      </c>
      <c r="H216" t="s">
        <v>247</v>
      </c>
      <c r="I216" t="s">
        <v>95</v>
      </c>
      <c r="J216" t="s">
        <v>401</v>
      </c>
      <c r="M216" t="s">
        <v>246</v>
      </c>
      <c r="N216" t="e" vm="23">
        <v>#VALUE!</v>
      </c>
      <c r="O216" t="str" cm="1">
        <f t="array" aca="1" ref="O216" ca="1">_FV(N216,"Name")</f>
        <v>Finland</v>
      </c>
      <c r="P216" t="s">
        <v>11</v>
      </c>
      <c r="R216" t="s">
        <v>775</v>
      </c>
      <c r="S216" s="1">
        <v>46045</v>
      </c>
      <c r="U216">
        <v>1</v>
      </c>
      <c r="V216">
        <v>0</v>
      </c>
      <c r="W216">
        <v>0</v>
      </c>
    </row>
    <row r="217" spans="1:23" x14ac:dyDescent="0.4">
      <c r="A217" s="4" t="s">
        <v>727</v>
      </c>
      <c r="C217" t="s">
        <v>780</v>
      </c>
      <c r="D217" s="1">
        <v>45981</v>
      </c>
      <c r="E217" t="s">
        <v>728</v>
      </c>
      <c r="G217">
        <v>1</v>
      </c>
      <c r="H217" t="s">
        <v>781</v>
      </c>
      <c r="I217" t="s">
        <v>95</v>
      </c>
      <c r="J217" t="s">
        <v>401</v>
      </c>
      <c r="K217" t="s">
        <v>308</v>
      </c>
      <c r="L217" s="1">
        <v>45992</v>
      </c>
      <c r="M217" t="s">
        <v>729</v>
      </c>
      <c r="N217" t="e" vm="1">
        <v>#VALUE!</v>
      </c>
      <c r="O217" t="str" cm="1">
        <f t="array" aca="1" ref="O217" ca="1">_FV(N217,"Name")</f>
        <v>United States</v>
      </c>
      <c r="P217" t="s">
        <v>11</v>
      </c>
      <c r="R217" t="s">
        <v>775</v>
      </c>
      <c r="S217" s="1">
        <v>45991</v>
      </c>
      <c r="U217">
        <v>1</v>
      </c>
      <c r="V217">
        <v>0</v>
      </c>
      <c r="W217">
        <v>1</v>
      </c>
    </row>
    <row r="218" spans="1:23" x14ac:dyDescent="0.4">
      <c r="A218" t="s">
        <v>730</v>
      </c>
      <c r="C218" t="s">
        <v>733</v>
      </c>
      <c r="D218" s="1">
        <v>45981</v>
      </c>
      <c r="E218" t="s">
        <v>15</v>
      </c>
      <c r="F218" t="s">
        <v>732</v>
      </c>
      <c r="I218" t="s">
        <v>95</v>
      </c>
      <c r="J218" t="s">
        <v>401</v>
      </c>
      <c r="M218" s="2" t="s">
        <v>731</v>
      </c>
      <c r="N218" t="e" vm="9">
        <v>#VALUE!</v>
      </c>
      <c r="O218" t="str" cm="1">
        <f t="array" aca="1" ref="O218" ca="1">_FV(N218,"Name")</f>
        <v>Germany</v>
      </c>
      <c r="P218" t="s">
        <v>11</v>
      </c>
      <c r="R218" t="s">
        <v>775</v>
      </c>
      <c r="S218" s="1">
        <v>45987</v>
      </c>
      <c r="U218">
        <v>1</v>
      </c>
      <c r="V218">
        <v>1</v>
      </c>
      <c r="W218">
        <v>1</v>
      </c>
    </row>
    <row r="219" spans="1:23" x14ac:dyDescent="0.4">
      <c r="A219" t="s">
        <v>734</v>
      </c>
      <c r="C219" t="s">
        <v>737</v>
      </c>
      <c r="D219" s="1">
        <v>45981</v>
      </c>
      <c r="E219" t="s">
        <v>735</v>
      </c>
      <c r="I219" t="s">
        <v>95</v>
      </c>
      <c r="J219" t="s">
        <v>402</v>
      </c>
      <c r="M219" t="s">
        <v>736</v>
      </c>
      <c r="N219" t="e" vm="12">
        <v>#VALUE!</v>
      </c>
      <c r="O219" t="str" cm="1">
        <f t="array" aca="1" ref="O219" ca="1">_FV(N219,"Name")</f>
        <v>Italy</v>
      </c>
      <c r="R219" t="s">
        <v>775</v>
      </c>
      <c r="S219" s="1">
        <v>45985</v>
      </c>
      <c r="U219">
        <v>1</v>
      </c>
      <c r="V219">
        <v>1</v>
      </c>
      <c r="W219">
        <v>0</v>
      </c>
    </row>
    <row r="220" spans="1:23" x14ac:dyDescent="0.4">
      <c r="A220" t="s">
        <v>536</v>
      </c>
      <c r="D220" s="1">
        <v>45986</v>
      </c>
      <c r="E220" t="s">
        <v>39</v>
      </c>
      <c r="I220" t="s">
        <v>95</v>
      </c>
      <c r="J220" t="s">
        <v>401</v>
      </c>
      <c r="M220" t="s">
        <v>537</v>
      </c>
      <c r="N220" t="e" vm="1">
        <v>#VALUE!</v>
      </c>
      <c r="O220" t="str" cm="1">
        <f t="array" aca="1" ref="O220" ca="1">_FV(N220,"Name")</f>
        <v>United States</v>
      </c>
      <c r="P220" t="s">
        <v>11</v>
      </c>
      <c r="R220" t="s">
        <v>775</v>
      </c>
      <c r="S220" s="1">
        <v>46022</v>
      </c>
      <c r="U220">
        <v>1</v>
      </c>
      <c r="V220">
        <v>1</v>
      </c>
      <c r="W220">
        <v>1</v>
      </c>
    </row>
    <row r="221" spans="1:23" x14ac:dyDescent="0.4">
      <c r="A221" t="s">
        <v>716</v>
      </c>
      <c r="D221" s="1">
        <v>45986</v>
      </c>
      <c r="E221" t="s">
        <v>15</v>
      </c>
      <c r="I221" t="s">
        <v>95</v>
      </c>
      <c r="J221" t="s">
        <v>401</v>
      </c>
      <c r="K221" t="s">
        <v>308</v>
      </c>
      <c r="L221" s="1">
        <v>45992</v>
      </c>
      <c r="M221" t="s">
        <v>715</v>
      </c>
      <c r="N221" t="e" vm="2">
        <v>#VALUE!</v>
      </c>
      <c r="O221" t="str" cm="1">
        <f t="array" aca="1" ref="O221" ca="1">_FV(N221,"Name")</f>
        <v>Spain</v>
      </c>
      <c r="P221" t="s">
        <v>11</v>
      </c>
      <c r="R221" t="s">
        <v>775</v>
      </c>
      <c r="S221" s="1">
        <v>45992</v>
      </c>
      <c r="U221">
        <v>1</v>
      </c>
      <c r="V221">
        <v>0</v>
      </c>
      <c r="W221">
        <v>0</v>
      </c>
    </row>
    <row r="222" spans="1:23" x14ac:dyDescent="0.4">
      <c r="A222" t="s">
        <v>543</v>
      </c>
      <c r="D222" s="1">
        <v>45986</v>
      </c>
      <c r="E222" t="s">
        <v>542</v>
      </c>
      <c r="I222" t="s">
        <v>95</v>
      </c>
      <c r="J222" t="s">
        <v>401</v>
      </c>
      <c r="M222" t="s">
        <v>541</v>
      </c>
      <c r="N222" t="e" vm="1">
        <v>#VALUE!</v>
      </c>
      <c r="O222" t="str" cm="1">
        <f t="array" aca="1" ref="O222" ca="1">_FV(N222,"Name")</f>
        <v>United States</v>
      </c>
      <c r="P222" t="s">
        <v>11</v>
      </c>
      <c r="R222" t="s">
        <v>775</v>
      </c>
      <c r="S222" s="1">
        <v>45992</v>
      </c>
      <c r="U222">
        <v>1</v>
      </c>
      <c r="V222">
        <v>0</v>
      </c>
      <c r="W222">
        <v>0</v>
      </c>
    </row>
    <row r="223" spans="1:23" x14ac:dyDescent="0.4">
      <c r="A223" t="s">
        <v>520</v>
      </c>
      <c r="D223" s="1">
        <v>45986</v>
      </c>
      <c r="E223" t="s">
        <v>39</v>
      </c>
      <c r="I223" t="s">
        <v>95</v>
      </c>
      <c r="J223" t="s">
        <v>401</v>
      </c>
      <c r="M223" t="s">
        <v>519</v>
      </c>
      <c r="N223" t="e" vm="1">
        <v>#VALUE!</v>
      </c>
      <c r="O223" t="str" cm="1">
        <f t="array" aca="1" ref="O223" ca="1">_FV(N223,"Name")</f>
        <v>United States</v>
      </c>
      <c r="P223" t="s">
        <v>25</v>
      </c>
      <c r="R223" t="s">
        <v>775</v>
      </c>
      <c r="S223" s="1">
        <v>45991</v>
      </c>
      <c r="U223">
        <v>1</v>
      </c>
      <c r="V223">
        <v>1</v>
      </c>
      <c r="W223">
        <v>0</v>
      </c>
    </row>
    <row r="224" spans="1:23" x14ac:dyDescent="0.4">
      <c r="A224" s="4" t="s">
        <v>709</v>
      </c>
      <c r="C224" t="s">
        <v>710</v>
      </c>
      <c r="D224" s="1">
        <v>45986</v>
      </c>
      <c r="E224" t="s">
        <v>15</v>
      </c>
      <c r="I224" t="s">
        <v>95</v>
      </c>
      <c r="J224" t="s">
        <v>401</v>
      </c>
      <c r="K224" t="s">
        <v>308</v>
      </c>
      <c r="L224" s="1">
        <v>45992</v>
      </c>
      <c r="M224" t="s">
        <v>708</v>
      </c>
      <c r="N224" t="e" vm="2">
        <v>#VALUE!</v>
      </c>
      <c r="O224" t="str" cm="1">
        <f t="array" aca="1" ref="O224" ca="1">_FV(N224,"Name")</f>
        <v>Spain</v>
      </c>
      <c r="P224" t="s">
        <v>11</v>
      </c>
      <c r="R224" t="s">
        <v>775</v>
      </c>
      <c r="S224" s="1">
        <v>46006</v>
      </c>
      <c r="U224">
        <v>1</v>
      </c>
      <c r="V224">
        <v>0</v>
      </c>
      <c r="W224">
        <v>0</v>
      </c>
    </row>
    <row r="225" spans="1:23" x14ac:dyDescent="0.4">
      <c r="A225" t="s">
        <v>354</v>
      </c>
      <c r="D225" s="1">
        <v>45986</v>
      </c>
      <c r="E225" t="s">
        <v>356</v>
      </c>
      <c r="I225" t="s">
        <v>95</v>
      </c>
      <c r="J225" t="s">
        <v>401</v>
      </c>
      <c r="M225" t="s">
        <v>353</v>
      </c>
      <c r="N225" t="e" vm="1">
        <v>#VALUE!</v>
      </c>
      <c r="O225" t="str" cm="1">
        <f t="array" aca="1" ref="O225" ca="1">_FV(N225,"Name")</f>
        <v>United States</v>
      </c>
      <c r="P225" t="s">
        <v>11</v>
      </c>
      <c r="R225" t="s">
        <v>775</v>
      </c>
      <c r="S225" s="1">
        <v>46006</v>
      </c>
      <c r="U225">
        <v>1</v>
      </c>
      <c r="V225">
        <v>1</v>
      </c>
      <c r="W225">
        <v>1</v>
      </c>
    </row>
    <row r="226" spans="1:23" x14ac:dyDescent="0.4">
      <c r="A226" t="s">
        <v>743</v>
      </c>
      <c r="C226" t="s">
        <v>745</v>
      </c>
      <c r="D226" s="1">
        <v>45986</v>
      </c>
      <c r="E226" t="s">
        <v>742</v>
      </c>
      <c r="I226" t="s">
        <v>95</v>
      </c>
      <c r="J226" t="s">
        <v>401</v>
      </c>
      <c r="M226" t="s">
        <v>741</v>
      </c>
      <c r="N226" t="e" vm="9">
        <v>#VALUE!</v>
      </c>
      <c r="O226" t="str" cm="1">
        <f t="array" aca="1" ref="O226" ca="1">_FV(N226,"Name")</f>
        <v>Germany</v>
      </c>
      <c r="P226" t="s">
        <v>25</v>
      </c>
      <c r="R226" t="s">
        <v>775</v>
      </c>
      <c r="S226" s="1">
        <v>45992</v>
      </c>
      <c r="U226">
        <v>1</v>
      </c>
      <c r="V226">
        <v>0</v>
      </c>
      <c r="W226">
        <v>0</v>
      </c>
    </row>
    <row r="227" spans="1:23" x14ac:dyDescent="0.4">
      <c r="A227" t="s">
        <v>750</v>
      </c>
      <c r="D227" s="1">
        <v>45986</v>
      </c>
      <c r="E227" t="s">
        <v>15</v>
      </c>
      <c r="I227" t="s">
        <v>95</v>
      </c>
      <c r="J227" t="s">
        <v>401</v>
      </c>
      <c r="M227" t="s">
        <v>749</v>
      </c>
      <c r="N227" t="e" vm="15">
        <v>#VALUE!</v>
      </c>
      <c r="O227" t="str" cm="1">
        <f t="array" aca="1" ref="O227" ca="1">_FV(N227,"Name")</f>
        <v>Switzerland</v>
      </c>
      <c r="R227" t="s">
        <v>775</v>
      </c>
      <c r="S227" s="1">
        <v>46082</v>
      </c>
      <c r="U227">
        <v>1</v>
      </c>
      <c r="V227">
        <v>0</v>
      </c>
      <c r="W227">
        <v>1</v>
      </c>
    </row>
    <row r="228" spans="1:23" x14ac:dyDescent="0.4">
      <c r="A228" t="s">
        <v>751</v>
      </c>
      <c r="D228" s="1">
        <v>45986</v>
      </c>
      <c r="E228" t="s">
        <v>15</v>
      </c>
      <c r="I228" t="s">
        <v>95</v>
      </c>
      <c r="J228" t="s">
        <v>401</v>
      </c>
      <c r="M228" t="s">
        <v>752</v>
      </c>
      <c r="N228" t="e" vm="21">
        <v>#VALUE!</v>
      </c>
      <c r="O228" t="str" cm="1">
        <f t="array" aca="1" ref="O228" ca="1">_FV(N228,"Name")</f>
        <v>United Kingdom</v>
      </c>
      <c r="P228" t="s">
        <v>11</v>
      </c>
      <c r="R228" t="s">
        <v>775</v>
      </c>
      <c r="S228" s="1">
        <v>46053</v>
      </c>
      <c r="U228">
        <v>1</v>
      </c>
      <c r="V228">
        <v>0</v>
      </c>
      <c r="W228">
        <v>0</v>
      </c>
    </row>
    <row r="229" spans="1:23" x14ac:dyDescent="0.4">
      <c r="A229" s="4" t="s">
        <v>754</v>
      </c>
      <c r="C229" t="s">
        <v>763</v>
      </c>
      <c r="D229" s="1">
        <v>45986</v>
      </c>
      <c r="E229" t="s">
        <v>15</v>
      </c>
      <c r="G229">
        <v>1</v>
      </c>
      <c r="I229" t="s">
        <v>95</v>
      </c>
      <c r="J229" t="s">
        <v>401</v>
      </c>
      <c r="K229" t="s">
        <v>308</v>
      </c>
      <c r="L229" s="1">
        <v>45992</v>
      </c>
      <c r="M229" t="s">
        <v>753</v>
      </c>
      <c r="N229" t="e" vm="12">
        <v>#VALUE!</v>
      </c>
      <c r="O229" t="str" cm="1">
        <f t="array" aca="1" ref="O229" ca="1">_FV(N229,"Name")</f>
        <v>Italy</v>
      </c>
      <c r="P229" t="s">
        <v>25</v>
      </c>
      <c r="R229" t="s">
        <v>775</v>
      </c>
      <c r="S229" s="1">
        <v>46053</v>
      </c>
      <c r="U229">
        <v>1</v>
      </c>
      <c r="V229">
        <v>0</v>
      </c>
      <c r="W229">
        <v>0</v>
      </c>
    </row>
    <row r="230" spans="1:23" x14ac:dyDescent="0.4">
      <c r="A230" t="s">
        <v>755</v>
      </c>
      <c r="D230" s="1">
        <v>45986</v>
      </c>
      <c r="E230" t="s">
        <v>15</v>
      </c>
      <c r="I230" t="s">
        <v>95</v>
      </c>
      <c r="J230" t="s">
        <v>401</v>
      </c>
      <c r="M230" t="s">
        <v>756</v>
      </c>
      <c r="N230" t="e" vm="20">
        <v>#VALUE!</v>
      </c>
      <c r="O230" t="str" cm="1">
        <f t="array" aca="1" ref="O230" ca="1">_FV(N230,"Name")</f>
        <v>Denmark</v>
      </c>
      <c r="P230" t="s">
        <v>25</v>
      </c>
      <c r="R230" t="s">
        <v>775</v>
      </c>
      <c r="S230" s="1">
        <v>45991</v>
      </c>
      <c r="U230">
        <v>1</v>
      </c>
      <c r="V230">
        <v>0</v>
      </c>
      <c r="W230">
        <v>0</v>
      </c>
    </row>
    <row r="231" spans="1:23" x14ac:dyDescent="0.4">
      <c r="A231" s="4" t="s">
        <v>757</v>
      </c>
      <c r="D231" s="1">
        <v>45986</v>
      </c>
      <c r="E231" t="s">
        <v>15</v>
      </c>
      <c r="I231" t="s">
        <v>95</v>
      </c>
      <c r="J231" t="s">
        <v>401</v>
      </c>
      <c r="K231" t="s">
        <v>308</v>
      </c>
      <c r="L231" s="1">
        <v>45992</v>
      </c>
      <c r="M231" t="s">
        <v>758</v>
      </c>
      <c r="N231" t="e" vm="7">
        <v>#VALUE!</v>
      </c>
      <c r="O231" t="str" cm="1">
        <f t="array" aca="1" ref="O231" ca="1">_FV(N231,"Name")</f>
        <v>Australia</v>
      </c>
      <c r="P231" t="s">
        <v>11</v>
      </c>
      <c r="R231" t="s">
        <v>775</v>
      </c>
      <c r="S231" s="1">
        <v>46003</v>
      </c>
      <c r="U231">
        <v>1</v>
      </c>
      <c r="V231">
        <v>1</v>
      </c>
      <c r="W231">
        <v>1</v>
      </c>
    </row>
    <row r="232" spans="1:23" x14ac:dyDescent="0.4">
      <c r="A232" t="s">
        <v>759</v>
      </c>
      <c r="D232" s="1">
        <v>45986</v>
      </c>
      <c r="E232" t="s">
        <v>15</v>
      </c>
      <c r="I232" t="s">
        <v>95</v>
      </c>
      <c r="J232" t="s">
        <v>401</v>
      </c>
      <c r="M232" t="s">
        <v>760</v>
      </c>
      <c r="N232" t="e" vm="24">
        <v>#VALUE!</v>
      </c>
      <c r="O232" t="str" cm="1">
        <f t="array" aca="1" ref="O232" ca="1">_FV(N232,"Name")</f>
        <v>Norway</v>
      </c>
      <c r="P232" t="s">
        <v>25</v>
      </c>
      <c r="R232" t="s">
        <v>775</v>
      </c>
      <c r="S232" s="1">
        <v>45991</v>
      </c>
      <c r="U232">
        <v>1</v>
      </c>
      <c r="V232">
        <v>0</v>
      </c>
      <c r="W232">
        <v>0</v>
      </c>
    </row>
    <row r="233" spans="1:23" x14ac:dyDescent="0.4">
      <c r="A233" s="4" t="s">
        <v>762</v>
      </c>
      <c r="D233" s="1">
        <v>45986</v>
      </c>
      <c r="E233" t="s">
        <v>15</v>
      </c>
      <c r="I233" t="s">
        <v>95</v>
      </c>
      <c r="J233" t="s">
        <v>402</v>
      </c>
      <c r="K233" t="s">
        <v>308</v>
      </c>
      <c r="L233" s="1">
        <v>45992</v>
      </c>
      <c r="M233" t="s">
        <v>761</v>
      </c>
      <c r="N233" t="e" vm="26">
        <v>#VALUE!</v>
      </c>
      <c r="O233" t="str" cm="1">
        <f t="array" aca="1" ref="O233" ca="1">_FV(N233,"Name")</f>
        <v>Austria</v>
      </c>
      <c r="P233" t="s">
        <v>25</v>
      </c>
      <c r="R233" t="s">
        <v>775</v>
      </c>
      <c r="S233" s="1">
        <v>45993</v>
      </c>
      <c r="U233">
        <v>1</v>
      </c>
      <c r="V233">
        <v>0</v>
      </c>
      <c r="W233">
        <v>0</v>
      </c>
    </row>
    <row r="234" spans="1:23" x14ac:dyDescent="0.4">
      <c r="A234" s="4" t="s">
        <v>764</v>
      </c>
      <c r="D234" s="1">
        <v>45986</v>
      </c>
      <c r="E234" t="s">
        <v>15</v>
      </c>
      <c r="G234">
        <v>1</v>
      </c>
      <c r="I234" t="s">
        <v>95</v>
      </c>
      <c r="J234" t="s">
        <v>401</v>
      </c>
      <c r="K234" t="s">
        <v>308</v>
      </c>
      <c r="L234" s="1">
        <v>45992</v>
      </c>
      <c r="M234" t="s">
        <v>765</v>
      </c>
      <c r="N234" t="e" vm="32">
        <v>#VALUE!</v>
      </c>
      <c r="O234" t="str" cm="1">
        <f t="array" aca="1" ref="O234" ca="1">_FV(N234,"Name")</f>
        <v>Argentina</v>
      </c>
      <c r="P234" t="s">
        <v>11</v>
      </c>
      <c r="R234" t="s">
        <v>775</v>
      </c>
      <c r="S234" s="1">
        <v>45992</v>
      </c>
      <c r="U234">
        <v>1</v>
      </c>
      <c r="V234">
        <v>0</v>
      </c>
      <c r="W234">
        <v>0</v>
      </c>
    </row>
    <row r="235" spans="1:23" x14ac:dyDescent="0.4">
      <c r="A235" s="4" t="s">
        <v>766</v>
      </c>
      <c r="C235" t="s">
        <v>768</v>
      </c>
      <c r="D235" s="1">
        <v>45986</v>
      </c>
      <c r="E235" t="s">
        <v>15</v>
      </c>
      <c r="G235">
        <v>3</v>
      </c>
      <c r="H235" t="s">
        <v>767</v>
      </c>
      <c r="I235" t="s">
        <v>95</v>
      </c>
      <c r="J235" t="s">
        <v>403</v>
      </c>
      <c r="K235" t="s">
        <v>308</v>
      </c>
      <c r="L235" s="1">
        <v>45992</v>
      </c>
      <c r="M235" t="s">
        <v>290</v>
      </c>
      <c r="N235" t="e" vm="7">
        <v>#VALUE!</v>
      </c>
      <c r="O235" t="str" cm="1">
        <f t="array" aca="1" ref="O235" ca="1">_FV(N235,"Name")</f>
        <v>Australia</v>
      </c>
      <c r="P235" t="s">
        <v>25</v>
      </c>
      <c r="R235" t="s">
        <v>775</v>
      </c>
      <c r="S235" s="1">
        <v>45992</v>
      </c>
      <c r="U235">
        <v>1</v>
      </c>
      <c r="V235">
        <v>0</v>
      </c>
      <c r="W235">
        <v>0</v>
      </c>
    </row>
    <row r="236" spans="1:23" x14ac:dyDescent="0.4">
      <c r="A236" s="4" t="s">
        <v>770</v>
      </c>
      <c r="C236" t="s">
        <v>772</v>
      </c>
      <c r="D236" s="1">
        <v>45986</v>
      </c>
      <c r="E236" t="s">
        <v>15</v>
      </c>
      <c r="I236" t="s">
        <v>95</v>
      </c>
      <c r="J236" t="s">
        <v>401</v>
      </c>
      <c r="K236" t="s">
        <v>308</v>
      </c>
      <c r="L236" s="1">
        <v>45992</v>
      </c>
      <c r="M236" t="s">
        <v>771</v>
      </c>
      <c r="N236" t="e" vm="20">
        <v>#VALUE!</v>
      </c>
      <c r="O236" t="str" cm="1">
        <f t="array" aca="1" ref="O236" ca="1">_FV(N236,"Name")</f>
        <v>Denmark</v>
      </c>
      <c r="P236" t="s">
        <v>11</v>
      </c>
      <c r="R236" t="s">
        <v>775</v>
      </c>
      <c r="S236" s="1">
        <v>45989</v>
      </c>
      <c r="U236">
        <v>1</v>
      </c>
      <c r="V236">
        <v>0</v>
      </c>
      <c r="W236">
        <v>0</v>
      </c>
    </row>
    <row r="237" spans="1:23" x14ac:dyDescent="0.4">
      <c r="A237" t="s">
        <v>413</v>
      </c>
      <c r="D237" s="1">
        <v>45992</v>
      </c>
      <c r="E237" t="s">
        <v>39</v>
      </c>
      <c r="I237" t="s">
        <v>95</v>
      </c>
      <c r="J237" t="s">
        <v>401</v>
      </c>
      <c r="M237" t="s">
        <v>414</v>
      </c>
      <c r="N237" t="e" vm="1">
        <v>#VALUE!</v>
      </c>
      <c r="O237" t="str" cm="1">
        <f t="array" aca="1" ref="O237" ca="1">_FV(N237,"Name")</f>
        <v>United States</v>
      </c>
      <c r="P237" t="s">
        <v>25</v>
      </c>
      <c r="R237" t="s">
        <v>775</v>
      </c>
      <c r="S237" s="1">
        <v>45688</v>
      </c>
      <c r="U237">
        <v>1</v>
      </c>
      <c r="V237">
        <v>1</v>
      </c>
      <c r="W237">
        <v>0</v>
      </c>
    </row>
    <row r="238" spans="1:23" x14ac:dyDescent="0.4">
      <c r="A238" t="s">
        <v>654</v>
      </c>
      <c r="D238" s="1">
        <v>45992</v>
      </c>
      <c r="E238" t="s">
        <v>15</v>
      </c>
      <c r="I238" t="s">
        <v>95</v>
      </c>
      <c r="J238" t="s">
        <v>401</v>
      </c>
      <c r="M238" t="s">
        <v>653</v>
      </c>
      <c r="N238" t="e" vm="35">
        <v>#VALUE!</v>
      </c>
      <c r="O238" t="str" cm="1">
        <f t="array" aca="1" ref="O238" ca="1">_FV(N238,"Name")</f>
        <v>Turkey</v>
      </c>
      <c r="P238" t="s">
        <v>11</v>
      </c>
      <c r="R238" t="s">
        <v>775</v>
      </c>
      <c r="S238" s="1">
        <v>46006</v>
      </c>
      <c r="U238">
        <v>1</v>
      </c>
      <c r="V238">
        <v>0</v>
      </c>
      <c r="W238">
        <v>0</v>
      </c>
    </row>
    <row r="239" spans="1:23" x14ac:dyDescent="0.4">
      <c r="A239" t="s">
        <v>612</v>
      </c>
      <c r="D239" s="1">
        <v>45992</v>
      </c>
      <c r="E239" t="s">
        <v>15</v>
      </c>
      <c r="I239" t="s">
        <v>95</v>
      </c>
      <c r="J239" t="s">
        <v>401</v>
      </c>
      <c r="M239" t="s">
        <v>611</v>
      </c>
      <c r="N239" t="e" vm="35">
        <v>#VALUE!</v>
      </c>
      <c r="O239" t="str" cm="1">
        <f t="array" aca="1" ref="O239" ca="1">_FV(N239,"Name")</f>
        <v>Turkey</v>
      </c>
      <c r="P239" t="s">
        <v>11</v>
      </c>
      <c r="R239" t="s">
        <v>775</v>
      </c>
      <c r="S239" s="1">
        <v>46006</v>
      </c>
      <c r="U239">
        <v>1</v>
      </c>
      <c r="V239">
        <v>1</v>
      </c>
      <c r="W239">
        <v>1</v>
      </c>
    </row>
    <row r="240" spans="1:23" x14ac:dyDescent="0.4">
      <c r="A240" s="4" t="s">
        <v>713</v>
      </c>
      <c r="D240" s="1">
        <v>45992</v>
      </c>
      <c r="E240" t="s">
        <v>15</v>
      </c>
      <c r="F240" t="s">
        <v>712</v>
      </c>
      <c r="H240" s="2" t="s">
        <v>714</v>
      </c>
      <c r="I240" t="s">
        <v>95</v>
      </c>
      <c r="J240" t="s">
        <v>401</v>
      </c>
      <c r="M240" t="s">
        <v>711</v>
      </c>
      <c r="N240" t="e" vm="33">
        <v>#VALUE!</v>
      </c>
      <c r="O240" t="str" cm="1">
        <f t="array" aca="1" ref="O240" ca="1">_FV(N240,"Name")</f>
        <v>Czech Republic</v>
      </c>
      <c r="P240" t="s">
        <v>11</v>
      </c>
      <c r="R240" t="s">
        <v>775</v>
      </c>
      <c r="S240" s="1">
        <v>46040</v>
      </c>
      <c r="U240">
        <v>1</v>
      </c>
      <c r="V240">
        <v>0</v>
      </c>
      <c r="W240">
        <v>0</v>
      </c>
    </row>
    <row r="241" spans="1:23" x14ac:dyDescent="0.4">
      <c r="A241" t="s">
        <v>567</v>
      </c>
      <c r="D241" s="1">
        <v>45992</v>
      </c>
      <c r="E241" t="s">
        <v>568</v>
      </c>
      <c r="I241" t="s">
        <v>95</v>
      </c>
      <c r="J241" t="s">
        <v>402</v>
      </c>
      <c r="M241" t="s">
        <v>569</v>
      </c>
      <c r="N241" t="e" vm="1">
        <v>#VALUE!</v>
      </c>
      <c r="O241" t="str" cm="1">
        <f t="array" aca="1" ref="O241" ca="1">_FV(N241,"Name")</f>
        <v>United States</v>
      </c>
      <c r="R241" t="s">
        <v>775</v>
      </c>
      <c r="S241" s="1">
        <v>46053</v>
      </c>
      <c r="U241">
        <v>0</v>
      </c>
      <c r="V241">
        <v>0</v>
      </c>
      <c r="W241">
        <v>0</v>
      </c>
    </row>
    <row r="242" spans="1:23" x14ac:dyDescent="0.4">
      <c r="A242" t="s">
        <v>790</v>
      </c>
      <c r="D242" s="1">
        <v>45992</v>
      </c>
      <c r="E242" t="s">
        <v>15</v>
      </c>
      <c r="H242" t="s">
        <v>801</v>
      </c>
      <c r="I242" t="s">
        <v>95</v>
      </c>
      <c r="J242" t="s">
        <v>401</v>
      </c>
      <c r="M242" t="s">
        <v>184</v>
      </c>
      <c r="N242" t="e" vm="9">
        <v>#VALUE!</v>
      </c>
      <c r="O242" t="str" cm="1">
        <f t="array" aca="1" ref="O242" ca="1">_FV(N242,"Name")</f>
        <v>Germany</v>
      </c>
      <c r="P242" t="s">
        <v>25</v>
      </c>
      <c r="R242" t="s">
        <v>775</v>
      </c>
      <c r="S242" s="1">
        <v>46022</v>
      </c>
      <c r="U242">
        <v>1</v>
      </c>
      <c r="V242">
        <v>0</v>
      </c>
      <c r="W242">
        <v>0</v>
      </c>
    </row>
    <row r="243" spans="1:23" x14ac:dyDescent="0.4">
      <c r="A243" t="s">
        <v>791</v>
      </c>
      <c r="C243" t="s">
        <v>793</v>
      </c>
      <c r="D243" s="1">
        <v>45992</v>
      </c>
      <c r="E243" t="s">
        <v>15</v>
      </c>
      <c r="F243" s="2" t="s">
        <v>794</v>
      </c>
      <c r="I243" t="s">
        <v>95</v>
      </c>
      <c r="J243" t="s">
        <v>401</v>
      </c>
      <c r="M243" t="s">
        <v>792</v>
      </c>
      <c r="N243" t="e" vm="9">
        <v>#VALUE!</v>
      </c>
      <c r="O243" t="str" cm="1">
        <f t="array" aca="1" ref="O243" ca="1">_FV(N243,"Name")</f>
        <v>Germany</v>
      </c>
      <c r="P243" t="s">
        <v>25</v>
      </c>
      <c r="R243" t="s">
        <v>775</v>
      </c>
      <c r="S243" s="1">
        <v>46053</v>
      </c>
      <c r="U243">
        <v>1</v>
      </c>
      <c r="V243">
        <v>0</v>
      </c>
      <c r="W243">
        <v>0</v>
      </c>
    </row>
    <row r="244" spans="1:23" x14ac:dyDescent="0.4">
      <c r="A244" t="s">
        <v>795</v>
      </c>
      <c r="D244" s="1">
        <v>45992</v>
      </c>
      <c r="E244" t="s">
        <v>15</v>
      </c>
      <c r="H244" t="s">
        <v>796</v>
      </c>
      <c r="I244" t="s">
        <v>95</v>
      </c>
      <c r="J244" t="s">
        <v>401</v>
      </c>
      <c r="M244" t="s">
        <v>749</v>
      </c>
      <c r="N244" t="e" vm="15">
        <v>#VALUE!</v>
      </c>
      <c r="O244" t="str" cm="1">
        <f t="array" aca="1" ref="O244" ca="1">_FV(N244,"Name")</f>
        <v>Switzerland</v>
      </c>
      <c r="P244" t="s">
        <v>25</v>
      </c>
      <c r="R244" t="s">
        <v>775</v>
      </c>
      <c r="S244" s="1">
        <v>46054</v>
      </c>
      <c r="U244">
        <v>1</v>
      </c>
      <c r="V244">
        <v>0</v>
      </c>
      <c r="W244">
        <v>0</v>
      </c>
    </row>
    <row r="245" spans="1:23" x14ac:dyDescent="0.4">
      <c r="A245" t="s">
        <v>797</v>
      </c>
      <c r="C245" t="s">
        <v>799</v>
      </c>
      <c r="D245" s="1">
        <v>45992</v>
      </c>
      <c r="E245" t="s">
        <v>39</v>
      </c>
      <c r="I245" t="s">
        <v>95</v>
      </c>
      <c r="J245" t="s">
        <v>401</v>
      </c>
      <c r="M245" t="s">
        <v>798</v>
      </c>
      <c r="N245" t="e" vm="21">
        <v>#VALUE!</v>
      </c>
      <c r="O245" t="str" cm="1">
        <f t="array" aca="1" ref="O245" ca="1">_FV(N245,"Name")</f>
        <v>United Kingdom</v>
      </c>
      <c r="P245" t="s">
        <v>11</v>
      </c>
      <c r="R245" t="s">
        <v>775</v>
      </c>
      <c r="S245" s="1">
        <v>46026</v>
      </c>
      <c r="U245">
        <v>1</v>
      </c>
      <c r="V245">
        <v>0</v>
      </c>
      <c r="W245">
        <v>0</v>
      </c>
    </row>
    <row r="246" spans="1:23" x14ac:dyDescent="0.4">
      <c r="A246" t="s">
        <v>863</v>
      </c>
      <c r="D246" s="1">
        <v>45996</v>
      </c>
      <c r="E246" t="s">
        <v>15</v>
      </c>
      <c r="F246" s="2" t="s">
        <v>864</v>
      </c>
      <c r="I246" t="s">
        <v>95</v>
      </c>
      <c r="J246" t="s">
        <v>401</v>
      </c>
      <c r="M246" t="s">
        <v>719</v>
      </c>
      <c r="N246" t="e" vm="20">
        <v>#VALUE!</v>
      </c>
      <c r="O246" t="str" cm="1">
        <f t="array" aca="1" ref="O246" ca="1">_FV(N246,"Name")</f>
        <v>Denmark</v>
      </c>
      <c r="P246" t="s">
        <v>25</v>
      </c>
      <c r="R246" t="s">
        <v>775</v>
      </c>
      <c r="S246" s="1">
        <v>46005</v>
      </c>
      <c r="U246">
        <v>1</v>
      </c>
      <c r="V246">
        <v>0</v>
      </c>
      <c r="W246">
        <v>0</v>
      </c>
    </row>
    <row r="247" spans="1:23" x14ac:dyDescent="0.4">
      <c r="A247" t="s">
        <v>865</v>
      </c>
      <c r="D247" s="1">
        <v>45996</v>
      </c>
      <c r="E247" t="s">
        <v>15</v>
      </c>
      <c r="I247" t="s">
        <v>95</v>
      </c>
      <c r="J247" t="s">
        <v>401</v>
      </c>
      <c r="M247" t="s">
        <v>396</v>
      </c>
      <c r="N247" t="e" vm="15">
        <v>#VALUE!</v>
      </c>
      <c r="O247" t="str" cm="1">
        <f t="array" aca="1" ref="O247" ca="1">_FV(N247,"Name")</f>
        <v>Switzerland</v>
      </c>
      <c r="P247" t="s">
        <v>25</v>
      </c>
      <c r="R247" t="s">
        <v>775</v>
      </c>
      <c r="S247" s="1">
        <v>46001</v>
      </c>
      <c r="U247">
        <v>1</v>
      </c>
      <c r="V247">
        <v>0</v>
      </c>
      <c r="W247">
        <v>0</v>
      </c>
    </row>
    <row r="248" spans="1:23" x14ac:dyDescent="0.4">
      <c r="A248" t="s">
        <v>783</v>
      </c>
      <c r="D248" s="1">
        <v>46006</v>
      </c>
      <c r="E248" t="s">
        <v>39</v>
      </c>
      <c r="F248" t="s">
        <v>784</v>
      </c>
      <c r="I248" t="s">
        <v>95</v>
      </c>
      <c r="J248" t="s">
        <v>401</v>
      </c>
      <c r="K248" t="s">
        <v>243</v>
      </c>
      <c r="L248" s="1">
        <v>46027</v>
      </c>
      <c r="M248" t="s">
        <v>785</v>
      </c>
      <c r="N248" t="e" vm="1">
        <v>#VALUE!</v>
      </c>
      <c r="O248" t="str" cm="1">
        <f t="array" aca="1" ref="O248" ca="1">_FV(N248,"Name")</f>
        <v>United States</v>
      </c>
      <c r="P248" t="s">
        <v>25</v>
      </c>
      <c r="R248" t="s">
        <v>775</v>
      </c>
      <c r="S248" s="1">
        <v>46026</v>
      </c>
      <c r="U248">
        <v>1</v>
      </c>
      <c r="V248">
        <v>0</v>
      </c>
      <c r="W248">
        <v>0</v>
      </c>
    </row>
    <row r="249" spans="1:23" x14ac:dyDescent="0.4">
      <c r="A249" t="s">
        <v>837</v>
      </c>
      <c r="D249" s="1">
        <v>46006</v>
      </c>
      <c r="E249" t="s">
        <v>840</v>
      </c>
      <c r="H249" t="s">
        <v>838</v>
      </c>
      <c r="I249" t="s">
        <v>95</v>
      </c>
      <c r="J249" t="s">
        <v>401</v>
      </c>
      <c r="M249" t="s">
        <v>839</v>
      </c>
      <c r="N249" t="e" vm="14">
        <v>#VALUE!</v>
      </c>
      <c r="O249" t="str" cm="1">
        <f t="array" aca="1" ref="O249" ca="1">_FV(N249,"Name")</f>
        <v>Sweden</v>
      </c>
      <c r="P249" t="s">
        <v>25</v>
      </c>
      <c r="R249" t="s">
        <v>775</v>
      </c>
      <c r="S249" s="1">
        <v>46022</v>
      </c>
      <c r="U249">
        <v>1</v>
      </c>
      <c r="V249">
        <v>0</v>
      </c>
      <c r="W249">
        <v>0</v>
      </c>
    </row>
    <row r="250" spans="1:23" x14ac:dyDescent="0.4">
      <c r="A250" t="s">
        <v>661</v>
      </c>
      <c r="D250" s="1">
        <v>46011</v>
      </c>
      <c r="E250" t="s">
        <v>15</v>
      </c>
      <c r="H250" t="s">
        <v>663</v>
      </c>
      <c r="I250" t="s">
        <v>95</v>
      </c>
      <c r="J250" t="s">
        <v>401</v>
      </c>
      <c r="M250" t="s">
        <v>662</v>
      </c>
      <c r="N250" t="e" vm="12">
        <v>#VALUE!</v>
      </c>
      <c r="O250" t="str" cm="1">
        <f t="array" aca="1" ref="O250" ca="1">_FV(N250,"Name")</f>
        <v>Italy</v>
      </c>
      <c r="P250" t="s">
        <v>25</v>
      </c>
      <c r="R250" t="s">
        <v>775</v>
      </c>
      <c r="S250" s="1">
        <v>46037</v>
      </c>
      <c r="U250">
        <v>1</v>
      </c>
      <c r="V250">
        <v>0</v>
      </c>
      <c r="W250">
        <v>0</v>
      </c>
    </row>
    <row r="251" spans="1:23" x14ac:dyDescent="0.4">
      <c r="A251" t="s">
        <v>721</v>
      </c>
      <c r="C251" t="s">
        <v>722</v>
      </c>
      <c r="D251" s="1">
        <v>46016</v>
      </c>
      <c r="E251" t="s">
        <v>15</v>
      </c>
      <c r="F251" t="s">
        <v>720</v>
      </c>
      <c r="I251" t="s">
        <v>95</v>
      </c>
      <c r="J251" t="s">
        <v>402</v>
      </c>
      <c r="M251" t="s">
        <v>719</v>
      </c>
      <c r="N251" t="e" vm="20">
        <v>#VALUE!</v>
      </c>
      <c r="O251" t="str" cm="1">
        <f t="array" aca="1" ref="O251" ca="1">_FV(N251,"Name")</f>
        <v>Denmark</v>
      </c>
      <c r="P251" t="s">
        <v>25</v>
      </c>
      <c r="R251" t="s">
        <v>775</v>
      </c>
      <c r="S251" s="1">
        <v>45992</v>
      </c>
      <c r="U251">
        <v>1</v>
      </c>
      <c r="V251">
        <v>0</v>
      </c>
      <c r="W251">
        <v>0</v>
      </c>
    </row>
    <row r="252" spans="1:23" x14ac:dyDescent="0.4">
      <c r="A252" s="4" t="s">
        <v>718</v>
      </c>
      <c r="B252" s="19"/>
      <c r="C252" t="s">
        <v>782</v>
      </c>
      <c r="D252" s="1">
        <v>46016</v>
      </c>
      <c r="E252" t="s">
        <v>15</v>
      </c>
      <c r="G252">
        <v>3</v>
      </c>
      <c r="I252" t="s">
        <v>95</v>
      </c>
      <c r="J252" t="s">
        <v>401</v>
      </c>
      <c r="K252" t="s">
        <v>308</v>
      </c>
      <c r="L252" s="1">
        <v>45992</v>
      </c>
      <c r="M252" s="2" t="s">
        <v>717</v>
      </c>
      <c r="N252" t="e" vm="12">
        <v>#VALUE!</v>
      </c>
      <c r="O252" t="str" cm="1">
        <f t="array" aca="1" ref="O252" ca="1">_FV(N252,"Name")</f>
        <v>Italy</v>
      </c>
      <c r="P252" t="s">
        <v>11</v>
      </c>
      <c r="R252" t="s">
        <v>775</v>
      </c>
      <c r="S252" s="1">
        <v>45996</v>
      </c>
      <c r="U252">
        <v>1</v>
      </c>
      <c r="V252">
        <v>0</v>
      </c>
      <c r="W252">
        <v>0</v>
      </c>
    </row>
    <row r="253" spans="1:23" x14ac:dyDescent="0.4">
      <c r="A253" t="s">
        <v>786</v>
      </c>
      <c r="D253" s="1">
        <v>46016</v>
      </c>
      <c r="E253" t="s">
        <v>15</v>
      </c>
      <c r="I253" t="s">
        <v>95</v>
      </c>
      <c r="J253" t="s">
        <v>401</v>
      </c>
      <c r="M253" t="s">
        <v>787</v>
      </c>
      <c r="N253" t="e" vm="9">
        <v>#VALUE!</v>
      </c>
      <c r="O253" t="str" cm="1">
        <f t="array" aca="1" ref="O253" ca="1">_FV(N253,"Name")</f>
        <v>Germany</v>
      </c>
      <c r="R253" t="s">
        <v>775</v>
      </c>
      <c r="S253" s="1">
        <v>45992</v>
      </c>
      <c r="U253">
        <v>0</v>
      </c>
      <c r="V253">
        <v>0</v>
      </c>
      <c r="W253">
        <v>0</v>
      </c>
    </row>
    <row r="254" spans="1:23" x14ac:dyDescent="0.4">
      <c r="A254" t="s">
        <v>789</v>
      </c>
      <c r="D254" s="1">
        <v>46016</v>
      </c>
      <c r="E254" t="s">
        <v>15</v>
      </c>
      <c r="I254" t="s">
        <v>95</v>
      </c>
      <c r="J254" t="s">
        <v>401</v>
      </c>
      <c r="M254" t="s">
        <v>788</v>
      </c>
      <c r="N254" t="e" vm="22">
        <v>#VALUE!</v>
      </c>
      <c r="O254" t="str" cm="1">
        <f t="array" aca="1" ref="O254" ca="1">_FV(N254,"Name")</f>
        <v>Portugal</v>
      </c>
      <c r="P254" t="s">
        <v>11</v>
      </c>
      <c r="R254" t="s">
        <v>775</v>
      </c>
      <c r="S254" s="1">
        <v>45992</v>
      </c>
      <c r="U254">
        <v>1</v>
      </c>
      <c r="V254">
        <v>0</v>
      </c>
      <c r="W254">
        <v>0</v>
      </c>
    </row>
    <row r="255" spans="1:23" x14ac:dyDescent="0.4">
      <c r="A255" t="s">
        <v>527</v>
      </c>
      <c r="C255" t="s">
        <v>177</v>
      </c>
      <c r="D255" s="1">
        <v>46023</v>
      </c>
      <c r="E255" t="s">
        <v>528</v>
      </c>
      <c r="I255" t="s">
        <v>95</v>
      </c>
      <c r="J255" t="s">
        <v>401</v>
      </c>
      <c r="M255" t="s">
        <v>529</v>
      </c>
      <c r="N255" t="e" vm="1">
        <v>#VALUE!</v>
      </c>
      <c r="O255" t="str" cm="1">
        <f t="array" aca="1" ref="O255" ca="1">_FV(N255,"Name")</f>
        <v>United States</v>
      </c>
      <c r="P255" t="s">
        <v>19</v>
      </c>
      <c r="R255" t="s">
        <v>775</v>
      </c>
      <c r="S255" s="1">
        <v>46041</v>
      </c>
      <c r="U255">
        <v>1</v>
      </c>
      <c r="V255">
        <v>0</v>
      </c>
      <c r="W255">
        <v>1</v>
      </c>
    </row>
    <row r="256" spans="1:23" x14ac:dyDescent="0.4">
      <c r="A256" t="s">
        <v>563</v>
      </c>
      <c r="D256" s="1">
        <v>46023</v>
      </c>
      <c r="E256" t="s">
        <v>564</v>
      </c>
      <c r="I256" t="s">
        <v>95</v>
      </c>
      <c r="J256" t="s">
        <v>401</v>
      </c>
      <c r="M256" t="s">
        <v>565</v>
      </c>
      <c r="N256" t="e" vm="1">
        <v>#VALUE!</v>
      </c>
      <c r="O256" t="str" cm="1">
        <f t="array" aca="1" ref="O256" ca="1">_FV(N256,"Name")</f>
        <v>United States</v>
      </c>
      <c r="P256" t="s">
        <v>25</v>
      </c>
      <c r="R256" t="s">
        <v>775</v>
      </c>
      <c r="S256" s="1">
        <v>45664</v>
      </c>
      <c r="U256">
        <v>1</v>
      </c>
      <c r="V256">
        <v>0</v>
      </c>
      <c r="W256">
        <v>0</v>
      </c>
    </row>
    <row r="257" spans="1:23" x14ac:dyDescent="0.4">
      <c r="A257" t="s">
        <v>803</v>
      </c>
      <c r="D257" s="1">
        <v>46023</v>
      </c>
      <c r="E257" s="2" t="s">
        <v>802</v>
      </c>
      <c r="F257" s="2" t="s">
        <v>805</v>
      </c>
      <c r="I257" t="s">
        <v>95</v>
      </c>
      <c r="J257" t="s">
        <v>401</v>
      </c>
      <c r="M257" t="s">
        <v>804</v>
      </c>
      <c r="N257" t="e" vm="1">
        <v>#VALUE!</v>
      </c>
      <c r="O257" t="str" cm="1">
        <f t="array" aca="1" ref="O257" ca="1">_FV(N257,"Name")</f>
        <v>United States</v>
      </c>
      <c r="P257" t="s">
        <v>25</v>
      </c>
      <c r="R257" t="s">
        <v>775</v>
      </c>
      <c r="S257" s="1">
        <v>46038</v>
      </c>
      <c r="U257">
        <v>1</v>
      </c>
      <c r="V257">
        <v>0</v>
      </c>
      <c r="W257">
        <v>0</v>
      </c>
    </row>
    <row r="258" spans="1:23" x14ac:dyDescent="0.4">
      <c r="A258" t="s">
        <v>806</v>
      </c>
      <c r="D258" s="1">
        <v>46023</v>
      </c>
      <c r="E258" t="s">
        <v>15</v>
      </c>
      <c r="I258" t="s">
        <v>95</v>
      </c>
      <c r="J258" t="s">
        <v>401</v>
      </c>
      <c r="M258" t="s">
        <v>807</v>
      </c>
      <c r="N258" t="e" vm="4">
        <v>#VALUE!</v>
      </c>
      <c r="O258" t="str" cm="1">
        <f t="array" aca="1" ref="O258" ca="1">_FV(N258,"Name")</f>
        <v>France</v>
      </c>
      <c r="P258" t="s">
        <v>11</v>
      </c>
      <c r="R258" t="s">
        <v>775</v>
      </c>
      <c r="S258" s="1">
        <v>46052</v>
      </c>
      <c r="U258">
        <v>1</v>
      </c>
      <c r="V258">
        <v>0</v>
      </c>
      <c r="W258">
        <v>0</v>
      </c>
    </row>
    <row r="259" spans="1:23" x14ac:dyDescent="0.4">
      <c r="A259" t="s">
        <v>808</v>
      </c>
      <c r="C259" t="s">
        <v>811</v>
      </c>
      <c r="D259" s="1">
        <v>46023</v>
      </c>
      <c r="E259" t="s">
        <v>39</v>
      </c>
      <c r="F259" t="s">
        <v>810</v>
      </c>
      <c r="H259" t="s">
        <v>812</v>
      </c>
      <c r="I259" t="s">
        <v>95</v>
      </c>
      <c r="J259" t="s">
        <v>401</v>
      </c>
      <c r="M259" t="s">
        <v>809</v>
      </c>
      <c r="N259" t="e" vm="1">
        <v>#VALUE!</v>
      </c>
      <c r="O259" t="str" cm="1">
        <f t="array" aca="1" ref="O259" ca="1">_FV(N259,"Name")</f>
        <v>United States</v>
      </c>
      <c r="P259" t="s">
        <v>11</v>
      </c>
      <c r="R259" t="s">
        <v>775</v>
      </c>
      <c r="S259" s="1">
        <v>46037</v>
      </c>
      <c r="U259">
        <v>1</v>
      </c>
      <c r="V259">
        <v>0</v>
      </c>
      <c r="W259">
        <v>0</v>
      </c>
    </row>
    <row r="260" spans="1:23" x14ac:dyDescent="0.4">
      <c r="A260" t="s">
        <v>813</v>
      </c>
      <c r="D260" s="1">
        <v>46023</v>
      </c>
      <c r="E260" t="s">
        <v>39</v>
      </c>
      <c r="F260" s="2" t="s">
        <v>814</v>
      </c>
      <c r="I260" t="s">
        <v>95</v>
      </c>
      <c r="J260" t="s">
        <v>401</v>
      </c>
      <c r="M260" t="s">
        <v>815</v>
      </c>
      <c r="N260" t="e" vm="1">
        <v>#VALUE!</v>
      </c>
      <c r="O260" t="str" cm="1">
        <f t="array" aca="1" ref="O260" ca="1">_FV(N260,"Name")</f>
        <v>United States</v>
      </c>
      <c r="P260" t="s">
        <v>11</v>
      </c>
      <c r="R260" t="s">
        <v>775</v>
      </c>
      <c r="S260" s="1">
        <v>46066</v>
      </c>
      <c r="U260">
        <v>1</v>
      </c>
      <c r="V260">
        <v>0</v>
      </c>
      <c r="W260">
        <v>0</v>
      </c>
    </row>
    <row r="261" spans="1:23" x14ac:dyDescent="0.4">
      <c r="A261" t="s">
        <v>816</v>
      </c>
      <c r="D261" s="1">
        <v>46023</v>
      </c>
      <c r="E261" t="s">
        <v>39</v>
      </c>
      <c r="F261" t="s">
        <v>817</v>
      </c>
      <c r="I261" t="s">
        <v>95</v>
      </c>
      <c r="J261" t="s">
        <v>401</v>
      </c>
      <c r="M261" t="s">
        <v>818</v>
      </c>
      <c r="N261" t="e" vm="3">
        <v>#VALUE!</v>
      </c>
      <c r="O261" t="str" cm="1">
        <f t="array" aca="1" ref="O261" ca="1">_FV(N261,"Name")</f>
        <v>Japan</v>
      </c>
      <c r="P261" t="s">
        <v>11</v>
      </c>
      <c r="R261" t="s">
        <v>775</v>
      </c>
      <c r="S261" s="1">
        <v>46052</v>
      </c>
      <c r="U261">
        <v>1</v>
      </c>
      <c r="V261">
        <v>0</v>
      </c>
      <c r="W261">
        <v>0</v>
      </c>
    </row>
    <row r="262" spans="1:23" x14ac:dyDescent="0.4">
      <c r="A262" t="s">
        <v>820</v>
      </c>
      <c r="D262" s="1">
        <v>46023</v>
      </c>
      <c r="E262" t="s">
        <v>39</v>
      </c>
      <c r="F262" s="2" t="s">
        <v>821</v>
      </c>
      <c r="I262" t="s">
        <v>95</v>
      </c>
      <c r="J262" t="s">
        <v>401</v>
      </c>
      <c r="M262" t="s">
        <v>819</v>
      </c>
      <c r="N262" t="e" vm="1">
        <v>#VALUE!</v>
      </c>
      <c r="O262" t="str" cm="1">
        <f t="array" aca="1" ref="O262" ca="1">_FV(N262,"Name")</f>
        <v>United States</v>
      </c>
      <c r="P262" t="s">
        <v>11</v>
      </c>
      <c r="R262" t="s">
        <v>775</v>
      </c>
      <c r="S262" s="1">
        <v>46113</v>
      </c>
      <c r="U262">
        <v>1</v>
      </c>
      <c r="V262">
        <v>0</v>
      </c>
      <c r="W262">
        <v>0</v>
      </c>
    </row>
    <row r="263" spans="1:23" x14ac:dyDescent="0.4">
      <c r="A263" t="s">
        <v>822</v>
      </c>
      <c r="C263" t="s">
        <v>828</v>
      </c>
      <c r="D263" s="1">
        <v>46023</v>
      </c>
      <c r="E263" t="s">
        <v>39</v>
      </c>
      <c r="F263" s="2" t="s">
        <v>823</v>
      </c>
      <c r="I263" t="s">
        <v>95</v>
      </c>
      <c r="J263" t="s">
        <v>401</v>
      </c>
      <c r="M263" t="s">
        <v>824</v>
      </c>
      <c r="N263" t="e" vm="1">
        <v>#VALUE!</v>
      </c>
      <c r="O263" t="str" cm="1">
        <f t="array" aca="1" ref="O263" ca="1">_FV(N263,"Name")</f>
        <v>United States</v>
      </c>
      <c r="P263" t="s">
        <v>25</v>
      </c>
      <c r="R263" t="s">
        <v>775</v>
      </c>
      <c r="S263" s="1">
        <v>46038</v>
      </c>
      <c r="U263">
        <v>1</v>
      </c>
      <c r="V263">
        <v>0</v>
      </c>
      <c r="W263">
        <v>0</v>
      </c>
    </row>
    <row r="264" spans="1:23" x14ac:dyDescent="0.4">
      <c r="A264" t="s">
        <v>825</v>
      </c>
      <c r="C264" t="s">
        <v>827</v>
      </c>
      <c r="D264" s="1">
        <v>46023</v>
      </c>
      <c r="E264" t="s">
        <v>39</v>
      </c>
      <c r="F264" t="s">
        <v>829</v>
      </c>
      <c r="I264" t="s">
        <v>95</v>
      </c>
      <c r="J264" t="s">
        <v>401</v>
      </c>
      <c r="M264" t="s">
        <v>826</v>
      </c>
      <c r="N264" t="e" vm="1">
        <v>#VALUE!</v>
      </c>
      <c r="O264" t="str" cm="1">
        <f t="array" aca="1" ref="O264" ca="1">_FV(N264,"Name")</f>
        <v>United States</v>
      </c>
      <c r="P264" t="s">
        <v>11</v>
      </c>
      <c r="R264" t="s">
        <v>775</v>
      </c>
      <c r="S264" s="1">
        <v>46143</v>
      </c>
      <c r="U264">
        <v>1</v>
      </c>
      <c r="V264">
        <v>0</v>
      </c>
      <c r="W264">
        <v>0</v>
      </c>
    </row>
    <row r="265" spans="1:23" x14ac:dyDescent="0.4">
      <c r="A265" t="s">
        <v>830</v>
      </c>
      <c r="C265" t="s">
        <v>832</v>
      </c>
      <c r="D265" s="1">
        <v>46023</v>
      </c>
      <c r="E265" t="s">
        <v>39</v>
      </c>
      <c r="F265" s="2" t="s">
        <v>870</v>
      </c>
      <c r="I265" t="s">
        <v>95</v>
      </c>
      <c r="J265" t="s">
        <v>401</v>
      </c>
      <c r="M265" t="s">
        <v>831</v>
      </c>
      <c r="N265" t="e" vm="1">
        <v>#VALUE!</v>
      </c>
      <c r="O265" t="str" cm="1">
        <f t="array" aca="1" ref="O265" ca="1">_FV(N265,"Name")</f>
        <v>United States</v>
      </c>
      <c r="P265" t="s">
        <v>11</v>
      </c>
      <c r="R265" t="s">
        <v>775</v>
      </c>
      <c r="S265" s="1">
        <v>46027</v>
      </c>
      <c r="U265">
        <v>1</v>
      </c>
      <c r="V265">
        <v>0</v>
      </c>
      <c r="W265">
        <v>0</v>
      </c>
    </row>
    <row r="266" spans="1:23" x14ac:dyDescent="0.4">
      <c r="A266" t="s">
        <v>834</v>
      </c>
      <c r="D266" s="1">
        <v>46023</v>
      </c>
      <c r="E266" t="s">
        <v>835</v>
      </c>
      <c r="I266" t="s">
        <v>95</v>
      </c>
      <c r="J266" t="s">
        <v>401</v>
      </c>
      <c r="M266" t="s">
        <v>836</v>
      </c>
      <c r="N266" t="e" vm="1">
        <v>#VALUE!</v>
      </c>
      <c r="O266" t="str" cm="1">
        <f t="array" aca="1" ref="O266" ca="1">_FV(N266,"Name")</f>
        <v>United States</v>
      </c>
      <c r="P266" t="s">
        <v>11</v>
      </c>
      <c r="R266" t="s">
        <v>775</v>
      </c>
      <c r="U266">
        <v>1</v>
      </c>
      <c r="V266">
        <v>0</v>
      </c>
      <c r="W266">
        <v>0</v>
      </c>
    </row>
    <row r="267" spans="1:23" x14ac:dyDescent="0.4">
      <c r="A267" t="s">
        <v>841</v>
      </c>
      <c r="D267" s="1">
        <v>46023</v>
      </c>
      <c r="E267" t="s">
        <v>842</v>
      </c>
      <c r="I267" t="s">
        <v>151</v>
      </c>
      <c r="J267" t="s">
        <v>401</v>
      </c>
      <c r="M267" t="s">
        <v>843</v>
      </c>
      <c r="N267" t="e" vm="27">
        <v>#VALUE!</v>
      </c>
      <c r="O267" t="str" cm="1">
        <f t="array" aca="1" ref="O267" ca="1">_FV(N267,"Name")</f>
        <v>Russia</v>
      </c>
      <c r="P267" t="s">
        <v>11</v>
      </c>
      <c r="R267" t="s">
        <v>775</v>
      </c>
      <c r="S267" s="1">
        <v>46037</v>
      </c>
      <c r="U267">
        <v>1</v>
      </c>
      <c r="V267">
        <v>0</v>
      </c>
      <c r="W267">
        <v>0</v>
      </c>
    </row>
    <row r="268" spans="1:23" x14ac:dyDescent="0.4">
      <c r="A268" t="s">
        <v>844</v>
      </c>
      <c r="C268" t="s">
        <v>847</v>
      </c>
      <c r="D268" s="1">
        <v>46023</v>
      </c>
      <c r="E268" t="s">
        <v>846</v>
      </c>
      <c r="I268" t="s">
        <v>95</v>
      </c>
      <c r="J268" t="s">
        <v>401</v>
      </c>
      <c r="M268" t="s">
        <v>845</v>
      </c>
      <c r="N268" t="e" vm="1">
        <v>#VALUE!</v>
      </c>
      <c r="O268" t="str" cm="1">
        <f t="array" aca="1" ref="O268" ca="1">_FV(N268,"Name")</f>
        <v>United States</v>
      </c>
      <c r="P268" t="s">
        <v>25</v>
      </c>
      <c r="R268" t="s">
        <v>775</v>
      </c>
      <c r="S268" s="1">
        <v>46033</v>
      </c>
      <c r="U268">
        <v>1</v>
      </c>
      <c r="V268">
        <v>0</v>
      </c>
      <c r="W268">
        <v>0</v>
      </c>
    </row>
    <row r="269" spans="1:23" x14ac:dyDescent="0.4">
      <c r="A269" t="s">
        <v>849</v>
      </c>
      <c r="C269" t="s">
        <v>852</v>
      </c>
      <c r="D269" s="1">
        <v>46023</v>
      </c>
      <c r="E269" t="s">
        <v>39</v>
      </c>
      <c r="F269" t="s">
        <v>850</v>
      </c>
      <c r="I269" t="s">
        <v>95</v>
      </c>
      <c r="J269" t="s">
        <v>401</v>
      </c>
      <c r="M269" t="s">
        <v>851</v>
      </c>
      <c r="N269" t="e" vm="1">
        <v>#VALUE!</v>
      </c>
      <c r="O269" t="str" cm="1">
        <f t="array" aca="1" ref="O269" ca="1">_FV(N269,"Name")</f>
        <v>United States</v>
      </c>
      <c r="P269" t="s">
        <v>25</v>
      </c>
      <c r="R269" t="s">
        <v>775</v>
      </c>
      <c r="S269" s="1">
        <v>46173</v>
      </c>
      <c r="U269">
        <v>1</v>
      </c>
      <c r="V269">
        <v>0</v>
      </c>
      <c r="W269">
        <v>0</v>
      </c>
    </row>
    <row r="270" spans="1:23" x14ac:dyDescent="0.4">
      <c r="A270" t="s">
        <v>853</v>
      </c>
      <c r="D270" s="1">
        <v>46023</v>
      </c>
      <c r="E270" t="s">
        <v>39</v>
      </c>
      <c r="F270" t="s">
        <v>854</v>
      </c>
      <c r="I270" t="s">
        <v>95</v>
      </c>
      <c r="J270" t="s">
        <v>401</v>
      </c>
      <c r="M270" t="s">
        <v>492</v>
      </c>
      <c r="N270" t="e" vm="1">
        <v>#VALUE!</v>
      </c>
      <c r="O270" t="str" cm="1">
        <f t="array" aca="1" ref="O270" ca="1">_FV(N270,"Name")</f>
        <v>United States</v>
      </c>
      <c r="P270" t="s">
        <v>25</v>
      </c>
      <c r="R270" t="s">
        <v>775</v>
      </c>
      <c r="S270" s="1">
        <v>46028</v>
      </c>
      <c r="U270">
        <v>1</v>
      </c>
      <c r="V270">
        <v>0</v>
      </c>
      <c r="W270">
        <v>0</v>
      </c>
    </row>
    <row r="271" spans="1:23" x14ac:dyDescent="0.4">
      <c r="A271" t="s">
        <v>855</v>
      </c>
      <c r="D271" s="1">
        <v>46023</v>
      </c>
      <c r="E271" t="s">
        <v>15</v>
      </c>
      <c r="F271" s="2" t="s">
        <v>856</v>
      </c>
      <c r="H271" t="s">
        <v>858</v>
      </c>
      <c r="I271" t="s">
        <v>95</v>
      </c>
      <c r="J271" t="s">
        <v>401</v>
      </c>
      <c r="M271" t="s">
        <v>857</v>
      </c>
      <c r="N271" t="e" vm="21">
        <v>#VALUE!</v>
      </c>
      <c r="O271" t="str" cm="1">
        <f t="array" aca="1" ref="O271" ca="1">_FV(N271,"Name")</f>
        <v>United Kingdom</v>
      </c>
      <c r="P271" t="s">
        <v>11</v>
      </c>
      <c r="R271" t="s">
        <v>775</v>
      </c>
      <c r="S271" s="1">
        <v>46055</v>
      </c>
      <c r="U271">
        <v>1</v>
      </c>
      <c r="V271">
        <v>0</v>
      </c>
      <c r="W271">
        <v>0</v>
      </c>
    </row>
    <row r="272" spans="1:23" x14ac:dyDescent="0.4">
      <c r="A272" t="s">
        <v>859</v>
      </c>
      <c r="C272" t="s">
        <v>861</v>
      </c>
      <c r="D272" s="1">
        <v>46023</v>
      </c>
      <c r="E272" t="s">
        <v>15</v>
      </c>
      <c r="F272" s="2" t="s">
        <v>862</v>
      </c>
      <c r="I272" t="s">
        <v>151</v>
      </c>
      <c r="J272" t="s">
        <v>401</v>
      </c>
      <c r="M272" t="s">
        <v>860</v>
      </c>
      <c r="N272" t="e" vm="29">
        <v>#VALUE!</v>
      </c>
      <c r="O272" t="str" cm="1">
        <f t="array" aca="1" ref="O272" ca="1">_FV(N272,"Name")</f>
        <v>Belgium</v>
      </c>
      <c r="P272" t="s">
        <v>11</v>
      </c>
      <c r="R272" t="s">
        <v>775</v>
      </c>
      <c r="S272" s="1">
        <v>46026</v>
      </c>
      <c r="U272">
        <v>1</v>
      </c>
      <c r="V272">
        <v>0</v>
      </c>
      <c r="W272">
        <v>0</v>
      </c>
    </row>
    <row r="273" spans="1:23" x14ac:dyDescent="0.4">
      <c r="A273" t="s">
        <v>866</v>
      </c>
      <c r="D273" s="1">
        <v>46023</v>
      </c>
      <c r="E273" t="s">
        <v>15</v>
      </c>
      <c r="I273" t="s">
        <v>95</v>
      </c>
      <c r="J273" t="s">
        <v>401</v>
      </c>
      <c r="M273" t="s">
        <v>867</v>
      </c>
      <c r="N273" t="e" vm="36">
        <v>#VALUE!</v>
      </c>
      <c r="O273" t="str" cm="1">
        <f t="array" aca="1" ref="O273" ca="1">_FV(N273,"Name")</f>
        <v>Ukraine</v>
      </c>
      <c r="P273" t="s">
        <v>11</v>
      </c>
      <c r="R273" t="s">
        <v>775</v>
      </c>
      <c r="S273" s="1">
        <v>46036</v>
      </c>
      <c r="U273">
        <v>1</v>
      </c>
      <c r="V273">
        <v>0</v>
      </c>
      <c r="W273">
        <v>0</v>
      </c>
    </row>
    <row r="274" spans="1:23" x14ac:dyDescent="0.4">
      <c r="A274" t="s">
        <v>868</v>
      </c>
      <c r="D274" s="1">
        <v>46023</v>
      </c>
      <c r="E274" t="s">
        <v>15</v>
      </c>
      <c r="I274" t="s">
        <v>95</v>
      </c>
      <c r="J274" t="s">
        <v>403</v>
      </c>
      <c r="M274" t="s">
        <v>869</v>
      </c>
      <c r="N274" t="e" vm="32">
        <v>#VALUE!</v>
      </c>
      <c r="O274" t="str" cm="1">
        <f t="array" aca="1" ref="O274" ca="1">_FV(N274,"Name")</f>
        <v>Argentina</v>
      </c>
      <c r="P274" t="s">
        <v>11</v>
      </c>
      <c r="R274" t="s">
        <v>775</v>
      </c>
      <c r="S274" s="1">
        <v>46053</v>
      </c>
      <c r="U274">
        <v>1</v>
      </c>
      <c r="V274">
        <v>0</v>
      </c>
      <c r="W274">
        <v>0</v>
      </c>
    </row>
    <row r="275" spans="1:23" x14ac:dyDescent="0.4">
      <c r="A275" t="s">
        <v>871</v>
      </c>
      <c r="C275" t="s">
        <v>875</v>
      </c>
      <c r="D275" s="1">
        <v>46023</v>
      </c>
      <c r="E275" s="2" t="s">
        <v>874</v>
      </c>
      <c r="F275" t="s">
        <v>872</v>
      </c>
      <c r="I275" t="s">
        <v>95</v>
      </c>
      <c r="J275" t="s">
        <v>401</v>
      </c>
      <c r="M275" t="s">
        <v>873</v>
      </c>
      <c r="N275" t="e" vm="19">
        <v>#VALUE!</v>
      </c>
      <c r="O275" t="s">
        <v>878</v>
      </c>
      <c r="P275" t="s">
        <v>11</v>
      </c>
      <c r="R275" t="s">
        <v>775</v>
      </c>
      <c r="S275" s="1">
        <v>46034</v>
      </c>
      <c r="U275">
        <v>1</v>
      </c>
      <c r="V275">
        <v>0</v>
      </c>
      <c r="W275">
        <v>0</v>
      </c>
    </row>
    <row r="276" spans="1:23" x14ac:dyDescent="0.4">
      <c r="A276" t="s">
        <v>254</v>
      </c>
      <c r="E276" t="s">
        <v>15</v>
      </c>
      <c r="F276" s="2" t="s">
        <v>256</v>
      </c>
      <c r="I276" t="s">
        <v>95</v>
      </c>
      <c r="J276" t="s">
        <v>401</v>
      </c>
      <c r="M276" t="s">
        <v>255</v>
      </c>
      <c r="N276" t="e" vm="1">
        <v>#VALUE!</v>
      </c>
      <c r="O276" t="str" cm="1">
        <f t="array" aca="1" ref="O276" ca="1">_FV(N276,"Name")</f>
        <v>United States</v>
      </c>
      <c r="P276" t="s">
        <v>11</v>
      </c>
      <c r="R276" t="s">
        <v>775</v>
      </c>
      <c r="U276">
        <v>0</v>
      </c>
      <c r="V276">
        <v>0</v>
      </c>
      <c r="W276">
        <v>0</v>
      </c>
    </row>
    <row r="277" spans="1:23" x14ac:dyDescent="0.4">
      <c r="A277" t="s">
        <v>879</v>
      </c>
      <c r="D277" s="1">
        <v>46068</v>
      </c>
      <c r="F277" t="s">
        <v>880</v>
      </c>
      <c r="I277" t="s">
        <v>95</v>
      </c>
      <c r="J277" t="s">
        <v>401</v>
      </c>
      <c r="M277" t="s">
        <v>437</v>
      </c>
      <c r="N277" t="e" vm="1">
        <v>#VALUE!</v>
      </c>
      <c r="O277" t="str" cm="1">
        <f t="array" aca="1" ref="O277" ca="1">_FV(N277,"Name")</f>
        <v>United States</v>
      </c>
      <c r="P277" t="s">
        <v>25</v>
      </c>
      <c r="R277" t="s">
        <v>775</v>
      </c>
      <c r="S277" s="1">
        <v>46076</v>
      </c>
      <c r="U277">
        <v>1</v>
      </c>
      <c r="V277">
        <v>0</v>
      </c>
      <c r="W277">
        <v>0</v>
      </c>
    </row>
    <row r="278" spans="1:23" x14ac:dyDescent="0.4">
      <c r="A278" t="s">
        <v>881</v>
      </c>
      <c r="D278" s="1">
        <v>46054</v>
      </c>
      <c r="F278" t="s">
        <v>882</v>
      </c>
      <c r="I278" t="s">
        <v>95</v>
      </c>
      <c r="J278" t="s">
        <v>401</v>
      </c>
      <c r="M278" t="s">
        <v>804</v>
      </c>
      <c r="N278" t="e" vm="1">
        <v>#VALUE!</v>
      </c>
      <c r="O278" t="str" cm="1">
        <f t="array" aca="1" ref="O278" ca="1">_FV(N278,"Name")</f>
        <v>United States</v>
      </c>
      <c r="P278" t="s">
        <v>25</v>
      </c>
      <c r="R278" t="s">
        <v>775</v>
      </c>
      <c r="S278" s="1">
        <v>46054</v>
      </c>
      <c r="U278">
        <v>1</v>
      </c>
      <c r="V278">
        <v>0</v>
      </c>
      <c r="W278">
        <v>0</v>
      </c>
    </row>
    <row r="279" spans="1:23" x14ac:dyDescent="0.4">
      <c r="A279" t="s">
        <v>883</v>
      </c>
      <c r="D279" s="1">
        <v>46052</v>
      </c>
      <c r="F279" t="s">
        <v>179</v>
      </c>
      <c r="I279" t="s">
        <v>95</v>
      </c>
      <c r="J279" t="s">
        <v>401</v>
      </c>
      <c r="M279" t="s">
        <v>176</v>
      </c>
      <c r="N279" t="e" vm="6">
        <v>#VALUE!</v>
      </c>
      <c r="O279" t="str" cm="1">
        <f t="array" aca="1" ref="O279" ca="1">_FV(N279,"Name")</f>
        <v>Netherlands</v>
      </c>
      <c r="P279" t="s">
        <v>11</v>
      </c>
      <c r="R279" t="s">
        <v>775</v>
      </c>
      <c r="S279" s="1">
        <v>46053</v>
      </c>
      <c r="U279">
        <v>1</v>
      </c>
      <c r="V279">
        <v>0</v>
      </c>
      <c r="W279">
        <v>0</v>
      </c>
    </row>
    <row r="280" spans="1:23" x14ac:dyDescent="0.4">
      <c r="A280" t="s">
        <v>884</v>
      </c>
      <c r="D280" s="1">
        <v>46054</v>
      </c>
      <c r="E280" t="s">
        <v>15</v>
      </c>
      <c r="I280" t="s">
        <v>95</v>
      </c>
      <c r="J280" t="s">
        <v>401</v>
      </c>
      <c r="M280" t="s">
        <v>885</v>
      </c>
      <c r="N280" t="e" vm="12">
        <v>#VALUE!</v>
      </c>
      <c r="O280" t="str" cm="1">
        <f t="array" aca="1" ref="O280" ca="1">_FV(N280,"Name")</f>
        <v>Italy</v>
      </c>
      <c r="P280" t="s">
        <v>25</v>
      </c>
      <c r="R280" t="s">
        <v>775</v>
      </c>
      <c r="S280" s="1">
        <v>46082</v>
      </c>
      <c r="U280">
        <v>1</v>
      </c>
      <c r="V280">
        <v>0</v>
      </c>
      <c r="W280">
        <v>0</v>
      </c>
    </row>
    <row r="281" spans="1:23" x14ac:dyDescent="0.4">
      <c r="A281" t="s">
        <v>886</v>
      </c>
      <c r="D281" s="1">
        <v>46054</v>
      </c>
      <c r="E281" t="s">
        <v>15</v>
      </c>
      <c r="I281" t="s">
        <v>95</v>
      </c>
      <c r="J281" t="s">
        <v>401</v>
      </c>
      <c r="M281" t="s">
        <v>887</v>
      </c>
      <c r="N281" t="e" vm="1">
        <v>#VALUE!</v>
      </c>
      <c r="O281" t="str" cm="1">
        <f t="array" aca="1" ref="O281" ca="1">_FV(N281,"Name")</f>
        <v>United States</v>
      </c>
      <c r="P281" t="s">
        <v>11</v>
      </c>
      <c r="R281" t="s">
        <v>775</v>
      </c>
      <c r="S281" s="1">
        <v>46096</v>
      </c>
      <c r="U281">
        <v>1</v>
      </c>
      <c r="V281">
        <v>0</v>
      </c>
      <c r="W281">
        <v>0</v>
      </c>
    </row>
    <row r="282" spans="1:23" x14ac:dyDescent="0.4">
      <c r="A282" t="s">
        <v>888</v>
      </c>
      <c r="D282" s="1">
        <v>46054</v>
      </c>
      <c r="E282" t="s">
        <v>15</v>
      </c>
      <c r="I282" t="s">
        <v>95</v>
      </c>
      <c r="J282" t="s">
        <v>401</v>
      </c>
      <c r="M282" t="s">
        <v>251</v>
      </c>
      <c r="N282" t="e" vm="1">
        <v>#VALUE!</v>
      </c>
      <c r="O282" t="str" cm="1">
        <f t="array" aca="1" ref="O282" ca="1">_FV(N282,"Name")</f>
        <v>United States</v>
      </c>
      <c r="P282" t="s">
        <v>11</v>
      </c>
      <c r="R282" t="s">
        <v>775</v>
      </c>
      <c r="S282" s="1">
        <v>46068</v>
      </c>
      <c r="U282">
        <v>1</v>
      </c>
      <c r="V282">
        <v>0</v>
      </c>
      <c r="W282">
        <v>0</v>
      </c>
    </row>
    <row r="283" spans="1:23" x14ac:dyDescent="0.4">
      <c r="A283" t="s">
        <v>889</v>
      </c>
      <c r="D283" s="1">
        <v>46054</v>
      </c>
      <c r="E283" t="s">
        <v>15</v>
      </c>
      <c r="I283" t="s">
        <v>95</v>
      </c>
      <c r="J283" t="s">
        <v>401</v>
      </c>
      <c r="M283" t="s">
        <v>396</v>
      </c>
      <c r="N283" t="e" vm="15">
        <v>#VALUE!</v>
      </c>
      <c r="O283" t="str" cm="1">
        <f t="array" aca="1" ref="O283" ca="1">_FV(N283,"Name")</f>
        <v>Switzerland</v>
      </c>
      <c r="P283" t="s">
        <v>25</v>
      </c>
      <c r="R283" t="s">
        <v>775</v>
      </c>
      <c r="S283" s="1">
        <v>46054</v>
      </c>
      <c r="U283">
        <v>1</v>
      </c>
      <c r="V283">
        <v>0</v>
      </c>
      <c r="W283">
        <v>0</v>
      </c>
    </row>
    <row r="284" spans="1:23" x14ac:dyDescent="0.4">
      <c r="A284" t="s">
        <v>890</v>
      </c>
      <c r="D284" s="1">
        <v>46054</v>
      </c>
      <c r="E284" t="s">
        <v>39</v>
      </c>
      <c r="F284" t="s">
        <v>891</v>
      </c>
      <c r="I284" t="s">
        <v>95</v>
      </c>
      <c r="J284" t="s">
        <v>401</v>
      </c>
      <c r="M284" t="s">
        <v>892</v>
      </c>
      <c r="N284" t="e" vm="5">
        <v>#VALUE!</v>
      </c>
      <c r="O284" t="str" cm="1">
        <f t="array" aca="1" ref="O284" ca="1">_FV(N284,"Name")</f>
        <v>Chile</v>
      </c>
      <c r="P284" t="s">
        <v>11</v>
      </c>
      <c r="R284" t="s">
        <v>775</v>
      </c>
      <c r="S284" s="1">
        <v>46054</v>
      </c>
      <c r="U284">
        <v>1</v>
      </c>
      <c r="V284">
        <v>0</v>
      </c>
      <c r="W284">
        <v>0</v>
      </c>
    </row>
    <row r="285" spans="1:23" x14ac:dyDescent="0.4">
      <c r="A285" t="s">
        <v>893</v>
      </c>
      <c r="D285" s="1">
        <v>46082</v>
      </c>
      <c r="E285" t="s">
        <v>15</v>
      </c>
      <c r="I285" t="s">
        <v>95</v>
      </c>
      <c r="J285" t="s">
        <v>401</v>
      </c>
      <c r="M285" t="s">
        <v>807</v>
      </c>
      <c r="N285" t="e" vm="4">
        <v>#VALUE!</v>
      </c>
      <c r="O285" t="str" cm="1">
        <f t="array" aca="1" ref="O285" ca="1">_FV(N285,"Name")</f>
        <v>France</v>
      </c>
      <c r="P285" t="s">
        <v>25</v>
      </c>
      <c r="R285" t="s">
        <v>775</v>
      </c>
      <c r="S285" s="1">
        <v>46113</v>
      </c>
      <c r="U285">
        <v>1</v>
      </c>
      <c r="V285">
        <v>0</v>
      </c>
      <c r="W285">
        <v>0</v>
      </c>
    </row>
    <row r="286" spans="1:23" x14ac:dyDescent="0.4">
      <c r="A286" t="s">
        <v>894</v>
      </c>
      <c r="D286" s="1">
        <v>46069</v>
      </c>
      <c r="E286" t="s">
        <v>15</v>
      </c>
      <c r="I286" t="s">
        <v>95</v>
      </c>
      <c r="J286" t="s">
        <v>401</v>
      </c>
      <c r="M286" t="s">
        <v>895</v>
      </c>
      <c r="N286" t="e" vm="10">
        <v>#VALUE!</v>
      </c>
      <c r="O286" t="str" cm="1">
        <f t="array" aca="1" ref="O286" ca="1">_FV(N286,"Name")</f>
        <v>Canada</v>
      </c>
      <c r="P286" t="s">
        <v>25</v>
      </c>
      <c r="R286" t="s">
        <v>775</v>
      </c>
      <c r="S286" s="1">
        <v>46107</v>
      </c>
      <c r="U286">
        <v>1</v>
      </c>
      <c r="V286">
        <v>0</v>
      </c>
      <c r="W286">
        <v>0</v>
      </c>
    </row>
    <row r="287" spans="1:23" x14ac:dyDescent="0.4">
      <c r="A287" t="s">
        <v>896</v>
      </c>
      <c r="D287" s="1">
        <v>46081</v>
      </c>
      <c r="E287" t="s">
        <v>15</v>
      </c>
      <c r="I287" t="s">
        <v>95</v>
      </c>
      <c r="J287" t="s">
        <v>401</v>
      </c>
      <c r="M287" t="s">
        <v>897</v>
      </c>
      <c r="N287" t="e" vm="22">
        <v>#VALUE!</v>
      </c>
      <c r="O287" t="str" cm="1">
        <f t="array" aca="1" ref="O287" ca="1">_FV(N287,"Name")</f>
        <v>Portugal</v>
      </c>
      <c r="P287" t="s">
        <v>11</v>
      </c>
      <c r="R287" t="s">
        <v>775</v>
      </c>
      <c r="S287" s="1">
        <v>46081</v>
      </c>
      <c r="U287">
        <v>1</v>
      </c>
      <c r="V287">
        <v>0</v>
      </c>
      <c r="W287">
        <v>0</v>
      </c>
    </row>
    <row r="288" spans="1:23" x14ac:dyDescent="0.4">
      <c r="A288" t="s">
        <v>898</v>
      </c>
      <c r="D288" s="1">
        <v>46069</v>
      </c>
      <c r="E288" t="s">
        <v>15</v>
      </c>
      <c r="I288" t="s">
        <v>95</v>
      </c>
      <c r="J288" t="s">
        <v>401</v>
      </c>
      <c r="M288" t="s">
        <v>899</v>
      </c>
      <c r="N288" t="e" vm="4">
        <v>#VALUE!</v>
      </c>
      <c r="O288" t="str" cm="1">
        <f t="array" aca="1" ref="O288" ca="1">_FV(N288,"Name")</f>
        <v>France</v>
      </c>
      <c r="P288" t="s">
        <v>25</v>
      </c>
      <c r="R288" t="s">
        <v>775</v>
      </c>
      <c r="S288" s="1">
        <v>46082</v>
      </c>
      <c r="U288">
        <v>1</v>
      </c>
      <c r="V288">
        <v>0</v>
      </c>
      <c r="W288">
        <v>0</v>
      </c>
    </row>
    <row r="289" spans="1:23" x14ac:dyDescent="0.4">
      <c r="A289" t="s">
        <v>900</v>
      </c>
      <c r="D289" s="1">
        <v>46069</v>
      </c>
      <c r="E289" t="s">
        <v>15</v>
      </c>
      <c r="I289" t="s">
        <v>95</v>
      </c>
      <c r="J289" t="s">
        <v>401</v>
      </c>
      <c r="M289" t="s">
        <v>901</v>
      </c>
      <c r="N289" t="e" vm="2">
        <v>#VALUE!</v>
      </c>
      <c r="O289" t="str" cm="1">
        <f t="array" aca="1" ref="O289" ca="1">_FV(N289,"Name")</f>
        <v>Spain</v>
      </c>
      <c r="P289" t="s">
        <v>25</v>
      </c>
      <c r="R289" t="s">
        <v>775</v>
      </c>
      <c r="S289" s="1">
        <v>46073</v>
      </c>
      <c r="U289">
        <v>1</v>
      </c>
      <c r="V289">
        <v>0</v>
      </c>
      <c r="W289">
        <v>0</v>
      </c>
    </row>
    <row r="290" spans="1:23" x14ac:dyDescent="0.4">
      <c r="A290" t="s">
        <v>904</v>
      </c>
      <c r="D290" s="1">
        <v>46063</v>
      </c>
      <c r="E290" t="s">
        <v>39</v>
      </c>
      <c r="F290" t="s">
        <v>905</v>
      </c>
      <c r="I290" t="s">
        <v>95</v>
      </c>
      <c r="J290" t="s">
        <v>401</v>
      </c>
      <c r="M290" t="s">
        <v>831</v>
      </c>
      <c r="N290" t="e" vm="1">
        <v>#VALUE!</v>
      </c>
      <c r="O290" t="str" cm="1">
        <f t="array" aca="1" ref="O290" ca="1">_FV(N290,"Name")</f>
        <v>United States</v>
      </c>
      <c r="P290" t="s">
        <v>19</v>
      </c>
      <c r="R290" t="s">
        <v>19</v>
      </c>
      <c r="S290" s="1">
        <v>46055</v>
      </c>
      <c r="U290">
        <v>1</v>
      </c>
      <c r="V290">
        <v>0</v>
      </c>
      <c r="W290">
        <v>0</v>
      </c>
    </row>
    <row r="291" spans="1:23" x14ac:dyDescent="0.4">
      <c r="A291" t="s">
        <v>906</v>
      </c>
      <c r="D291" s="1">
        <v>46068</v>
      </c>
      <c r="E291" t="s">
        <v>39</v>
      </c>
      <c r="F291" s="2" t="s">
        <v>909</v>
      </c>
      <c r="H291" t="s">
        <v>908</v>
      </c>
      <c r="I291" t="s">
        <v>95</v>
      </c>
      <c r="J291" t="s">
        <v>401</v>
      </c>
      <c r="M291" t="s">
        <v>907</v>
      </c>
      <c r="N291" t="e" vm="21">
        <v>#VALUE!</v>
      </c>
      <c r="O291" t="str" cm="1">
        <f t="array" aca="1" ref="O291" ca="1">_FV(N291,"Name")</f>
        <v>United Kingdom</v>
      </c>
      <c r="P291" t="s">
        <v>11</v>
      </c>
      <c r="R291" t="s">
        <v>775</v>
      </c>
      <c r="S291" s="1">
        <v>46068</v>
      </c>
      <c r="U291">
        <v>1</v>
      </c>
      <c r="V291">
        <v>0</v>
      </c>
      <c r="W291">
        <v>0</v>
      </c>
    </row>
    <row r="292" spans="1:23" x14ac:dyDescent="0.4">
      <c r="A292" t="s">
        <v>910</v>
      </c>
      <c r="D292" s="1">
        <v>46069</v>
      </c>
      <c r="E292" t="s">
        <v>39</v>
      </c>
      <c r="F292" t="s">
        <v>911</v>
      </c>
      <c r="I292" t="s">
        <v>95</v>
      </c>
      <c r="J292" t="s">
        <v>401</v>
      </c>
      <c r="M292" t="s">
        <v>912</v>
      </c>
      <c r="N292" t="e" vm="1">
        <v>#VALUE!</v>
      </c>
      <c r="O292" t="str" cm="1">
        <f t="array" aca="1" ref="O292" ca="1">_FV(N292,"Name")</f>
        <v>United States</v>
      </c>
      <c r="P292" t="s">
        <v>11</v>
      </c>
      <c r="R292" t="s">
        <v>19</v>
      </c>
      <c r="S292" s="1">
        <v>46080</v>
      </c>
      <c r="U292">
        <v>1</v>
      </c>
      <c r="V292">
        <v>0</v>
      </c>
      <c r="W292">
        <v>0</v>
      </c>
    </row>
    <row r="293" spans="1:23" x14ac:dyDescent="0.4">
      <c r="A293" t="s">
        <v>913</v>
      </c>
      <c r="D293" s="1">
        <v>46069</v>
      </c>
      <c r="E293" t="s">
        <v>39</v>
      </c>
      <c r="F293" t="s">
        <v>914</v>
      </c>
      <c r="I293" t="s">
        <v>95</v>
      </c>
      <c r="J293" t="s">
        <v>401</v>
      </c>
      <c r="M293" t="s">
        <v>198</v>
      </c>
      <c r="N293" t="e" vm="10">
        <v>#VALUE!</v>
      </c>
      <c r="O293" t="str" cm="1">
        <f t="array" aca="1" ref="O293" ca="1">_FV(N293,"Name")</f>
        <v>Canada</v>
      </c>
      <c r="P293" t="s">
        <v>11</v>
      </c>
      <c r="R293" t="s">
        <v>19</v>
      </c>
      <c r="S293" s="1">
        <v>46082</v>
      </c>
      <c r="U293">
        <v>1</v>
      </c>
      <c r="V293">
        <v>0</v>
      </c>
      <c r="W293">
        <v>0</v>
      </c>
    </row>
    <row r="294" spans="1:23" x14ac:dyDescent="0.4">
      <c r="A294" t="s">
        <v>915</v>
      </c>
      <c r="D294" s="1">
        <v>46063</v>
      </c>
      <c r="E294" t="s">
        <v>39</v>
      </c>
      <c r="F294" t="s">
        <v>916</v>
      </c>
      <c r="I294" t="s">
        <v>95</v>
      </c>
      <c r="J294" t="s">
        <v>401</v>
      </c>
      <c r="M294" t="s">
        <v>917</v>
      </c>
      <c r="N294" t="e" vm="1">
        <v>#VALUE!</v>
      </c>
      <c r="O294" t="str" cm="1">
        <f t="array" aca="1" ref="O294" ca="1">_FV(N294,"Name")</f>
        <v>United States</v>
      </c>
      <c r="P294" t="s">
        <v>11</v>
      </c>
      <c r="R294" t="s">
        <v>775</v>
      </c>
      <c r="S294" s="1">
        <v>46082</v>
      </c>
      <c r="U294">
        <v>1</v>
      </c>
      <c r="V294">
        <v>0</v>
      </c>
      <c r="W294">
        <v>0</v>
      </c>
    </row>
    <row r="295" spans="1:23" x14ac:dyDescent="0.4">
      <c r="A295" t="s">
        <v>918</v>
      </c>
      <c r="D295" s="1">
        <v>46068</v>
      </c>
      <c r="E295" t="s">
        <v>15</v>
      </c>
      <c r="I295" t="s">
        <v>95</v>
      </c>
      <c r="J295" t="s">
        <v>401</v>
      </c>
      <c r="M295" t="s">
        <v>919</v>
      </c>
      <c r="N295" t="e" vm="6">
        <v>#VALUE!</v>
      </c>
      <c r="O295" t="str" cm="1">
        <f t="array" aca="1" ref="O295" ca="1">_FV(N295,"Name")</f>
        <v>Netherlands</v>
      </c>
      <c r="P295" t="s">
        <v>25</v>
      </c>
      <c r="R295" t="s">
        <v>775</v>
      </c>
      <c r="S295" s="1">
        <v>46068</v>
      </c>
      <c r="U295">
        <v>1</v>
      </c>
      <c r="V295">
        <v>0</v>
      </c>
      <c r="W295">
        <v>0</v>
      </c>
    </row>
    <row r="296" spans="1:23" x14ac:dyDescent="0.4">
      <c r="A296" t="s">
        <v>920</v>
      </c>
      <c r="C296" t="s">
        <v>924</v>
      </c>
      <c r="D296" s="1">
        <v>46069</v>
      </c>
      <c r="F296" s="2" t="s">
        <v>921</v>
      </c>
      <c r="I296" t="s">
        <v>95</v>
      </c>
      <c r="J296" t="s">
        <v>401</v>
      </c>
      <c r="M296" t="s">
        <v>922</v>
      </c>
      <c r="N296" t="e" vm="20">
        <v>#VALUE!</v>
      </c>
      <c r="O296" t="str" cm="1">
        <f t="array" aca="1" ref="O296" ca="1">_FV(N296,"Name")</f>
        <v>Denmark</v>
      </c>
      <c r="P296" t="s">
        <v>923</v>
      </c>
      <c r="R296" t="s">
        <v>775</v>
      </c>
      <c r="S296" s="1">
        <v>46082</v>
      </c>
      <c r="U296">
        <v>1</v>
      </c>
      <c r="V296">
        <v>0</v>
      </c>
      <c r="W296">
        <v>0</v>
      </c>
    </row>
    <row r="297" spans="1:23" x14ac:dyDescent="0.4">
      <c r="A297" t="s">
        <v>925</v>
      </c>
      <c r="D297" s="1">
        <v>46073</v>
      </c>
      <c r="E297" t="s">
        <v>39</v>
      </c>
      <c r="F297" s="2" t="s">
        <v>927</v>
      </c>
      <c r="I297" t="s">
        <v>95</v>
      </c>
      <c r="J297" t="s">
        <v>401</v>
      </c>
      <c r="M297" t="s">
        <v>926</v>
      </c>
      <c r="N297" t="e" vm="1">
        <v>#VALUE!</v>
      </c>
      <c r="O297" t="str" cm="1">
        <f t="array" aca="1" ref="O297" ca="1">_FV(N297,"Name")</f>
        <v>United States</v>
      </c>
      <c r="P297" t="s">
        <v>11</v>
      </c>
      <c r="R297" t="s">
        <v>19</v>
      </c>
      <c r="S297" s="1">
        <v>46089</v>
      </c>
      <c r="U297">
        <v>1</v>
      </c>
      <c r="V297">
        <v>0</v>
      </c>
      <c r="W297">
        <v>0</v>
      </c>
    </row>
    <row r="298" spans="1:23" x14ac:dyDescent="0.4">
      <c r="A298" t="s">
        <v>928</v>
      </c>
      <c r="D298" s="1">
        <v>46073</v>
      </c>
      <c r="E298" t="s">
        <v>39</v>
      </c>
      <c r="F298" t="s">
        <v>930</v>
      </c>
      <c r="I298" t="s">
        <v>95</v>
      </c>
      <c r="J298" t="s">
        <v>401</v>
      </c>
      <c r="M298" t="s">
        <v>929</v>
      </c>
      <c r="N298" t="e" vm="10">
        <v>#VALUE!</v>
      </c>
      <c r="O298" t="str" cm="1">
        <f t="array" aca="1" ref="O298" ca="1">_FV(N298,"Name")</f>
        <v>Canada</v>
      </c>
      <c r="P298" t="s">
        <v>19</v>
      </c>
      <c r="R298" t="s">
        <v>19</v>
      </c>
      <c r="S298" s="1">
        <v>46082</v>
      </c>
      <c r="U298">
        <v>1</v>
      </c>
      <c r="V298">
        <v>0</v>
      </c>
      <c r="W298">
        <v>0</v>
      </c>
    </row>
    <row r="299" spans="1:23" x14ac:dyDescent="0.4">
      <c r="A299" t="s">
        <v>931</v>
      </c>
      <c r="D299" s="1">
        <v>46073</v>
      </c>
      <c r="F299" t="s">
        <v>932</v>
      </c>
      <c r="I299" t="s">
        <v>95</v>
      </c>
      <c r="J299" t="s">
        <v>401</v>
      </c>
      <c r="M299" t="s">
        <v>933</v>
      </c>
      <c r="N299" t="e" vm="1">
        <v>#VALUE!</v>
      </c>
      <c r="O299" t="str" cm="1">
        <f t="array" aca="1" ref="O299" ca="1">_FV(N299,"Name")</f>
        <v>United States</v>
      </c>
      <c r="P299" t="s">
        <v>11</v>
      </c>
      <c r="R299" t="s">
        <v>775</v>
      </c>
      <c r="S299" s="1">
        <v>46096</v>
      </c>
      <c r="U299">
        <v>1</v>
      </c>
      <c r="V299">
        <v>0</v>
      </c>
      <c r="W299">
        <v>0</v>
      </c>
    </row>
    <row r="300" spans="1:23" x14ac:dyDescent="0.4">
      <c r="A300" t="s">
        <v>934</v>
      </c>
      <c r="C300" t="s">
        <v>936</v>
      </c>
      <c r="D300" s="1">
        <v>46073</v>
      </c>
      <c r="E300" t="s">
        <v>39</v>
      </c>
      <c r="F300" s="2" t="s">
        <v>935</v>
      </c>
      <c r="I300" t="s">
        <v>95</v>
      </c>
      <c r="J300" t="s">
        <v>401</v>
      </c>
      <c r="M300" t="s">
        <v>205</v>
      </c>
      <c r="N300" t="e" vm="3">
        <v>#VALUE!</v>
      </c>
      <c r="O300" t="str" cm="1">
        <f t="array" aca="1" ref="O300" ca="1">_FV(N300,"Name")</f>
        <v>Japan</v>
      </c>
      <c r="P300" t="s">
        <v>11</v>
      </c>
      <c r="R300" t="s">
        <v>775</v>
      </c>
      <c r="S300" s="1">
        <v>46143</v>
      </c>
      <c r="U300">
        <v>1</v>
      </c>
      <c r="V300">
        <v>0</v>
      </c>
      <c r="W300">
        <v>0</v>
      </c>
    </row>
    <row r="301" spans="1:23" x14ac:dyDescent="0.4">
      <c r="A301" t="s">
        <v>937</v>
      </c>
      <c r="D301" s="1">
        <v>46073</v>
      </c>
      <c r="E301" t="s">
        <v>39</v>
      </c>
      <c r="F301" t="s">
        <v>938</v>
      </c>
      <c r="I301" t="s">
        <v>95</v>
      </c>
      <c r="J301" t="s">
        <v>401</v>
      </c>
      <c r="M301" t="s">
        <v>939</v>
      </c>
      <c r="N301" t="e" vm="1">
        <v>#VALUE!</v>
      </c>
      <c r="O301" t="str" cm="1">
        <f t="array" aca="1" ref="O301" ca="1">_FV(N301,"Name")</f>
        <v>United States</v>
      </c>
      <c r="P301" t="s">
        <v>485</v>
      </c>
      <c r="R301" t="s">
        <v>19</v>
      </c>
      <c r="S301" s="1">
        <v>46082</v>
      </c>
      <c r="U301">
        <v>1</v>
      </c>
      <c r="V301">
        <v>0</v>
      </c>
      <c r="W301">
        <v>0</v>
      </c>
    </row>
    <row r="302" spans="1:23" x14ac:dyDescent="0.4">
      <c r="A302" t="s">
        <v>941</v>
      </c>
      <c r="C302" t="s">
        <v>942</v>
      </c>
      <c r="D302" s="1">
        <v>46073</v>
      </c>
      <c r="E302" t="s">
        <v>39</v>
      </c>
      <c r="F302" s="2" t="s">
        <v>943</v>
      </c>
      <c r="I302" t="s">
        <v>95</v>
      </c>
      <c r="J302" t="s">
        <v>401</v>
      </c>
      <c r="M302" t="s">
        <v>944</v>
      </c>
      <c r="N302" t="e" vm="37">
        <v>#VALUE!</v>
      </c>
      <c r="O302" t="str" cm="1">
        <f t="array" aca="1" ref="O302" ca="1">_FV(N302,"Name")</f>
        <v>Indonesia</v>
      </c>
      <c r="P302" t="s">
        <v>945</v>
      </c>
      <c r="R302" t="s">
        <v>775</v>
      </c>
      <c r="S302" s="1">
        <v>46082</v>
      </c>
      <c r="U302">
        <v>1</v>
      </c>
      <c r="V302">
        <v>0</v>
      </c>
      <c r="W302">
        <v>0</v>
      </c>
    </row>
    <row r="303" spans="1:23" x14ac:dyDescent="0.4">
      <c r="A303" t="s">
        <v>946</v>
      </c>
      <c r="C303" t="s">
        <v>948</v>
      </c>
      <c r="D303" s="1">
        <v>46073</v>
      </c>
      <c r="F303" s="2" t="s">
        <v>947</v>
      </c>
      <c r="I303" t="s">
        <v>151</v>
      </c>
      <c r="J303" t="s">
        <v>401</v>
      </c>
      <c r="M303" t="s">
        <v>950</v>
      </c>
      <c r="N303" t="e" vm="2">
        <v>#VALUE!</v>
      </c>
      <c r="O303" t="str" cm="1">
        <f t="array" aca="1" ref="O303" ca="1">_FV(N303,"Name")</f>
        <v>Spain</v>
      </c>
      <c r="P303" t="s">
        <v>11</v>
      </c>
      <c r="R303" t="s">
        <v>775</v>
      </c>
      <c r="S303" s="1">
        <v>46082</v>
      </c>
      <c r="U303">
        <v>1</v>
      </c>
      <c r="V303">
        <v>0</v>
      </c>
      <c r="W303">
        <v>0</v>
      </c>
    </row>
    <row r="304" spans="1:23" x14ac:dyDescent="0.4">
      <c r="A304" t="s">
        <v>949</v>
      </c>
      <c r="D304" s="1">
        <v>46073</v>
      </c>
      <c r="E304" t="s">
        <v>15</v>
      </c>
      <c r="I304" t="s">
        <v>95</v>
      </c>
      <c r="J304" t="s">
        <v>401</v>
      </c>
      <c r="M304" t="s">
        <v>951</v>
      </c>
      <c r="N304" t="e" vm="21">
        <v>#VALUE!</v>
      </c>
      <c r="O304" t="str" cm="1">
        <f t="array" aca="1" ref="O304" ca="1">_FV(N304,"Name")</f>
        <v>United Kingdom</v>
      </c>
      <c r="P304" t="s">
        <v>11</v>
      </c>
      <c r="R304" t="s">
        <v>775</v>
      </c>
      <c r="S304" s="1">
        <v>46073</v>
      </c>
      <c r="U304">
        <v>1</v>
      </c>
      <c r="V304">
        <v>0</v>
      </c>
      <c r="W304">
        <v>0</v>
      </c>
    </row>
    <row r="305" spans="1:23" x14ac:dyDescent="0.4">
      <c r="A305" t="s">
        <v>952</v>
      </c>
      <c r="D305" s="1">
        <v>46081</v>
      </c>
      <c r="E305" t="s">
        <v>15</v>
      </c>
      <c r="F305" s="2" t="s">
        <v>953</v>
      </c>
      <c r="I305" t="s">
        <v>95</v>
      </c>
      <c r="J305" t="s">
        <v>401</v>
      </c>
      <c r="M305" t="s">
        <v>954</v>
      </c>
      <c r="N305" t="e" vm="9">
        <v>#VALUE!</v>
      </c>
      <c r="O305" t="str" cm="1">
        <f t="array" aca="1" ref="O305" ca="1">_FV(N305,"Name")</f>
        <v>Germany</v>
      </c>
      <c r="P305" t="s">
        <v>25</v>
      </c>
      <c r="R305" t="s">
        <v>775</v>
      </c>
      <c r="S305" s="1">
        <v>46081</v>
      </c>
      <c r="U305">
        <v>1</v>
      </c>
      <c r="V305">
        <v>0</v>
      </c>
      <c r="W305">
        <v>0</v>
      </c>
    </row>
    <row r="306" spans="1:23" x14ac:dyDescent="0.4">
      <c r="A306" t="s">
        <v>955</v>
      </c>
      <c r="C306" t="s">
        <v>957</v>
      </c>
      <c r="D306" s="1">
        <v>46073</v>
      </c>
      <c r="E306" t="s">
        <v>15</v>
      </c>
      <c r="F306" t="s">
        <v>956</v>
      </c>
      <c r="I306" t="s">
        <v>95</v>
      </c>
      <c r="J306" t="s">
        <v>401</v>
      </c>
      <c r="M306" t="s">
        <v>958</v>
      </c>
      <c r="N306" t="e" vm="9">
        <v>#VALUE!</v>
      </c>
      <c r="O306" t="str" cm="1">
        <f t="array" aca="1" ref="O306" ca="1">_FV(N306,"Name")</f>
        <v>Germany</v>
      </c>
      <c r="P306" t="s">
        <v>25</v>
      </c>
      <c r="R306" t="s">
        <v>775</v>
      </c>
      <c r="S306" s="1">
        <v>46084</v>
      </c>
      <c r="U306">
        <v>1</v>
      </c>
      <c r="V306">
        <v>0</v>
      </c>
      <c r="W306">
        <v>0</v>
      </c>
    </row>
    <row r="307" spans="1:23" x14ac:dyDescent="0.4">
      <c r="A307" t="s">
        <v>959</v>
      </c>
      <c r="C307" t="s">
        <v>962</v>
      </c>
      <c r="D307" s="1">
        <v>46073</v>
      </c>
      <c r="E307" t="s">
        <v>15</v>
      </c>
      <c r="F307" t="s">
        <v>960</v>
      </c>
      <c r="I307" t="s">
        <v>151</v>
      </c>
      <c r="J307" t="s">
        <v>401</v>
      </c>
      <c r="M307" t="s">
        <v>961</v>
      </c>
      <c r="N307" t="e" vm="16">
        <v>#VALUE!</v>
      </c>
      <c r="O307" t="str" cm="1">
        <f t="array" aca="1" ref="O307" ca="1">_FV(N307,"Name")</f>
        <v>Brazil</v>
      </c>
      <c r="P307" t="s">
        <v>11</v>
      </c>
      <c r="R307" t="s">
        <v>775</v>
      </c>
      <c r="S307" s="1">
        <v>46084</v>
      </c>
      <c r="U307">
        <v>1</v>
      </c>
      <c r="V307">
        <v>0</v>
      </c>
      <c r="W307">
        <v>0</v>
      </c>
    </row>
    <row r="308" spans="1:23" x14ac:dyDescent="0.4">
      <c r="A308" t="s">
        <v>964</v>
      </c>
      <c r="D308" s="1">
        <v>45716</v>
      </c>
      <c r="E308" t="s">
        <v>15</v>
      </c>
      <c r="I308" t="s">
        <v>95</v>
      </c>
      <c r="J308" t="s">
        <v>401</v>
      </c>
      <c r="M308" t="s">
        <v>963</v>
      </c>
      <c r="N308" t="e" vm="4">
        <v>#VALUE!</v>
      </c>
      <c r="O308" t="str" cm="1">
        <f t="array" aca="1" ref="O308" ca="1">_FV(N308,"Name")</f>
        <v>France</v>
      </c>
      <c r="P308" t="s">
        <v>25</v>
      </c>
      <c r="R308" t="s">
        <v>775</v>
      </c>
      <c r="S308" s="1">
        <v>46084</v>
      </c>
      <c r="U308">
        <v>1</v>
      </c>
      <c r="V308">
        <v>0</v>
      </c>
      <c r="W308">
        <v>0</v>
      </c>
    </row>
    <row r="309" spans="1:23" x14ac:dyDescent="0.4">
      <c r="A309" t="s">
        <v>965</v>
      </c>
      <c r="D309" s="1">
        <v>46073</v>
      </c>
      <c r="E309" t="s">
        <v>15</v>
      </c>
      <c r="I309" t="s">
        <v>95</v>
      </c>
      <c r="J309" t="s">
        <v>401</v>
      </c>
      <c r="M309" t="s">
        <v>966</v>
      </c>
      <c r="N309" t="e" vm="1">
        <v>#VALUE!</v>
      </c>
      <c r="O309" t="str" cm="1">
        <f t="array" aca="1" ref="O309" ca="1">_FV(N309,"Name")</f>
        <v>United States</v>
      </c>
      <c r="P309" t="s">
        <v>25</v>
      </c>
      <c r="R309" t="s">
        <v>775</v>
      </c>
      <c r="S309" s="1">
        <v>46082</v>
      </c>
      <c r="U309">
        <v>1</v>
      </c>
      <c r="V309">
        <v>0</v>
      </c>
      <c r="W309">
        <v>0</v>
      </c>
    </row>
  </sheetData>
  <autoFilter ref="A1:W267" xr:uid="{F7772053-9363-CA4A-A53F-040B7C700753}">
    <sortState xmlns:xlrd2="http://schemas.microsoft.com/office/spreadsheetml/2017/richdata2" ref="A2:W276">
      <sortCondition ref="D1:D267"/>
    </sortState>
  </autoFilter>
  <conditionalFormatting sqref="A1:B208 A210:B283 A285:B1048576 B284">
    <cfRule type="duplicateValues" dxfId="42" priority="23"/>
  </conditionalFormatting>
  <conditionalFormatting sqref="A2:B22">
    <cfRule type="duplicateValues" dxfId="41" priority="24"/>
  </conditionalFormatting>
  <conditionalFormatting sqref="A61:B61">
    <cfRule type="duplicateValues" dxfId="40" priority="22"/>
  </conditionalFormatting>
  <conditionalFormatting sqref="I1:I1048576">
    <cfRule type="containsText" dxfId="39" priority="15" operator="containsText" text="closed">
      <formula>NOT(ISERROR(SEARCH("closed",I1)))</formula>
    </cfRule>
    <cfRule type="containsText" dxfId="38" priority="16" operator="containsText" text="abandoned">
      <formula>NOT(ISERROR(SEARCH("abandoned",I1)))</formula>
    </cfRule>
    <cfRule type="containsText" dxfId="37" priority="18" operator="containsText" text="late app">
      <formula>NOT(ISERROR(SEARCH("late app",I1)))</formula>
    </cfRule>
  </conditionalFormatting>
  <conditionalFormatting sqref="I2:L1048576 P78:P80 P83:P89 P92:P112 P115:P124 P126:P181 S136 S153 S159 S166 S173 S178 P183:P205 P208:P211 P213:P218 P220:P233 S225 P235:P237 P239:P248 P276:P309 R276:R309 I1:J1">
    <cfRule type="containsText" dxfId="36" priority="21" operator="containsText" text="completed">
      <formula>NOT(ISERROR(SEARCH("completed",I1)))</formula>
    </cfRule>
  </conditionalFormatting>
  <conditionalFormatting sqref="J1:J1048576">
    <cfRule type="containsText" dxfId="35" priority="10" operator="containsText" text="no news">
      <formula>NOT(ISERROR(SEARCH("no news",J1)))</formula>
    </cfRule>
    <cfRule type="containsText" dxfId="34" priority="11" operator="containsText" text="offer">
      <formula>NOT(ISERROR(SEARCH("offer",J1)))</formula>
    </cfRule>
    <cfRule type="containsText" dxfId="33" priority="12" operator="containsText" text="fly out">
      <formula>NOT(ISERROR(SEARCH("fly out",J1)))</formula>
    </cfRule>
    <cfRule type="containsText" dxfId="32" priority="13" operator="containsText" text="interview">
      <formula>NOT(ISERROR(SEARCH("interview",J1)))</formula>
    </cfRule>
    <cfRule type="containsText" dxfId="31" priority="14" operator="containsText" text="rejected">
      <formula>NOT(ISERROR(SEARCH("rejected",J1)))</formula>
    </cfRule>
  </conditionalFormatting>
  <conditionalFormatting sqref="K1:L1048576 P78:P80 P83:P89 P92:P112 P115:P124 P126:P181 S136 S153 S159 S166 S173 S178 P183:P205 P208:P211 P213:P218 P220:P233 S225 P235:P237 P239:P248 P276:P309 R276:R309">
    <cfRule type="containsText" dxfId="30" priority="19" operator="containsText" text="NO">
      <formula>NOT(ISERROR(SEARCH("NO",K1)))</formula>
    </cfRule>
    <cfRule type="containsText" dxfId="29" priority="20" operator="containsText" text="YES">
      <formula>NOT(ISERROR(SEARCH("YES",K1)))</formula>
    </cfRule>
  </conditionalFormatting>
  <conditionalFormatting sqref="P250:P267">
    <cfRule type="containsText" dxfId="28" priority="1" operator="containsText" text="NO">
      <formula>NOT(ISERROR(SEARCH("NO",P250)))</formula>
    </cfRule>
    <cfRule type="containsText" dxfId="27" priority="2" operator="containsText" text="YES">
      <formula>NOT(ISERROR(SEARCH("YES",P250)))</formula>
    </cfRule>
    <cfRule type="containsText" dxfId="26" priority="3" operator="containsText" text="completed">
      <formula>NOT(ISERROR(SEARCH("completed",P250)))</formula>
    </cfRule>
  </conditionalFormatting>
  <hyperlinks>
    <hyperlink ref="M3" r:id="rId1" xr:uid="{2FD67E99-97D4-6F4F-9C23-F094A4E233EB}"/>
    <hyperlink ref="M4" r:id="rId2" xr:uid="{C466BD2C-2D71-FD47-B267-C9470B42EAAE}"/>
    <hyperlink ref="M100" r:id="rId3" xr:uid="{7E4575FB-8BA7-8343-9270-E933C2CF052A}"/>
    <hyperlink ref="M129" r:id="rId4" xr:uid="{7DE2DCC0-6910-AF4A-ADA1-2F0A7CE7A46A}"/>
    <hyperlink ref="M75" r:id="rId5" xr:uid="{9F5721B0-AA94-954A-B077-53D294EE0006}"/>
    <hyperlink ref="F75" r:id="rId6" xr:uid="{E9AC54D1-D414-9A4A-8F10-99810DECDF26}"/>
    <hyperlink ref="M150" r:id="rId7" xr:uid="{3DA7C680-99C0-9744-A5E3-8B70509CE1C7}"/>
    <hyperlink ref="M8" r:id="rId8" xr:uid="{F2E0FCCF-BB13-0240-931E-487798981CC9}"/>
    <hyperlink ref="M127" r:id="rId9" xr:uid="{DF00AD54-0273-B54C-B9CE-46119BBDF932}"/>
    <hyperlink ref="M6" r:id="rId10" display="American Uiversity" xr:uid="{4368F24E-5E4F-B944-AB45-4045D2296D5A}"/>
    <hyperlink ref="M5" r:id="rId11" display="American Uiversity" xr:uid="{0B28A4E3-9367-5B4E-821E-8878EF62879B}"/>
    <hyperlink ref="T8" r:id="rId12" xr:uid="{F8BB08B3-A5E4-0244-9B87-74DC5560EA9C}"/>
    <hyperlink ref="M52" r:id="rId13" xr:uid="{1A802253-386D-0248-869E-8A0EA127D432}"/>
    <hyperlink ref="M51" r:id="rId14" xr:uid="{D10E5030-47DD-F84B-A85A-CB7F9EEF20B4}"/>
    <hyperlink ref="M10" r:id="rId15" xr:uid="{AF10C3AC-DC3E-8F4B-A325-8137F8872365}"/>
    <hyperlink ref="M9" r:id="rId16" xr:uid="{DAADFE53-28FB-BF47-B382-1AE9637B0AC9}"/>
    <hyperlink ref="M50" r:id="rId17" xr:uid="{055B8A95-C64C-8344-8D9A-88ADC3E4C5A7}"/>
    <hyperlink ref="M101" r:id="rId18" xr:uid="{557D8143-61B7-124A-9EC7-930988E1B3DE}"/>
    <hyperlink ref="M35" r:id="rId19" xr:uid="{0B9459D2-C194-B546-B890-EDF488B5E508}"/>
    <hyperlink ref="M7" r:id="rId20" xr:uid="{3E8CCC0C-C03D-0642-8D93-6D5E4E29B155}"/>
    <hyperlink ref="M125" r:id="rId21" xr:uid="{360892F0-CC7D-924A-95AF-9E897ECEE570}"/>
    <hyperlink ref="M13" r:id="rId22" xr:uid="{0D66B73F-990C-044A-BA9A-C5887E710F92}"/>
    <hyperlink ref="M103" r:id="rId23" xr:uid="{79C92412-1EFA-834C-AE35-D77CA8C36A12}"/>
    <hyperlink ref="M105" r:id="rId24" xr:uid="{DAE0AF5F-F94A-294E-86E2-555898BF42FB}"/>
    <hyperlink ref="M92" r:id="rId25" xr:uid="{8E758C4D-96FF-B44B-AE0D-70D6A17B4A4D}"/>
    <hyperlink ref="M76" r:id="rId26" xr:uid="{B2DCF82F-FDBE-B54E-A0A8-BB5059FDE3DE}"/>
    <hyperlink ref="M15" r:id="rId27" xr:uid="{5CDD97D8-5C25-5D42-AA6C-3EFD455D0937}"/>
    <hyperlink ref="M14" r:id="rId28" xr:uid="{4C952912-61F2-7F48-A61F-8171FB512E69}"/>
    <hyperlink ref="T12" r:id="rId29" xr:uid="{97F45FF5-AD7B-2143-9F53-5C46956B35CE}"/>
    <hyperlink ref="F12" r:id="rId30" xr:uid="{3CBBC435-61F9-034D-A9A0-B71AD9A7CCE6}"/>
    <hyperlink ref="M55" r:id="rId31" xr:uid="{115DEFD3-6759-7C49-87C4-663720AFC0F3}"/>
    <hyperlink ref="M73" r:id="rId32" xr:uid="{B568129A-4C88-5D42-B367-90B46CA6E8A2}"/>
    <hyperlink ref="M165" r:id="rId33" xr:uid="{F3D886C1-081B-8F41-85EF-4C299E91BBDA}"/>
    <hyperlink ref="M38" r:id="rId34" xr:uid="{14B04134-DF47-DA43-BB43-BA8C1185A50E}"/>
    <hyperlink ref="M37" r:id="rId35" display="https://www.upf.edu/" xr:uid="{F90D7817-7AA8-1C4B-8992-6FF849FBECCA}"/>
    <hyperlink ref="H7" r:id="rId36" display="mailto:ferran.mane@urv.cat" xr:uid="{DFACBA33-6641-9A4D-B406-DC2FCC993612}"/>
    <hyperlink ref="M110" r:id="rId37" xr:uid="{EFED1D5F-B3C8-6445-899D-122DB5B26298}"/>
    <hyperlink ref="M111" r:id="rId38" xr:uid="{6E0CC17F-E103-7C43-850C-F0FC0B9A5278}"/>
    <hyperlink ref="M109" r:id="rId39" xr:uid="{58693CCE-AFC3-AF44-BB76-62CF466ED6EA}"/>
    <hyperlink ref="M36" r:id="rId40" xr:uid="{FC0BA615-15C1-F64A-BC32-60929732DD9E}"/>
    <hyperlink ref="M154" r:id="rId41" xr:uid="{14CF4841-2A37-9044-AE5B-371378C8D3B9}"/>
    <hyperlink ref="M155" r:id="rId42" xr:uid="{2E048D46-3518-2C4A-B061-479244E61709}"/>
    <hyperlink ref="M18" r:id="rId43" xr:uid="{BA26908B-8596-4249-946E-03161834E8E5}"/>
    <hyperlink ref="M56" r:id="rId44" xr:uid="{00B6A218-D9E8-3D4A-B0D7-CBDFA98EE6F3}"/>
    <hyperlink ref="E9" r:id="rId45" xr:uid="{8C412634-0F9A-E946-9A3F-CA7F4E73C3AB}"/>
    <hyperlink ref="M141" r:id="rId46" xr:uid="{1E1C35FB-7434-7842-A803-7D382F52F333}"/>
    <hyperlink ref="M28" r:id="rId47" xr:uid="{62B1AEBF-C899-0A4B-9923-A135752FBB1C}"/>
    <hyperlink ref="E6" r:id="rId48" xr:uid="{13514A0D-2C0E-5340-8AA2-077046FFB755}"/>
    <hyperlink ref="E51" r:id="rId49" xr:uid="{DE8E5F09-1A02-F148-8539-188D3ED5C9F4}"/>
    <hyperlink ref="E50" r:id="rId50" xr:uid="{84827B93-5057-1D4A-AD4E-C9D52677D58A}"/>
    <hyperlink ref="M173" r:id="rId51" location="/admin" xr:uid="{23CE2AD2-6E21-4241-978C-EFA7C5825B0A}"/>
    <hyperlink ref="H173" r:id="rId52" tooltip="https://www.pierrebiscaye.com/" display="https://nam10.safelinks.protection.outlook.com/?url=https%3A%2F%2Fwww.pierrebiscaye.com%2F&amp;data=05%7C02%7Cgonzalezjj%40mail.smu.edu%7Cf17b24ecae9644d5351608de0b2d3d88%7C0f450f2e334f4bada85c9adf76051d8b%7C0%7C0%7C638960486114093769%7CUnknown%7CTWFpbGZsb3d8eyJFbXB0eU1hcGkiOnRydWUsIlYiOiIwLjAuMDAwMCIsIlAiOiJXaW4zMiIsIkFOIjoiTWFpbCIsIldUIjoyfQ%3D%3D%7C0%7C%7C%7C&amp;sdata=G3tT9q0mvtmAIBnq6zF0gIXzpLRerNt4Zfffdrm2A2E%3D&amp;reserved=0" xr:uid="{B11A9620-8D5F-6A4D-A59A-6B6DCAC23722}"/>
    <hyperlink ref="M172" r:id="rId53" xr:uid="{7C2D96E2-AEFB-4140-A2EF-40B86E5741B1}"/>
    <hyperlink ref="M24" r:id="rId54" xr:uid="{35FAF041-CBFF-8A48-A4B3-B97381C00102}"/>
    <hyperlink ref="M94" r:id="rId55" xr:uid="{2D03A0F6-26F5-B24A-B91A-14D38A06B992}"/>
    <hyperlink ref="F94" r:id="rId56" display="https://academicjobsonline.org/ajo/jobs/30626" xr:uid="{46416258-D6E3-7B41-9A73-A9A4F4E6BB34}"/>
    <hyperlink ref="M153" r:id="rId57" xr:uid="{FEED16DA-CB82-0044-943C-358B6551EC5E}"/>
    <hyperlink ref="H153" r:id="rId58" display="mailto:a.gorbenko@ucl.co.uk" xr:uid="{5772A23E-5235-304E-A5C1-05CB3DAB9BFC}"/>
    <hyperlink ref="M23" r:id="rId59" xr:uid="{0F06344E-50D3-B54E-8250-7516D4B03802}"/>
    <hyperlink ref="F23" r:id="rId60" xr:uid="{B72DD765-9030-AC4B-9C6A-C3E6C6D825B0}"/>
    <hyperlink ref="M20" r:id="rId61" xr:uid="{521B9389-25EE-AC42-8631-0602B790BC9F}"/>
    <hyperlink ref="M19" r:id="rId62" xr:uid="{101CF9F0-3B9F-7741-9A08-0F724B9DFBAD}"/>
    <hyperlink ref="F19" r:id="rId63" xr:uid="{A1E87546-ABB3-B843-AEF8-C1E11BCA894E}"/>
    <hyperlink ref="M43" r:id="rId64" xr:uid="{CB47483F-A82F-854C-A1D3-484A5DDC11BF}"/>
    <hyperlink ref="M45" r:id="rId65" xr:uid="{7A6E251E-DB12-EA4C-BA94-B3B44FE73253}"/>
    <hyperlink ref="M41" r:id="rId66" xr:uid="{7C154F49-4A52-6A48-A99D-F3C3751ADC20}"/>
    <hyperlink ref="M69" r:id="rId67" xr:uid="{11631E55-FA21-864F-B682-18A03075BFEE}"/>
    <hyperlink ref="M61" r:id="rId68" xr:uid="{28BB29AB-D632-9C44-9739-DFD6875CA62C}"/>
    <hyperlink ref="F61" r:id="rId69" xr:uid="{70571E5D-37F6-864A-9EAB-DAEF5B46CD8B}"/>
    <hyperlink ref="M70" r:id="rId70" xr:uid="{DFCE3DEC-01C3-7D49-925B-BEFD13BC818A}"/>
    <hyperlink ref="F70" r:id="rId71" xr:uid="{DD5D337B-2CFC-8F41-A89C-2D8D571940BA}"/>
    <hyperlink ref="M62" r:id="rId72" xr:uid="{EA24C43B-23D8-4E4B-9DD8-AAD27BA385E7}"/>
    <hyperlink ref="M72" r:id="rId73" xr:uid="{8E7D4522-E2CE-7043-9079-1CE2F950B085}"/>
    <hyperlink ref="E13" r:id="rId74" xr:uid="{4517EA95-990E-DE45-A804-67126FDDD4C3}"/>
    <hyperlink ref="M27" r:id="rId75" xr:uid="{91C6A3A0-FE50-5B4F-8B20-8B6496F16211}"/>
    <hyperlink ref="M206" r:id="rId76" xr:uid="{5721E0FE-84BD-D943-BC9A-5350183D9688}"/>
    <hyperlink ref="M47" r:id="rId77" xr:uid="{FE7182CC-AEDE-E142-B842-B2FE5C063CCE}"/>
    <hyperlink ref="M21" r:id="rId78" xr:uid="{694E8A95-02AE-9249-91C7-1102518BA774}"/>
    <hyperlink ref="M17" r:id="rId79" xr:uid="{9A9A6BC9-B330-7842-A78C-4DCC88F5E19F}"/>
    <hyperlink ref="M32" r:id="rId80" xr:uid="{928CABEF-4FA6-E646-8140-7B6E43F8FB96}"/>
    <hyperlink ref="F177" r:id="rId81" xr:uid="{82BF1574-A6C6-1641-9FFE-615861E401FD}"/>
    <hyperlink ref="F276" r:id="rId82" xr:uid="{3562807E-7FDA-F046-BA03-5DDD43072DB7}"/>
    <hyperlink ref="H215" r:id="rId83" display="mailto:ivanpaya@ua.es" xr:uid="{DEFB77A5-E57F-714C-BAB9-56DE82BA0B2E}"/>
    <hyperlink ref="H138" r:id="rId84" display="mailto:ari.hyytinen@hanken.fi" xr:uid="{7777B12A-FD99-4A43-A14B-A15661B760DC}"/>
    <hyperlink ref="H115" r:id="rId85" display="mailto:peter.haan@fu-berlin.de" xr:uid="{3D1A69ED-8F06-1246-B586-201CB349DB62}"/>
    <hyperlink ref="E198" r:id="rId86" xr:uid="{C3771F9C-84FC-7A41-9911-ED3B01799C9C}"/>
    <hyperlink ref="E190" r:id="rId87" xr:uid="{A2B41E48-AA17-FE45-B67C-A5398A81BF2D}"/>
    <hyperlink ref="F190" r:id="rId88" xr:uid="{D2EC3FFA-793B-E54C-B216-5D503F8901AE}"/>
    <hyperlink ref="E57" r:id="rId89" xr:uid="{A30F6415-AE46-5540-B683-ED472CE378B6}"/>
    <hyperlink ref="F60" r:id="rId90" xr:uid="{F44B5BBE-5828-6740-B73D-EFF8E8646AE0}"/>
    <hyperlink ref="E22" r:id="rId91" xr:uid="{8166B827-50E4-644E-A453-5F1CFFE18AAB}"/>
    <hyperlink ref="F25" r:id="rId92" xr:uid="{CE88CF57-77B5-1E49-888D-C53C88BC7BE5}"/>
    <hyperlink ref="E208" r:id="rId93" xr:uid="{1038528D-03E5-437B-A0C6-EA3911052C09}"/>
    <hyperlink ref="H170" r:id="rId94" display="https://elliottash.com/" xr:uid="{00E7B1FA-3490-4C02-A813-67E9093D5D0E}"/>
    <hyperlink ref="F169" r:id="rId95" display="https://www.wu.ac.at/karriere/jobportal/jobs/auf-post-doc-level" xr:uid="{A778646A-D094-492C-BF18-75555D8C4DDB}"/>
    <hyperlink ref="F204" r:id="rId96" xr:uid="{628F4BC8-D030-40FF-BA42-034F08229A4F}"/>
    <hyperlink ref="H240" r:id="rId97" display="mailto:ondrej.krcal@econ.muni.cz" xr:uid="{EDDEB1E6-5767-4FFB-A0AE-57A909D04E81}"/>
    <hyperlink ref="M218" r:id="rId98" display="https://www.ovgu.de/unimagdeburg/en/" xr:uid="{BCB3935D-2B6D-4090-86F5-762D762ED0E3}"/>
    <hyperlink ref="E152" r:id="rId99" xr:uid="{550520C0-1E25-41CD-9AEE-9A3C4D7D328C}"/>
    <hyperlink ref="M252" r:id="rId100" xr:uid="{F0DD6D71-3FFD-4EAB-A251-AAF2DA8EF53C}"/>
    <hyperlink ref="F243" r:id="rId101" xr:uid="{BDBBC2E2-C3C5-4526-A621-853D22D99CCF}"/>
    <hyperlink ref="F257" r:id="rId102" display="mailto:comap@northwestern.edu" xr:uid="{4DD04925-4C98-401C-B09E-A61B83C23B4E}"/>
    <hyperlink ref="E257" r:id="rId103" xr:uid="{491ECAF5-1DC5-4C3F-B1BE-621395157776}"/>
    <hyperlink ref="F260" r:id="rId104" xr:uid="{B084E08B-44BE-4FA5-A345-8036292B3E22}"/>
    <hyperlink ref="F262" r:id="rId105" xr:uid="{F59B1D31-814A-4100-8601-8879ABB1E739}"/>
    <hyperlink ref="F263" r:id="rId106" xr:uid="{C4BD89A9-F3F0-4E10-BAC5-751787E6C1A9}"/>
    <hyperlink ref="F271" r:id="rId107" xr:uid="{A8AE6398-5E3B-44CD-895F-D20F2BEC5279}"/>
    <hyperlink ref="F272" r:id="rId108" xr:uid="{34317180-A8EC-4C92-AB27-7AD534355822}"/>
    <hyperlink ref="F246" r:id="rId109" xr:uid="{81F56FF4-6BEE-4876-B897-D914C7668775}"/>
    <hyperlink ref="E275" r:id="rId110" xr:uid="{ACFEBBD7-5100-486E-81B2-AD29703033C3}"/>
    <hyperlink ref="F291" r:id="rId111" xr:uid="{311A156E-3561-465E-A136-460E4C083957}"/>
    <hyperlink ref="F296" r:id="rId112" xr:uid="{6122D6CC-37C2-48AE-B198-BBEB4D956A30}"/>
    <hyperlink ref="F297" r:id="rId113" xr:uid="{178A12FB-D897-C447-A5D1-9E0BD4BE3AC5}"/>
    <hyperlink ref="F300" r:id="rId114" xr:uid="{E665AFFD-EAA2-D64C-BC9A-2512D61F3A12}"/>
    <hyperlink ref="F302" r:id="rId115" xr:uid="{621E9B7A-5B56-4C45-9045-49FCB21BC49B}"/>
    <hyperlink ref="F303" r:id="rId116" xr:uid="{F4364787-D8B2-C648-8686-107829E70F8B}"/>
    <hyperlink ref="F305" r:id="rId117" xr:uid="{3E9A41B2-7B20-6A4A-BB9E-E086F4C04BDB}"/>
  </hyperlinks>
  <pageMargins left="0.7" right="0.7" top="0.75" bottom="0.75" header="0.3" footer="0.3"/>
  <pageSetup orientation="portrait" horizontalDpi="300" verticalDpi="300" r:id="rId1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81FA-B875-3C4E-A189-1A21268FA086}">
  <dimension ref="A1:C413"/>
  <sheetViews>
    <sheetView tabSelected="1" topLeftCell="A403" zoomScale="208" workbookViewId="0">
      <selection activeCell="B414" sqref="B414"/>
    </sheetView>
  </sheetViews>
  <sheetFormatPr defaultColWidth="10.6640625" defaultRowHeight="16" x14ac:dyDescent="0.4"/>
  <cols>
    <col min="1" max="1" width="32.83203125" customWidth="1"/>
    <col min="2" max="2" width="17.1640625" bestFit="1" customWidth="1"/>
    <col min="3" max="3" width="21" customWidth="1"/>
  </cols>
  <sheetData>
    <row r="1" spans="1:3" s="3" customFormat="1" ht="21" x14ac:dyDescent="0.5">
      <c r="A1" s="3" t="s">
        <v>4</v>
      </c>
      <c r="B1" s="3" t="s">
        <v>5</v>
      </c>
      <c r="C1" s="3" t="s">
        <v>6</v>
      </c>
    </row>
    <row r="2" spans="1:3" x14ac:dyDescent="0.4">
      <c r="A2" s="1">
        <v>45930</v>
      </c>
      <c r="C2" t="s">
        <v>68</v>
      </c>
    </row>
    <row r="3" spans="1:3" x14ac:dyDescent="0.4">
      <c r="A3" s="1">
        <v>45931</v>
      </c>
      <c r="C3" t="s">
        <v>75</v>
      </c>
    </row>
    <row r="4" spans="1:3" x14ac:dyDescent="0.4">
      <c r="A4" s="1">
        <v>45944</v>
      </c>
      <c r="B4" t="s">
        <v>7</v>
      </c>
      <c r="C4" t="s">
        <v>96</v>
      </c>
    </row>
    <row r="5" spans="1:3" x14ac:dyDescent="0.4">
      <c r="A5" s="1">
        <v>45944</v>
      </c>
      <c r="B5" t="s">
        <v>17</v>
      </c>
      <c r="C5" t="s">
        <v>96</v>
      </c>
    </row>
    <row r="6" spans="1:3" x14ac:dyDescent="0.4">
      <c r="A6" s="1">
        <v>45944</v>
      </c>
      <c r="C6" t="s">
        <v>120</v>
      </c>
    </row>
    <row r="7" spans="1:3" x14ac:dyDescent="0.4">
      <c r="A7" s="1">
        <v>45945</v>
      </c>
      <c r="C7" t="s">
        <v>174</v>
      </c>
    </row>
    <row r="8" spans="1:3" x14ac:dyDescent="0.4">
      <c r="A8" s="1">
        <v>45945</v>
      </c>
      <c r="B8" t="s">
        <v>76</v>
      </c>
      <c r="C8" t="s">
        <v>96</v>
      </c>
    </row>
    <row r="9" spans="1:3" x14ac:dyDescent="0.4">
      <c r="A9" s="1">
        <v>45946</v>
      </c>
      <c r="C9" t="s">
        <v>173</v>
      </c>
    </row>
    <row r="10" spans="1:3" x14ac:dyDescent="0.4">
      <c r="A10" s="1">
        <v>45946</v>
      </c>
      <c r="B10" t="s">
        <v>47</v>
      </c>
      <c r="C10" t="s">
        <v>96</v>
      </c>
    </row>
    <row r="11" spans="1:3" x14ac:dyDescent="0.4">
      <c r="A11" s="1">
        <v>45946</v>
      </c>
      <c r="B11" t="s">
        <v>53</v>
      </c>
      <c r="C11" t="s">
        <v>96</v>
      </c>
    </row>
    <row r="12" spans="1:3" x14ac:dyDescent="0.4">
      <c r="A12" s="1">
        <v>45946</v>
      </c>
      <c r="B12" t="s">
        <v>55</v>
      </c>
      <c r="C12" t="s">
        <v>96</v>
      </c>
    </row>
    <row r="13" spans="1:3" x14ac:dyDescent="0.4">
      <c r="A13" s="1">
        <v>45946</v>
      </c>
      <c r="B13" t="s">
        <v>141</v>
      </c>
      <c r="C13" t="s">
        <v>96</v>
      </c>
    </row>
    <row r="14" spans="1:3" x14ac:dyDescent="0.4">
      <c r="A14" s="1">
        <v>45946</v>
      </c>
      <c r="B14" t="s">
        <v>100</v>
      </c>
      <c r="C14" t="s">
        <v>96</v>
      </c>
    </row>
    <row r="15" spans="1:3" x14ac:dyDescent="0.4">
      <c r="A15" s="1">
        <v>45947</v>
      </c>
      <c r="B15" t="s">
        <v>81</v>
      </c>
      <c r="C15" t="s">
        <v>96</v>
      </c>
    </row>
    <row r="16" spans="1:3" x14ac:dyDescent="0.4">
      <c r="A16" s="1">
        <v>45947</v>
      </c>
      <c r="B16" t="s">
        <v>32</v>
      </c>
      <c r="C16" t="s">
        <v>96</v>
      </c>
    </row>
    <row r="17" spans="1:3" x14ac:dyDescent="0.4">
      <c r="A17" s="1">
        <v>45947</v>
      </c>
      <c r="B17" t="s">
        <v>65</v>
      </c>
      <c r="C17" t="s">
        <v>96</v>
      </c>
    </row>
    <row r="18" spans="1:3" x14ac:dyDescent="0.4">
      <c r="A18" s="1">
        <v>45947</v>
      </c>
      <c r="B18" t="s">
        <v>111</v>
      </c>
      <c r="C18" t="s">
        <v>96</v>
      </c>
    </row>
    <row r="19" spans="1:3" x14ac:dyDescent="0.4">
      <c r="A19" s="1">
        <v>45947</v>
      </c>
      <c r="B19" t="s">
        <v>194</v>
      </c>
      <c r="C19" t="s">
        <v>96</v>
      </c>
    </row>
    <row r="20" spans="1:3" x14ac:dyDescent="0.4">
      <c r="A20" s="1">
        <v>45947</v>
      </c>
      <c r="C20" t="s">
        <v>173</v>
      </c>
    </row>
    <row r="21" spans="1:3" x14ac:dyDescent="0.4">
      <c r="A21" s="1">
        <v>45947</v>
      </c>
      <c r="B21" t="s">
        <v>175</v>
      </c>
      <c r="C21" t="s">
        <v>96</v>
      </c>
    </row>
    <row r="22" spans="1:3" x14ac:dyDescent="0.4">
      <c r="A22" s="1">
        <v>45947</v>
      </c>
      <c r="B22" t="s">
        <v>104</v>
      </c>
      <c r="C22" t="s">
        <v>96</v>
      </c>
    </row>
    <row r="23" spans="1:3" x14ac:dyDescent="0.4">
      <c r="A23" s="1">
        <v>45947</v>
      </c>
      <c r="B23" t="s">
        <v>180</v>
      </c>
      <c r="C23" t="s">
        <v>96</v>
      </c>
    </row>
    <row r="24" spans="1:3" x14ac:dyDescent="0.4">
      <c r="A24" s="1">
        <v>45947</v>
      </c>
      <c r="B24" t="s">
        <v>166</v>
      </c>
      <c r="C24" t="s">
        <v>96</v>
      </c>
    </row>
    <row r="25" spans="1:3" x14ac:dyDescent="0.4">
      <c r="A25" s="1">
        <v>45947</v>
      </c>
      <c r="B25" s="5" t="s">
        <v>183</v>
      </c>
      <c r="C25" t="s">
        <v>96</v>
      </c>
    </row>
    <row r="26" spans="1:3" x14ac:dyDescent="0.4">
      <c r="A26" s="1">
        <v>45948</v>
      </c>
      <c r="C26" t="s">
        <v>235</v>
      </c>
    </row>
    <row r="27" spans="1:3" x14ac:dyDescent="0.4">
      <c r="A27" s="1">
        <v>45948</v>
      </c>
      <c r="B27" t="s">
        <v>224</v>
      </c>
      <c r="C27" t="s">
        <v>96</v>
      </c>
    </row>
    <row r="28" spans="1:3" x14ac:dyDescent="0.4">
      <c r="A28" s="1">
        <v>45948</v>
      </c>
      <c r="B28" t="s">
        <v>223</v>
      </c>
      <c r="C28" t="s">
        <v>96</v>
      </c>
    </row>
    <row r="29" spans="1:3" x14ac:dyDescent="0.4">
      <c r="A29" s="1">
        <v>45948</v>
      </c>
      <c r="B29" t="s">
        <v>201</v>
      </c>
      <c r="C29" t="s">
        <v>96</v>
      </c>
    </row>
    <row r="30" spans="1:3" x14ac:dyDescent="0.4">
      <c r="A30" s="1">
        <v>45948</v>
      </c>
      <c r="B30" t="s">
        <v>211</v>
      </c>
      <c r="C30" t="s">
        <v>96</v>
      </c>
    </row>
    <row r="31" spans="1:3" x14ac:dyDescent="0.4">
      <c r="A31" s="1">
        <v>45948</v>
      </c>
      <c r="B31" t="s">
        <v>218</v>
      </c>
      <c r="C31" t="s">
        <v>96</v>
      </c>
    </row>
    <row r="32" spans="1:3" x14ac:dyDescent="0.4">
      <c r="A32" s="1">
        <v>45948</v>
      </c>
      <c r="B32" t="s">
        <v>221</v>
      </c>
      <c r="C32" t="s">
        <v>96</v>
      </c>
    </row>
    <row r="33" spans="1:3" x14ac:dyDescent="0.4">
      <c r="A33" s="1">
        <v>45948</v>
      </c>
      <c r="B33" t="s">
        <v>186</v>
      </c>
      <c r="C33" t="s">
        <v>96</v>
      </c>
    </row>
    <row r="34" spans="1:3" x14ac:dyDescent="0.4">
      <c r="A34" s="1">
        <v>45948</v>
      </c>
      <c r="B34" t="s">
        <v>188</v>
      </c>
      <c r="C34" t="s">
        <v>96</v>
      </c>
    </row>
    <row r="35" spans="1:3" x14ac:dyDescent="0.4">
      <c r="A35" s="1">
        <v>45948</v>
      </c>
      <c r="B35" t="s">
        <v>190</v>
      </c>
      <c r="C35" t="s">
        <v>240</v>
      </c>
    </row>
    <row r="36" spans="1:3" x14ac:dyDescent="0.4">
      <c r="A36" s="1">
        <v>45948</v>
      </c>
      <c r="B36" t="s">
        <v>73</v>
      </c>
      <c r="C36" t="s">
        <v>241</v>
      </c>
    </row>
    <row r="37" spans="1:3" x14ac:dyDescent="0.4">
      <c r="A37" s="1">
        <v>45949</v>
      </c>
      <c r="B37" t="s">
        <v>254</v>
      </c>
      <c r="C37" t="s">
        <v>96</v>
      </c>
    </row>
    <row r="38" spans="1:3" x14ac:dyDescent="0.4">
      <c r="A38" s="1">
        <v>45949</v>
      </c>
      <c r="B38" t="s">
        <v>190</v>
      </c>
      <c r="C38" t="s">
        <v>96</v>
      </c>
    </row>
    <row r="39" spans="1:3" x14ac:dyDescent="0.4">
      <c r="A39" s="1">
        <v>45949</v>
      </c>
      <c r="C39" t="s">
        <v>268</v>
      </c>
    </row>
    <row r="40" spans="1:3" x14ac:dyDescent="0.4">
      <c r="A40" s="1">
        <v>45949</v>
      </c>
      <c r="B40" t="s">
        <v>86</v>
      </c>
      <c r="C40" t="s">
        <v>96</v>
      </c>
    </row>
    <row r="41" spans="1:3" x14ac:dyDescent="0.4">
      <c r="A41" s="1">
        <v>45949</v>
      </c>
      <c r="B41" t="s">
        <v>158</v>
      </c>
      <c r="C41" t="s">
        <v>96</v>
      </c>
    </row>
    <row r="42" spans="1:3" x14ac:dyDescent="0.4">
      <c r="A42" s="1">
        <v>45949</v>
      </c>
      <c r="B42" t="s">
        <v>182</v>
      </c>
      <c r="C42" t="s">
        <v>96</v>
      </c>
    </row>
    <row r="43" spans="1:3" x14ac:dyDescent="0.4">
      <c r="A43" s="1">
        <v>45949</v>
      </c>
      <c r="B43" t="s">
        <v>206</v>
      </c>
      <c r="C43" t="s">
        <v>96</v>
      </c>
    </row>
    <row r="44" spans="1:3" x14ac:dyDescent="0.4">
      <c r="A44" s="1">
        <v>45949</v>
      </c>
      <c r="B44" t="s">
        <v>213</v>
      </c>
      <c r="C44" t="s">
        <v>96</v>
      </c>
    </row>
    <row r="45" spans="1:3" x14ac:dyDescent="0.4">
      <c r="A45" s="1">
        <v>45949</v>
      </c>
      <c r="B45" t="s">
        <v>215</v>
      </c>
      <c r="C45" t="s">
        <v>240</v>
      </c>
    </row>
    <row r="46" spans="1:3" x14ac:dyDescent="0.4">
      <c r="A46" s="1">
        <v>45949</v>
      </c>
      <c r="B46" t="s">
        <v>233</v>
      </c>
      <c r="C46" t="s">
        <v>96</v>
      </c>
    </row>
    <row r="47" spans="1:3" x14ac:dyDescent="0.4">
      <c r="A47" s="1">
        <v>45950</v>
      </c>
      <c r="C47" t="s">
        <v>307</v>
      </c>
    </row>
    <row r="48" spans="1:3" x14ac:dyDescent="0.4">
      <c r="A48" s="1">
        <v>45950</v>
      </c>
      <c r="B48" t="s">
        <v>197</v>
      </c>
      <c r="C48" t="s">
        <v>96</v>
      </c>
    </row>
    <row r="49" spans="1:3" x14ac:dyDescent="0.4">
      <c r="A49" s="1">
        <v>45950</v>
      </c>
      <c r="B49" t="s">
        <v>215</v>
      </c>
      <c r="C49" t="s">
        <v>96</v>
      </c>
    </row>
    <row r="50" spans="1:3" x14ac:dyDescent="0.4">
      <c r="A50" s="1">
        <v>45950</v>
      </c>
      <c r="B50" t="s">
        <v>160</v>
      </c>
      <c r="C50" t="s">
        <v>240</v>
      </c>
    </row>
    <row r="51" spans="1:3" x14ac:dyDescent="0.4">
      <c r="A51" s="1">
        <v>45950</v>
      </c>
      <c r="B51" t="s">
        <v>34</v>
      </c>
      <c r="C51" t="s">
        <v>96</v>
      </c>
    </row>
    <row r="52" spans="1:3" x14ac:dyDescent="0.4">
      <c r="A52" s="1">
        <v>45950</v>
      </c>
      <c r="B52" t="s">
        <v>43</v>
      </c>
      <c r="C52" t="s">
        <v>96</v>
      </c>
    </row>
    <row r="53" spans="1:3" x14ac:dyDescent="0.4">
      <c r="A53" s="1">
        <v>45951</v>
      </c>
      <c r="B53" t="s">
        <v>160</v>
      </c>
      <c r="C53" t="s">
        <v>96</v>
      </c>
    </row>
    <row r="54" spans="1:3" x14ac:dyDescent="0.4">
      <c r="A54" s="1">
        <v>45951</v>
      </c>
      <c r="C54" t="s">
        <v>335</v>
      </c>
    </row>
    <row r="55" spans="1:3" x14ac:dyDescent="0.4">
      <c r="A55" s="1">
        <v>45951</v>
      </c>
      <c r="B55" t="s">
        <v>124</v>
      </c>
      <c r="C55" t="s">
        <v>96</v>
      </c>
    </row>
    <row r="56" spans="1:3" x14ac:dyDescent="0.4">
      <c r="A56" s="1">
        <v>45951</v>
      </c>
      <c r="B56" t="s">
        <v>73</v>
      </c>
      <c r="C56" t="s">
        <v>96</v>
      </c>
    </row>
    <row r="57" spans="1:3" x14ac:dyDescent="0.4">
      <c r="A57" s="1">
        <v>45951</v>
      </c>
      <c r="B57" t="s">
        <v>121</v>
      </c>
      <c r="C57" t="s">
        <v>96</v>
      </c>
    </row>
    <row r="58" spans="1:3" x14ac:dyDescent="0.4">
      <c r="A58" s="1">
        <v>45951</v>
      </c>
      <c r="B58" t="s">
        <v>310</v>
      </c>
      <c r="C58" t="s">
        <v>96</v>
      </c>
    </row>
    <row r="59" spans="1:3" x14ac:dyDescent="0.4">
      <c r="A59" s="1">
        <v>45951</v>
      </c>
      <c r="B59" t="s">
        <v>313</v>
      </c>
      <c r="C59" t="s">
        <v>96</v>
      </c>
    </row>
    <row r="60" spans="1:3" x14ac:dyDescent="0.4">
      <c r="A60" s="1">
        <v>45951</v>
      </c>
      <c r="B60" t="s">
        <v>316</v>
      </c>
      <c r="C60" t="s">
        <v>96</v>
      </c>
    </row>
    <row r="61" spans="1:3" x14ac:dyDescent="0.4">
      <c r="A61" s="1">
        <v>45951</v>
      </c>
      <c r="B61" t="s">
        <v>326</v>
      </c>
      <c r="C61" t="s">
        <v>96</v>
      </c>
    </row>
    <row r="62" spans="1:3" x14ac:dyDescent="0.4">
      <c r="A62" s="1">
        <v>45951</v>
      </c>
      <c r="B62" t="s">
        <v>328</v>
      </c>
      <c r="C62" t="s">
        <v>96</v>
      </c>
    </row>
    <row r="63" spans="1:3" x14ac:dyDescent="0.4">
      <c r="A63" s="1">
        <v>45951</v>
      </c>
      <c r="B63" t="s">
        <v>330</v>
      </c>
      <c r="C63" t="s">
        <v>96</v>
      </c>
    </row>
    <row r="64" spans="1:3" x14ac:dyDescent="0.4">
      <c r="A64" s="1">
        <v>45951</v>
      </c>
      <c r="B64" t="s">
        <v>333</v>
      </c>
      <c r="C64" t="s">
        <v>96</v>
      </c>
    </row>
    <row r="65" spans="1:3" x14ac:dyDescent="0.4">
      <c r="A65" s="1">
        <v>45952</v>
      </c>
      <c r="C65" t="s">
        <v>380</v>
      </c>
    </row>
    <row r="66" spans="1:3" x14ac:dyDescent="0.4">
      <c r="A66" s="1">
        <v>45953</v>
      </c>
      <c r="B66" t="s">
        <v>379</v>
      </c>
      <c r="C66" t="s">
        <v>96</v>
      </c>
    </row>
    <row r="67" spans="1:3" x14ac:dyDescent="0.4">
      <c r="A67" s="1">
        <v>45953</v>
      </c>
      <c r="B67" t="s">
        <v>362</v>
      </c>
      <c r="C67" t="s">
        <v>96</v>
      </c>
    </row>
    <row r="68" spans="1:3" x14ac:dyDescent="0.4">
      <c r="A68" s="1">
        <v>45953</v>
      </c>
      <c r="B68" t="s">
        <v>340</v>
      </c>
      <c r="C68" t="s">
        <v>96</v>
      </c>
    </row>
    <row r="69" spans="1:3" x14ac:dyDescent="0.4">
      <c r="A69" s="1">
        <v>45953</v>
      </c>
      <c r="B69" t="s">
        <v>367</v>
      </c>
      <c r="C69" t="s">
        <v>96</v>
      </c>
    </row>
    <row r="70" spans="1:3" x14ac:dyDescent="0.4">
      <c r="A70" s="1">
        <v>45953</v>
      </c>
      <c r="B70" t="s">
        <v>371</v>
      </c>
      <c r="C70" t="s">
        <v>96</v>
      </c>
    </row>
    <row r="71" spans="1:3" x14ac:dyDescent="0.4">
      <c r="A71" s="1">
        <v>45953</v>
      </c>
      <c r="B71" s="5" t="s">
        <v>88</v>
      </c>
      <c r="C71" t="s">
        <v>96</v>
      </c>
    </row>
    <row r="72" spans="1:3" x14ac:dyDescent="0.4">
      <c r="A72" s="1">
        <v>45953</v>
      </c>
      <c r="B72" t="s">
        <v>92</v>
      </c>
      <c r="C72" t="s">
        <v>96</v>
      </c>
    </row>
    <row r="73" spans="1:3" x14ac:dyDescent="0.4">
      <c r="A73" s="1">
        <v>45953</v>
      </c>
      <c r="B73" t="s">
        <v>364</v>
      </c>
      <c r="C73" t="s">
        <v>96</v>
      </c>
    </row>
    <row r="74" spans="1:3" x14ac:dyDescent="0.4">
      <c r="A74" s="1">
        <v>45953</v>
      </c>
      <c r="B74" t="s">
        <v>392</v>
      </c>
      <c r="C74" t="s">
        <v>96</v>
      </c>
    </row>
    <row r="75" spans="1:3" x14ac:dyDescent="0.4">
      <c r="A75" s="1">
        <v>45953</v>
      </c>
      <c r="B75" t="s">
        <v>317</v>
      </c>
      <c r="C75" t="s">
        <v>96</v>
      </c>
    </row>
    <row r="76" spans="1:3" x14ac:dyDescent="0.4">
      <c r="A76" s="1">
        <v>45953</v>
      </c>
      <c r="B76" t="s">
        <v>395</v>
      </c>
      <c r="C76" t="s">
        <v>96</v>
      </c>
    </row>
    <row r="77" spans="1:3" x14ac:dyDescent="0.4">
      <c r="A77" s="1">
        <v>45954</v>
      </c>
      <c r="B77" t="s">
        <v>208</v>
      </c>
      <c r="C77" t="s">
        <v>96</v>
      </c>
    </row>
    <row r="78" spans="1:3" x14ac:dyDescent="0.4">
      <c r="A78" s="1">
        <v>45954</v>
      </c>
      <c r="B78" t="s">
        <v>244</v>
      </c>
      <c r="C78" t="s">
        <v>96</v>
      </c>
    </row>
    <row r="79" spans="1:3" x14ac:dyDescent="0.4">
      <c r="A79" s="1">
        <v>45957</v>
      </c>
      <c r="C79" t="s">
        <v>439</v>
      </c>
    </row>
    <row r="80" spans="1:3" x14ac:dyDescent="0.4">
      <c r="A80" s="1">
        <v>45958</v>
      </c>
      <c r="C80" t="s">
        <v>470</v>
      </c>
    </row>
    <row r="81" spans="1:3" x14ac:dyDescent="0.4">
      <c r="A81" s="1">
        <v>45960</v>
      </c>
      <c r="C81" t="s">
        <v>501</v>
      </c>
    </row>
    <row r="82" spans="1:3" x14ac:dyDescent="0.4">
      <c r="A82" s="1">
        <v>45960</v>
      </c>
      <c r="B82" t="s">
        <v>440</v>
      </c>
      <c r="C82" t="s">
        <v>96</v>
      </c>
    </row>
    <row r="83" spans="1:3" x14ac:dyDescent="0.4">
      <c r="A83" s="1">
        <v>45960</v>
      </c>
      <c r="B83" t="s">
        <v>471</v>
      </c>
      <c r="C83" t="s">
        <v>96</v>
      </c>
    </row>
    <row r="84" spans="1:3" x14ac:dyDescent="0.4">
      <c r="A84" s="1">
        <v>45960</v>
      </c>
      <c r="B84" t="s">
        <v>478</v>
      </c>
      <c r="C84" t="s">
        <v>96</v>
      </c>
    </row>
    <row r="85" spans="1:3" x14ac:dyDescent="0.4">
      <c r="A85" s="1">
        <v>45960</v>
      </c>
      <c r="B85" t="s">
        <v>420</v>
      </c>
      <c r="C85" t="s">
        <v>96</v>
      </c>
    </row>
    <row r="86" spans="1:3" x14ac:dyDescent="0.4">
      <c r="A86" s="1">
        <v>45960</v>
      </c>
      <c r="B86" t="s">
        <v>460</v>
      </c>
      <c r="C86" t="s">
        <v>96</v>
      </c>
    </row>
    <row r="87" spans="1:3" x14ac:dyDescent="0.4">
      <c r="A87" s="1">
        <v>45960</v>
      </c>
      <c r="B87" t="s">
        <v>484</v>
      </c>
      <c r="C87" t="s">
        <v>96</v>
      </c>
    </row>
    <row r="88" spans="1:3" x14ac:dyDescent="0.4">
      <c r="A88" s="1">
        <v>45960</v>
      </c>
      <c r="B88" t="s">
        <v>487</v>
      </c>
      <c r="C88" t="s">
        <v>96</v>
      </c>
    </row>
    <row r="89" spans="1:3" x14ac:dyDescent="0.4">
      <c r="A89" s="1">
        <v>45960</v>
      </c>
      <c r="B89" t="s">
        <v>494</v>
      </c>
      <c r="C89" t="s">
        <v>96</v>
      </c>
    </row>
    <row r="90" spans="1:3" x14ac:dyDescent="0.4">
      <c r="A90" s="1">
        <v>45960</v>
      </c>
      <c r="B90" t="s">
        <v>443</v>
      </c>
      <c r="C90" t="s">
        <v>96</v>
      </c>
    </row>
    <row r="91" spans="1:3" x14ac:dyDescent="0.4">
      <c r="A91" s="1">
        <v>45960</v>
      </c>
      <c r="B91" t="s">
        <v>435</v>
      </c>
      <c r="C91" t="s">
        <v>96</v>
      </c>
    </row>
    <row r="92" spans="1:3" x14ac:dyDescent="0.4">
      <c r="A92" s="1">
        <v>45960</v>
      </c>
      <c r="B92" t="s">
        <v>466</v>
      </c>
      <c r="C92" t="s">
        <v>96</v>
      </c>
    </row>
    <row r="93" spans="1:3" x14ac:dyDescent="0.4">
      <c r="A93" s="1">
        <v>45960</v>
      </c>
      <c r="B93" t="s">
        <v>463</v>
      </c>
      <c r="C93" t="s">
        <v>96</v>
      </c>
    </row>
    <row r="94" spans="1:3" x14ac:dyDescent="0.4">
      <c r="A94" s="1">
        <v>45960</v>
      </c>
      <c r="B94" t="s">
        <v>455</v>
      </c>
      <c r="C94" t="s">
        <v>96</v>
      </c>
    </row>
    <row r="95" spans="1:3" x14ac:dyDescent="0.4">
      <c r="A95" s="1">
        <v>45960</v>
      </c>
      <c r="B95" t="s">
        <v>426</v>
      </c>
      <c r="C95" t="s">
        <v>96</v>
      </c>
    </row>
    <row r="96" spans="1:3" x14ac:dyDescent="0.4">
      <c r="A96" s="1">
        <v>45960</v>
      </c>
      <c r="B96" t="s">
        <v>451</v>
      </c>
      <c r="C96" t="s">
        <v>96</v>
      </c>
    </row>
    <row r="97" spans="1:3" x14ac:dyDescent="0.4">
      <c r="A97" s="1">
        <v>45960</v>
      </c>
      <c r="B97" t="s">
        <v>323</v>
      </c>
      <c r="C97" t="s">
        <v>96</v>
      </c>
    </row>
    <row r="98" spans="1:3" x14ac:dyDescent="0.4">
      <c r="A98" s="1">
        <v>45960</v>
      </c>
      <c r="B98" t="s">
        <v>429</v>
      </c>
      <c r="C98" t="s">
        <v>96</v>
      </c>
    </row>
    <row r="99" spans="1:3" x14ac:dyDescent="0.4">
      <c r="A99" s="1">
        <v>45960</v>
      </c>
      <c r="B99" t="s">
        <v>275</v>
      </c>
      <c r="C99" t="s">
        <v>96</v>
      </c>
    </row>
    <row r="100" spans="1:3" x14ac:dyDescent="0.4">
      <c r="A100" s="1">
        <v>45960</v>
      </c>
      <c r="B100" t="s">
        <v>347</v>
      </c>
      <c r="C100" t="s">
        <v>96</v>
      </c>
    </row>
    <row r="101" spans="1:3" x14ac:dyDescent="0.4">
      <c r="A101" s="1">
        <v>45960</v>
      </c>
      <c r="B101" t="s">
        <v>319</v>
      </c>
      <c r="C101" t="s">
        <v>96</v>
      </c>
    </row>
    <row r="102" spans="1:3" x14ac:dyDescent="0.4">
      <c r="A102" s="1">
        <v>45962</v>
      </c>
      <c r="C102" t="s">
        <v>535</v>
      </c>
    </row>
    <row r="103" spans="1:3" x14ac:dyDescent="0.4">
      <c r="A103" s="1">
        <v>45962</v>
      </c>
      <c r="C103" t="s">
        <v>534</v>
      </c>
    </row>
    <row r="104" spans="1:3" x14ac:dyDescent="0.4">
      <c r="A104" s="1">
        <v>45962</v>
      </c>
      <c r="B104" t="s">
        <v>540</v>
      </c>
      <c r="C104" t="s">
        <v>96</v>
      </c>
    </row>
    <row r="105" spans="1:3" x14ac:dyDescent="0.4">
      <c r="A105" s="1">
        <v>45962</v>
      </c>
      <c r="B105" t="s">
        <v>514</v>
      </c>
      <c r="C105" t="s">
        <v>96</v>
      </c>
    </row>
    <row r="106" spans="1:3" x14ac:dyDescent="0.4">
      <c r="A106" s="1">
        <v>45962</v>
      </c>
      <c r="B106" t="s">
        <v>521</v>
      </c>
      <c r="C106" t="s">
        <v>96</v>
      </c>
    </row>
    <row r="107" spans="1:3" x14ac:dyDescent="0.4">
      <c r="A107" s="1">
        <v>45962</v>
      </c>
      <c r="B107" t="s">
        <v>469</v>
      </c>
      <c r="C107" t="s">
        <v>96</v>
      </c>
    </row>
    <row r="108" spans="1:3" x14ac:dyDescent="0.4">
      <c r="A108" s="1">
        <v>45962</v>
      </c>
      <c r="B108" t="s">
        <v>546</v>
      </c>
      <c r="C108" t="s">
        <v>96</v>
      </c>
    </row>
    <row r="109" spans="1:3" x14ac:dyDescent="0.4">
      <c r="A109" s="1">
        <v>45962</v>
      </c>
      <c r="B109" t="s">
        <v>563</v>
      </c>
      <c r="C109" t="s">
        <v>96</v>
      </c>
    </row>
    <row r="110" spans="1:3" x14ac:dyDescent="0.4">
      <c r="A110" s="1">
        <v>45962</v>
      </c>
      <c r="B110" t="s">
        <v>554</v>
      </c>
      <c r="C110" t="s">
        <v>96</v>
      </c>
    </row>
    <row r="111" spans="1:3" x14ac:dyDescent="0.4">
      <c r="A111" s="1">
        <v>45962</v>
      </c>
      <c r="B111" t="s">
        <v>506</v>
      </c>
      <c r="C111" t="s">
        <v>96</v>
      </c>
    </row>
    <row r="112" spans="1:3" x14ac:dyDescent="0.4">
      <c r="A112" s="1">
        <v>45962</v>
      </c>
      <c r="B112" t="s">
        <v>560</v>
      </c>
      <c r="C112" t="s">
        <v>96</v>
      </c>
    </row>
    <row r="113" spans="1:3" x14ac:dyDescent="0.4">
      <c r="A113" s="1">
        <v>45962</v>
      </c>
      <c r="B113" t="s">
        <v>518</v>
      </c>
      <c r="C113" t="s">
        <v>96</v>
      </c>
    </row>
    <row r="114" spans="1:3" x14ac:dyDescent="0.4">
      <c r="A114" s="1">
        <v>45963</v>
      </c>
      <c r="B114" t="s">
        <v>321</v>
      </c>
      <c r="C114" t="s">
        <v>96</v>
      </c>
    </row>
    <row r="115" spans="1:3" x14ac:dyDescent="0.4">
      <c r="A115" s="1">
        <v>45963</v>
      </c>
      <c r="B115" t="s">
        <v>78</v>
      </c>
      <c r="C115" t="s">
        <v>96</v>
      </c>
    </row>
    <row r="116" spans="1:3" x14ac:dyDescent="0.4">
      <c r="A116" s="1">
        <v>45963</v>
      </c>
      <c r="B116" t="s">
        <v>108</v>
      </c>
      <c r="C116" t="s">
        <v>96</v>
      </c>
    </row>
    <row r="117" spans="1:3" x14ac:dyDescent="0.4">
      <c r="A117" s="1">
        <v>45963</v>
      </c>
      <c r="B117" t="s">
        <v>355</v>
      </c>
      <c r="C117" t="s">
        <v>96</v>
      </c>
    </row>
    <row r="118" spans="1:3" x14ac:dyDescent="0.4">
      <c r="A118" s="1">
        <v>45963</v>
      </c>
      <c r="B118" t="s">
        <v>431</v>
      </c>
      <c r="C118" t="s">
        <v>96</v>
      </c>
    </row>
    <row r="119" spans="1:3" x14ac:dyDescent="0.4">
      <c r="A119" s="1">
        <v>45963</v>
      </c>
      <c r="B119" t="s">
        <v>305</v>
      </c>
      <c r="C119" t="s">
        <v>96</v>
      </c>
    </row>
    <row r="120" spans="1:3" x14ac:dyDescent="0.4">
      <c r="A120" s="1">
        <v>45963</v>
      </c>
      <c r="B120" t="s">
        <v>28</v>
      </c>
      <c r="C120" t="s">
        <v>96</v>
      </c>
    </row>
    <row r="121" spans="1:3" x14ac:dyDescent="0.4">
      <c r="A121" s="1">
        <v>45963</v>
      </c>
      <c r="B121" t="s">
        <v>301</v>
      </c>
      <c r="C121" t="s">
        <v>96</v>
      </c>
    </row>
    <row r="122" spans="1:3" x14ac:dyDescent="0.4">
      <c r="A122" s="1">
        <v>45963</v>
      </c>
      <c r="B122" t="s">
        <v>285</v>
      </c>
      <c r="C122" t="s">
        <v>96</v>
      </c>
    </row>
    <row r="123" spans="1:3" x14ac:dyDescent="0.4">
      <c r="A123" s="1">
        <v>45963</v>
      </c>
      <c r="B123" t="s">
        <v>297</v>
      </c>
      <c r="C123" t="s">
        <v>96</v>
      </c>
    </row>
    <row r="124" spans="1:3" x14ac:dyDescent="0.4">
      <c r="A124" s="1">
        <v>45963</v>
      </c>
      <c r="B124" t="s">
        <v>115</v>
      </c>
      <c r="C124" t="s">
        <v>96</v>
      </c>
    </row>
    <row r="125" spans="1:3" x14ac:dyDescent="0.4">
      <c r="A125" s="1">
        <v>45963</v>
      </c>
      <c r="B125" t="s">
        <v>200</v>
      </c>
      <c r="C125" t="s">
        <v>96</v>
      </c>
    </row>
    <row r="126" spans="1:3" x14ac:dyDescent="0.4">
      <c r="A126" s="1">
        <v>45963</v>
      </c>
      <c r="B126" t="s">
        <v>300</v>
      </c>
      <c r="C126" t="s">
        <v>96</v>
      </c>
    </row>
    <row r="127" spans="1:3" x14ac:dyDescent="0.4">
      <c r="A127" s="1">
        <v>45963</v>
      </c>
      <c r="B127" t="s">
        <v>415</v>
      </c>
      <c r="C127" t="s">
        <v>96</v>
      </c>
    </row>
    <row r="128" spans="1:3" x14ac:dyDescent="0.4">
      <c r="A128" s="1">
        <v>45963</v>
      </c>
      <c r="B128" t="s">
        <v>359</v>
      </c>
      <c r="C128" t="s">
        <v>96</v>
      </c>
    </row>
    <row r="129" spans="1:3" x14ac:dyDescent="0.4">
      <c r="A129" s="1">
        <v>45963</v>
      </c>
      <c r="B129" t="s">
        <v>383</v>
      </c>
      <c r="C129" t="s">
        <v>96</v>
      </c>
    </row>
    <row r="130" spans="1:3" x14ac:dyDescent="0.4">
      <c r="A130" s="1">
        <v>45963</v>
      </c>
      <c r="B130" t="s">
        <v>288</v>
      </c>
      <c r="C130" t="s">
        <v>96</v>
      </c>
    </row>
    <row r="131" spans="1:3" x14ac:dyDescent="0.4">
      <c r="A131" s="1">
        <v>45963</v>
      </c>
      <c r="B131" t="s">
        <v>491</v>
      </c>
      <c r="C131" t="s">
        <v>96</v>
      </c>
    </row>
    <row r="132" spans="1:3" x14ac:dyDescent="0.4">
      <c r="A132" s="1">
        <v>45963</v>
      </c>
      <c r="B132" t="s">
        <v>491</v>
      </c>
      <c r="C132" t="s">
        <v>96</v>
      </c>
    </row>
    <row r="133" spans="1:3" x14ac:dyDescent="0.4">
      <c r="A133" s="1">
        <v>45963</v>
      </c>
      <c r="B133" t="s">
        <v>505</v>
      </c>
      <c r="C133" t="s">
        <v>96</v>
      </c>
    </row>
    <row r="134" spans="1:3" x14ac:dyDescent="0.4">
      <c r="A134" s="1">
        <v>45963</v>
      </c>
      <c r="C134" t="s">
        <v>595</v>
      </c>
    </row>
    <row r="135" spans="1:3" x14ac:dyDescent="0.4">
      <c r="A135" s="1">
        <v>45964</v>
      </c>
      <c r="C135" t="s">
        <v>633</v>
      </c>
    </row>
    <row r="136" spans="1:3" x14ac:dyDescent="0.4">
      <c r="A136" s="1">
        <v>45964</v>
      </c>
      <c r="B136" t="s">
        <v>619</v>
      </c>
      <c r="C136" t="s">
        <v>96</v>
      </c>
    </row>
    <row r="137" spans="1:3" x14ac:dyDescent="0.4">
      <c r="A137" s="1">
        <v>45964</v>
      </c>
      <c r="B137" t="s">
        <v>598</v>
      </c>
      <c r="C137" t="s">
        <v>96</v>
      </c>
    </row>
    <row r="138" spans="1:3" x14ac:dyDescent="0.4">
      <c r="A138" s="1">
        <v>45964</v>
      </c>
      <c r="B138" t="s">
        <v>610</v>
      </c>
      <c r="C138" t="s">
        <v>96</v>
      </c>
    </row>
    <row r="139" spans="1:3" x14ac:dyDescent="0.4">
      <c r="A139" s="1">
        <v>45964</v>
      </c>
      <c r="B139" t="s">
        <v>621</v>
      </c>
      <c r="C139" t="s">
        <v>96</v>
      </c>
    </row>
    <row r="140" spans="1:3" x14ac:dyDescent="0.4">
      <c r="A140" s="1">
        <v>45964</v>
      </c>
      <c r="B140" t="s">
        <v>625</v>
      </c>
      <c r="C140" t="s">
        <v>96</v>
      </c>
    </row>
    <row r="141" spans="1:3" x14ac:dyDescent="0.4">
      <c r="A141" s="1">
        <v>45964</v>
      </c>
      <c r="B141" t="s">
        <v>509</v>
      </c>
      <c r="C141" t="s">
        <v>96</v>
      </c>
    </row>
    <row r="142" spans="1:3" x14ac:dyDescent="0.4">
      <c r="A142" s="1">
        <v>45964</v>
      </c>
      <c r="B142" t="s">
        <v>572</v>
      </c>
      <c r="C142" t="s">
        <v>96</v>
      </c>
    </row>
    <row r="143" spans="1:3" x14ac:dyDescent="0.4">
      <c r="A143" s="1">
        <v>45964</v>
      </c>
      <c r="B143" t="s">
        <v>615</v>
      </c>
      <c r="C143" t="s">
        <v>96</v>
      </c>
    </row>
    <row r="144" spans="1:3" x14ac:dyDescent="0.4">
      <c r="A144" s="1">
        <v>45964</v>
      </c>
      <c r="B144" t="s">
        <v>628</v>
      </c>
      <c r="C144" t="s">
        <v>96</v>
      </c>
    </row>
    <row r="145" spans="1:3" x14ac:dyDescent="0.4">
      <c r="A145" s="1">
        <v>45964</v>
      </c>
      <c r="B145" t="s">
        <v>106</v>
      </c>
      <c r="C145" t="s">
        <v>96</v>
      </c>
    </row>
    <row r="146" spans="1:3" x14ac:dyDescent="0.4">
      <c r="A146" s="1">
        <v>45965</v>
      </c>
      <c r="C146" t="s">
        <v>666</v>
      </c>
    </row>
    <row r="147" spans="1:3" x14ac:dyDescent="0.4">
      <c r="A147" s="1">
        <v>45965</v>
      </c>
      <c r="B147" t="s">
        <v>457</v>
      </c>
      <c r="C147" t="s">
        <v>96</v>
      </c>
    </row>
    <row r="148" spans="1:3" x14ac:dyDescent="0.4">
      <c r="A148" s="1">
        <v>45965</v>
      </c>
      <c r="B148" t="s">
        <v>524</v>
      </c>
      <c r="C148" t="s">
        <v>96</v>
      </c>
    </row>
    <row r="149" spans="1:3" x14ac:dyDescent="0.4">
      <c r="A149" s="1">
        <v>45965</v>
      </c>
      <c r="B149" t="s">
        <v>530</v>
      </c>
      <c r="C149" t="s">
        <v>96</v>
      </c>
    </row>
    <row r="150" spans="1:3" x14ac:dyDescent="0.4">
      <c r="A150" s="1">
        <v>45965</v>
      </c>
      <c r="B150" t="s">
        <v>550</v>
      </c>
      <c r="C150" t="s">
        <v>96</v>
      </c>
    </row>
    <row r="151" spans="1:3" x14ac:dyDescent="0.4">
      <c r="A151" s="1">
        <v>45965</v>
      </c>
      <c r="B151" t="s">
        <v>556</v>
      </c>
      <c r="C151" t="s">
        <v>96</v>
      </c>
    </row>
    <row r="152" spans="1:3" x14ac:dyDescent="0.4">
      <c r="A152" s="1">
        <v>45965</v>
      </c>
      <c r="B152" t="s">
        <v>559</v>
      </c>
      <c r="C152" t="s">
        <v>96</v>
      </c>
    </row>
    <row r="153" spans="1:3" x14ac:dyDescent="0.4">
      <c r="A153" s="1">
        <v>45965</v>
      </c>
      <c r="B153" t="s">
        <v>634</v>
      </c>
      <c r="C153" t="s">
        <v>96</v>
      </c>
    </row>
    <row r="154" spans="1:3" x14ac:dyDescent="0.4">
      <c r="A154" s="1">
        <v>45965</v>
      </c>
      <c r="B154" t="s">
        <v>593</v>
      </c>
      <c r="C154" t="s">
        <v>96</v>
      </c>
    </row>
    <row r="155" spans="1:3" x14ac:dyDescent="0.4">
      <c r="A155" s="1">
        <v>45965</v>
      </c>
      <c r="B155" t="s">
        <v>337</v>
      </c>
      <c r="C155" t="s">
        <v>96</v>
      </c>
    </row>
    <row r="156" spans="1:3" x14ac:dyDescent="0.4">
      <c r="A156" s="1">
        <v>45965</v>
      </c>
      <c r="B156" t="s">
        <v>411</v>
      </c>
      <c r="C156" t="s">
        <v>96</v>
      </c>
    </row>
    <row r="157" spans="1:3" x14ac:dyDescent="0.4">
      <c r="A157" s="1">
        <v>45967</v>
      </c>
      <c r="B157" t="s">
        <v>689</v>
      </c>
      <c r="C157" t="s">
        <v>96</v>
      </c>
    </row>
    <row r="158" spans="1:3" x14ac:dyDescent="0.4">
      <c r="A158" s="1">
        <v>45967</v>
      </c>
      <c r="C158" t="s">
        <v>691</v>
      </c>
    </row>
    <row r="159" spans="1:3" x14ac:dyDescent="0.4">
      <c r="A159" s="1">
        <v>45968</v>
      </c>
      <c r="B159" t="s">
        <v>131</v>
      </c>
      <c r="C159" t="s">
        <v>96</v>
      </c>
    </row>
    <row r="160" spans="1:3" x14ac:dyDescent="0.4">
      <c r="A160" s="1">
        <v>45968</v>
      </c>
      <c r="B160" t="s">
        <v>69</v>
      </c>
      <c r="C160" t="s">
        <v>96</v>
      </c>
    </row>
    <row r="161" spans="1:3" x14ac:dyDescent="0.4">
      <c r="A161" s="1">
        <v>45968</v>
      </c>
      <c r="B161" t="s">
        <v>84</v>
      </c>
      <c r="C161" t="s">
        <v>96</v>
      </c>
    </row>
    <row r="162" spans="1:3" x14ac:dyDescent="0.4">
      <c r="A162" s="1">
        <v>45968</v>
      </c>
      <c r="B162" t="s">
        <v>128</v>
      </c>
      <c r="C162" t="s">
        <v>96</v>
      </c>
    </row>
    <row r="163" spans="1:3" x14ac:dyDescent="0.4">
      <c r="A163" s="1">
        <v>45968</v>
      </c>
      <c r="B163" t="s">
        <v>155</v>
      </c>
      <c r="C163" t="s">
        <v>96</v>
      </c>
    </row>
    <row r="164" spans="1:3" x14ac:dyDescent="0.4">
      <c r="A164" s="1">
        <v>45968</v>
      </c>
      <c r="B164" t="s">
        <v>270</v>
      </c>
      <c r="C164" t="s">
        <v>96</v>
      </c>
    </row>
    <row r="165" spans="1:3" x14ac:dyDescent="0.4">
      <c r="A165" s="1">
        <v>45968</v>
      </c>
      <c r="B165" t="s">
        <v>277</v>
      </c>
      <c r="C165" t="s">
        <v>96</v>
      </c>
    </row>
    <row r="166" spans="1:3" x14ac:dyDescent="0.4">
      <c r="A166" s="1">
        <v>45968</v>
      </c>
      <c r="B166" t="s">
        <v>271</v>
      </c>
      <c r="C166" t="s">
        <v>96</v>
      </c>
    </row>
    <row r="167" spans="1:3" x14ac:dyDescent="0.4">
      <c r="A167" s="1">
        <v>45968</v>
      </c>
      <c r="B167" t="s">
        <v>387</v>
      </c>
      <c r="C167" t="s">
        <v>96</v>
      </c>
    </row>
    <row r="168" spans="1:3" x14ac:dyDescent="0.4">
      <c r="A168" s="1">
        <v>45968</v>
      </c>
      <c r="B168" t="s">
        <v>341</v>
      </c>
      <c r="C168" t="s">
        <v>96</v>
      </c>
    </row>
    <row r="169" spans="1:3" x14ac:dyDescent="0.4">
      <c r="A169" s="1">
        <v>45968</v>
      </c>
      <c r="B169" t="s">
        <v>386</v>
      </c>
      <c r="C169" t="s">
        <v>96</v>
      </c>
    </row>
    <row r="170" spans="1:3" x14ac:dyDescent="0.4">
      <c r="A170" s="1">
        <v>45968</v>
      </c>
      <c r="B170" t="s">
        <v>648</v>
      </c>
      <c r="C170" t="s">
        <v>96</v>
      </c>
    </row>
    <row r="171" spans="1:3" x14ac:dyDescent="0.4">
      <c r="A171" s="1">
        <v>45968</v>
      </c>
      <c r="B171" t="s">
        <v>656</v>
      </c>
      <c r="C171" t="s">
        <v>96</v>
      </c>
    </row>
    <row r="172" spans="1:3" x14ac:dyDescent="0.4">
      <c r="A172" s="1">
        <v>45968</v>
      </c>
      <c r="B172" t="s">
        <v>669</v>
      </c>
      <c r="C172" t="s">
        <v>96</v>
      </c>
    </row>
    <row r="173" spans="1:3" x14ac:dyDescent="0.4">
      <c r="A173" s="1">
        <v>45968</v>
      </c>
      <c r="B173" t="s">
        <v>670</v>
      </c>
      <c r="C173" t="s">
        <v>96</v>
      </c>
    </row>
    <row r="174" spans="1:3" x14ac:dyDescent="0.4">
      <c r="A174" s="1">
        <v>45968</v>
      </c>
      <c r="B174" t="s">
        <v>695</v>
      </c>
      <c r="C174" t="s">
        <v>96</v>
      </c>
    </row>
    <row r="175" spans="1:3" x14ac:dyDescent="0.4">
      <c r="A175" s="1">
        <v>45968</v>
      </c>
      <c r="B175" t="s">
        <v>163</v>
      </c>
      <c r="C175" t="s">
        <v>96</v>
      </c>
    </row>
    <row r="176" spans="1:3" x14ac:dyDescent="0.4">
      <c r="A176" s="1">
        <v>45968</v>
      </c>
      <c r="B176" t="s">
        <v>137</v>
      </c>
      <c r="C176" t="s">
        <v>96</v>
      </c>
    </row>
    <row r="177" spans="1:3" x14ac:dyDescent="0.4">
      <c r="A177" s="1">
        <v>45968</v>
      </c>
      <c r="B177" t="s">
        <v>118</v>
      </c>
      <c r="C177" t="s">
        <v>96</v>
      </c>
    </row>
    <row r="178" spans="1:3" x14ac:dyDescent="0.4">
      <c r="A178" s="1">
        <v>45968</v>
      </c>
      <c r="B178" t="s">
        <v>139</v>
      </c>
      <c r="C178" t="s">
        <v>96</v>
      </c>
    </row>
    <row r="179" spans="1:3" x14ac:dyDescent="0.4">
      <c r="A179" s="1">
        <v>45970</v>
      </c>
      <c r="B179" t="s">
        <v>603</v>
      </c>
      <c r="C179" t="s">
        <v>96</v>
      </c>
    </row>
    <row r="180" spans="1:3" x14ac:dyDescent="0.4">
      <c r="A180" s="1">
        <v>45970</v>
      </c>
      <c r="B180" t="s">
        <v>617</v>
      </c>
      <c r="C180" t="s">
        <v>96</v>
      </c>
    </row>
    <row r="181" spans="1:3" x14ac:dyDescent="0.4">
      <c r="A181" s="1">
        <v>45970</v>
      </c>
      <c r="B181" t="s">
        <v>686</v>
      </c>
      <c r="C181" t="s">
        <v>96</v>
      </c>
    </row>
    <row r="182" spans="1:3" x14ac:dyDescent="0.4">
      <c r="A182" s="1">
        <v>45970</v>
      </c>
      <c r="B182" t="s">
        <v>692</v>
      </c>
      <c r="C182" t="s">
        <v>96</v>
      </c>
    </row>
    <row r="183" spans="1:3" x14ac:dyDescent="0.4">
      <c r="A183" s="1">
        <v>45970</v>
      </c>
      <c r="B183" t="s">
        <v>381</v>
      </c>
      <c r="C183" t="s">
        <v>96</v>
      </c>
    </row>
    <row r="184" spans="1:3" x14ac:dyDescent="0.4">
      <c r="A184" s="1">
        <v>45970</v>
      </c>
      <c r="B184" t="s">
        <v>352</v>
      </c>
      <c r="C184" t="s">
        <v>96</v>
      </c>
    </row>
    <row r="185" spans="1:3" x14ac:dyDescent="0.4">
      <c r="A185" s="1">
        <v>45970</v>
      </c>
      <c r="B185" t="s">
        <v>291</v>
      </c>
      <c r="C185" t="s">
        <v>96</v>
      </c>
    </row>
    <row r="186" spans="1:3" x14ac:dyDescent="0.4">
      <c r="A186" s="1">
        <v>45970</v>
      </c>
      <c r="B186" t="s">
        <v>294</v>
      </c>
      <c r="C186" t="s">
        <v>96</v>
      </c>
    </row>
    <row r="187" spans="1:3" x14ac:dyDescent="0.4">
      <c r="A187" s="1">
        <v>45970</v>
      </c>
      <c r="B187" t="s">
        <v>152</v>
      </c>
      <c r="C187" t="s">
        <v>96</v>
      </c>
    </row>
    <row r="188" spans="1:3" x14ac:dyDescent="0.4">
      <c r="A188" s="1">
        <v>45970</v>
      </c>
      <c r="B188" t="s">
        <v>266</v>
      </c>
      <c r="C188" t="s">
        <v>96</v>
      </c>
    </row>
    <row r="189" spans="1:3" x14ac:dyDescent="0.4">
      <c r="A189" s="1">
        <v>45970</v>
      </c>
      <c r="B189" t="s">
        <v>280</v>
      </c>
      <c r="C189" t="s">
        <v>96</v>
      </c>
    </row>
    <row r="190" spans="1:3" x14ac:dyDescent="0.4">
      <c r="A190" s="1">
        <v>45970</v>
      </c>
      <c r="B190" t="s">
        <v>282</v>
      </c>
      <c r="C190" t="s">
        <v>96</v>
      </c>
    </row>
    <row r="191" spans="1:3" x14ac:dyDescent="0.4">
      <c r="A191" s="1">
        <v>45970</v>
      </c>
      <c r="B191" t="s">
        <v>287</v>
      </c>
      <c r="C191" t="s">
        <v>96</v>
      </c>
    </row>
    <row r="192" spans="1:3" x14ac:dyDescent="0.4">
      <c r="A192" s="1">
        <v>45970</v>
      </c>
      <c r="B192" t="s">
        <v>376</v>
      </c>
      <c r="C192" t="s">
        <v>96</v>
      </c>
    </row>
    <row r="193" spans="1:3" x14ac:dyDescent="0.4">
      <c r="A193" s="1">
        <v>45970</v>
      </c>
      <c r="B193" t="s">
        <v>407</v>
      </c>
      <c r="C193" t="s">
        <v>96</v>
      </c>
    </row>
    <row r="194" spans="1:3" x14ac:dyDescent="0.4">
      <c r="A194" s="1">
        <v>45970</v>
      </c>
      <c r="B194" t="s">
        <v>156</v>
      </c>
      <c r="C194" t="s">
        <v>96</v>
      </c>
    </row>
    <row r="195" spans="1:3" x14ac:dyDescent="0.4">
      <c r="A195" s="1">
        <v>45970</v>
      </c>
      <c r="B195" t="s">
        <v>237</v>
      </c>
      <c r="C195" t="s">
        <v>96</v>
      </c>
    </row>
    <row r="196" spans="1:3" x14ac:dyDescent="0.4">
      <c r="A196" s="1">
        <v>45970</v>
      </c>
      <c r="B196" t="s">
        <v>265</v>
      </c>
      <c r="C196" t="s">
        <v>96</v>
      </c>
    </row>
    <row r="197" spans="1:3" x14ac:dyDescent="0.4">
      <c r="A197" s="1">
        <v>45970</v>
      </c>
      <c r="B197" t="s">
        <v>259</v>
      </c>
      <c r="C197" t="s">
        <v>96</v>
      </c>
    </row>
    <row r="198" spans="1:3" x14ac:dyDescent="0.4">
      <c r="A198" s="1">
        <v>45970</v>
      </c>
      <c r="B198" t="s">
        <v>258</v>
      </c>
      <c r="C198" t="s">
        <v>96</v>
      </c>
    </row>
    <row r="199" spans="1:3" x14ac:dyDescent="0.4">
      <c r="A199" s="1">
        <v>45971</v>
      </c>
      <c r="B199" t="s">
        <v>422</v>
      </c>
      <c r="C199" t="s">
        <v>96</v>
      </c>
    </row>
    <row r="200" spans="1:3" x14ac:dyDescent="0.4">
      <c r="A200" s="1">
        <v>45971</v>
      </c>
      <c r="B200" t="s">
        <v>447</v>
      </c>
      <c r="C200" t="s">
        <v>96</v>
      </c>
    </row>
    <row r="201" spans="1:3" x14ac:dyDescent="0.4">
      <c r="A201" s="1">
        <v>45971</v>
      </c>
      <c r="B201" t="s">
        <v>249</v>
      </c>
      <c r="C201" t="s">
        <v>96</v>
      </c>
    </row>
    <row r="202" spans="1:3" x14ac:dyDescent="0.4">
      <c r="A202" s="1">
        <v>45971</v>
      </c>
      <c r="B202" t="s">
        <v>253</v>
      </c>
      <c r="C202" t="s">
        <v>96</v>
      </c>
    </row>
    <row r="203" spans="1:3" x14ac:dyDescent="0.4">
      <c r="A203" s="1">
        <v>45971</v>
      </c>
      <c r="B203" t="s">
        <v>374</v>
      </c>
      <c r="C203" t="s">
        <v>96</v>
      </c>
    </row>
    <row r="204" spans="1:3" x14ac:dyDescent="0.4">
      <c r="A204" s="1">
        <v>45971</v>
      </c>
      <c r="B204" t="s">
        <v>203</v>
      </c>
      <c r="C204" t="s">
        <v>96</v>
      </c>
    </row>
    <row r="205" spans="1:3" x14ac:dyDescent="0.4">
      <c r="A205" s="1">
        <v>45971</v>
      </c>
      <c r="B205" t="s">
        <v>474</v>
      </c>
      <c r="C205" t="s">
        <v>96</v>
      </c>
    </row>
    <row r="206" spans="1:3" x14ac:dyDescent="0.4">
      <c r="A206" s="1">
        <v>45971</v>
      </c>
      <c r="B206" t="s">
        <v>480</v>
      </c>
      <c r="C206" t="s">
        <v>96</v>
      </c>
    </row>
    <row r="207" spans="1:3" x14ac:dyDescent="0.4">
      <c r="A207" s="1">
        <v>45971</v>
      </c>
      <c r="B207" t="s">
        <v>496</v>
      </c>
      <c r="C207" t="s">
        <v>96</v>
      </c>
    </row>
    <row r="208" spans="1:3" x14ac:dyDescent="0.4">
      <c r="A208" s="1">
        <v>45971</v>
      </c>
      <c r="B208" t="s">
        <v>499</v>
      </c>
      <c r="C208" t="s">
        <v>96</v>
      </c>
    </row>
    <row r="209" spans="1:3" x14ac:dyDescent="0.4">
      <c r="A209" s="1">
        <v>45975</v>
      </c>
      <c r="B209" t="s">
        <v>723</v>
      </c>
      <c r="C209" t="s">
        <v>96</v>
      </c>
    </row>
    <row r="210" spans="1:3" x14ac:dyDescent="0.4">
      <c r="A210" s="1">
        <v>45978</v>
      </c>
      <c r="C210" t="s">
        <v>769</v>
      </c>
    </row>
    <row r="211" spans="1:3" x14ac:dyDescent="0.4">
      <c r="A211" s="1">
        <v>45978</v>
      </c>
      <c r="B211" t="s">
        <v>697</v>
      </c>
      <c r="C211" t="s">
        <v>96</v>
      </c>
    </row>
    <row r="212" spans="1:3" x14ac:dyDescent="0.4">
      <c r="A212" s="1">
        <v>45978</v>
      </c>
      <c r="B212" t="s">
        <v>657</v>
      </c>
      <c r="C212" t="s">
        <v>96</v>
      </c>
    </row>
    <row r="213" spans="1:3" x14ac:dyDescent="0.4">
      <c r="A213" s="1">
        <v>45978</v>
      </c>
      <c r="B213" t="s">
        <v>635</v>
      </c>
      <c r="C213" t="s">
        <v>96</v>
      </c>
    </row>
    <row r="214" spans="1:3" x14ac:dyDescent="0.4">
      <c r="A214" s="1">
        <v>45978</v>
      </c>
      <c r="B214" t="s">
        <v>674</v>
      </c>
      <c r="C214" t="s">
        <v>96</v>
      </c>
    </row>
    <row r="215" spans="1:3" x14ac:dyDescent="0.4">
      <c r="A215" s="1">
        <v>45978</v>
      </c>
      <c r="B215" t="s">
        <v>641</v>
      </c>
      <c r="C215" t="s">
        <v>96</v>
      </c>
    </row>
    <row r="216" spans="1:3" x14ac:dyDescent="0.4">
      <c r="A216" s="1">
        <v>45978</v>
      </c>
      <c r="B216" t="s">
        <v>577</v>
      </c>
      <c r="C216" t="s">
        <v>96</v>
      </c>
    </row>
    <row r="217" spans="1:3" x14ac:dyDescent="0.4">
      <c r="A217" s="1">
        <v>45978</v>
      </c>
      <c r="B217" t="s">
        <v>581</v>
      </c>
      <c r="C217" t="s">
        <v>96</v>
      </c>
    </row>
    <row r="218" spans="1:3" x14ac:dyDescent="0.4">
      <c r="A218" s="1">
        <v>45979</v>
      </c>
      <c r="B218" t="s">
        <v>738</v>
      </c>
      <c r="C218" t="s">
        <v>96</v>
      </c>
    </row>
    <row r="219" spans="1:3" x14ac:dyDescent="0.4">
      <c r="A219" s="1">
        <v>45979</v>
      </c>
      <c r="B219" t="s">
        <v>746</v>
      </c>
      <c r="C219" t="s">
        <v>96</v>
      </c>
    </row>
    <row r="220" spans="1:3" x14ac:dyDescent="0.4">
      <c r="A220" s="1">
        <v>45979</v>
      </c>
      <c r="B220" t="s">
        <v>588</v>
      </c>
      <c r="C220" t="s">
        <v>96</v>
      </c>
    </row>
    <row r="221" spans="1:3" x14ac:dyDescent="0.4">
      <c r="A221" s="1">
        <v>45979</v>
      </c>
      <c r="B221" t="s">
        <v>586</v>
      </c>
      <c r="C221" t="s">
        <v>96</v>
      </c>
    </row>
    <row r="222" spans="1:3" x14ac:dyDescent="0.4">
      <c r="A222" s="1">
        <v>45979</v>
      </c>
      <c r="B222" t="s">
        <v>681</v>
      </c>
      <c r="C222" t="s">
        <v>96</v>
      </c>
    </row>
    <row r="223" spans="1:3" x14ac:dyDescent="0.4">
      <c r="A223" s="1">
        <v>45979</v>
      </c>
      <c r="B223" t="s">
        <v>643</v>
      </c>
      <c r="C223" t="s">
        <v>96</v>
      </c>
    </row>
    <row r="224" spans="1:3" x14ac:dyDescent="0.4">
      <c r="A224" s="1">
        <v>45979</v>
      </c>
      <c r="B224" t="s">
        <v>605</v>
      </c>
      <c r="C224" t="s">
        <v>96</v>
      </c>
    </row>
    <row r="225" spans="1:3" x14ac:dyDescent="0.4">
      <c r="A225" s="1">
        <v>45979</v>
      </c>
      <c r="B225" t="s">
        <v>676</v>
      </c>
      <c r="C225" t="s">
        <v>96</v>
      </c>
    </row>
    <row r="226" spans="1:3" x14ac:dyDescent="0.4">
      <c r="A226" s="1">
        <v>45979</v>
      </c>
      <c r="B226" t="s">
        <v>678</v>
      </c>
      <c r="C226" t="s">
        <v>96</v>
      </c>
    </row>
    <row r="227" spans="1:3" x14ac:dyDescent="0.4">
      <c r="A227" s="1">
        <v>45979</v>
      </c>
      <c r="B227" t="s">
        <v>664</v>
      </c>
      <c r="C227" t="s">
        <v>96</v>
      </c>
    </row>
    <row r="228" spans="1:3" x14ac:dyDescent="0.4">
      <c r="A228" s="1">
        <v>45980</v>
      </c>
      <c r="B228" t="s">
        <v>571</v>
      </c>
      <c r="C228" t="s">
        <v>96</v>
      </c>
    </row>
    <row r="229" spans="1:3" x14ac:dyDescent="0.4">
      <c r="A229" s="1">
        <v>45980</v>
      </c>
      <c r="B229" t="s">
        <v>647</v>
      </c>
      <c r="C229" t="s">
        <v>96</v>
      </c>
    </row>
    <row r="230" spans="1:3" x14ac:dyDescent="0.4">
      <c r="A230" s="1">
        <v>45980</v>
      </c>
      <c r="B230" t="s">
        <v>683</v>
      </c>
      <c r="C230" t="s">
        <v>96</v>
      </c>
    </row>
    <row r="231" spans="1:3" x14ac:dyDescent="0.4">
      <c r="A231" s="1">
        <v>45980</v>
      </c>
      <c r="B231" t="s">
        <v>727</v>
      </c>
      <c r="C231" t="s">
        <v>96</v>
      </c>
    </row>
    <row r="232" spans="1:3" x14ac:dyDescent="0.4">
      <c r="A232" s="1">
        <v>45980</v>
      </c>
      <c r="B232" t="s">
        <v>730</v>
      </c>
      <c r="C232" t="s">
        <v>96</v>
      </c>
    </row>
    <row r="233" spans="1:3" x14ac:dyDescent="0.4">
      <c r="A233" s="1">
        <v>45980</v>
      </c>
      <c r="B233" t="s">
        <v>734</v>
      </c>
      <c r="C233" t="s">
        <v>96</v>
      </c>
    </row>
    <row r="234" spans="1:3" x14ac:dyDescent="0.4">
      <c r="A234" s="1">
        <v>45980</v>
      </c>
      <c r="B234" t="s">
        <v>536</v>
      </c>
      <c r="C234" t="s">
        <v>96</v>
      </c>
    </row>
    <row r="235" spans="1:3" x14ac:dyDescent="0.4">
      <c r="A235" s="1">
        <v>45980</v>
      </c>
      <c r="B235" t="s">
        <v>716</v>
      </c>
      <c r="C235" t="s">
        <v>96</v>
      </c>
    </row>
    <row r="236" spans="1:3" x14ac:dyDescent="0.4">
      <c r="A236" s="1">
        <v>45980</v>
      </c>
      <c r="B236" t="s">
        <v>543</v>
      </c>
      <c r="C236" t="s">
        <v>96</v>
      </c>
    </row>
    <row r="237" spans="1:3" x14ac:dyDescent="0.4">
      <c r="A237" s="1">
        <v>45980</v>
      </c>
      <c r="B237" t="s">
        <v>520</v>
      </c>
      <c r="C237" t="s">
        <v>96</v>
      </c>
    </row>
    <row r="238" spans="1:3" x14ac:dyDescent="0.4">
      <c r="A238" s="1">
        <v>45981</v>
      </c>
      <c r="B238" t="s">
        <v>709</v>
      </c>
      <c r="C238" t="s">
        <v>96</v>
      </c>
    </row>
    <row r="239" spans="1:3" x14ac:dyDescent="0.4">
      <c r="A239" s="1">
        <v>45981</v>
      </c>
      <c r="B239" t="s">
        <v>354</v>
      </c>
      <c r="C239" t="s">
        <v>96</v>
      </c>
    </row>
    <row r="240" spans="1:3" x14ac:dyDescent="0.4">
      <c r="A240" s="1">
        <v>45981</v>
      </c>
      <c r="B240" t="s">
        <v>743</v>
      </c>
      <c r="C240" t="s">
        <v>96</v>
      </c>
    </row>
    <row r="241" spans="1:3" x14ac:dyDescent="0.4">
      <c r="A241" s="1">
        <v>45981</v>
      </c>
      <c r="B241" t="s">
        <v>750</v>
      </c>
      <c r="C241" t="s">
        <v>96</v>
      </c>
    </row>
    <row r="242" spans="1:3" x14ac:dyDescent="0.4">
      <c r="A242" s="1">
        <v>45981</v>
      </c>
      <c r="B242" t="s">
        <v>751</v>
      </c>
      <c r="C242" t="s">
        <v>96</v>
      </c>
    </row>
    <row r="243" spans="1:3" x14ac:dyDescent="0.4">
      <c r="A243" s="1">
        <v>45981</v>
      </c>
      <c r="B243" t="s">
        <v>755</v>
      </c>
      <c r="C243" t="s">
        <v>96</v>
      </c>
    </row>
    <row r="244" spans="1:3" x14ac:dyDescent="0.4">
      <c r="A244" s="1">
        <v>45981</v>
      </c>
      <c r="B244" t="s">
        <v>757</v>
      </c>
      <c r="C244" t="s">
        <v>96</v>
      </c>
    </row>
    <row r="245" spans="1:3" x14ac:dyDescent="0.4">
      <c r="A245" s="1">
        <v>45981</v>
      </c>
      <c r="B245" t="s">
        <v>759</v>
      </c>
      <c r="C245" t="s">
        <v>96</v>
      </c>
    </row>
    <row r="246" spans="1:3" x14ac:dyDescent="0.4">
      <c r="A246" s="1">
        <v>45981</v>
      </c>
      <c r="B246" t="s">
        <v>762</v>
      </c>
      <c r="C246" t="s">
        <v>96</v>
      </c>
    </row>
    <row r="247" spans="1:3" x14ac:dyDescent="0.4">
      <c r="A247" s="1">
        <v>45981</v>
      </c>
      <c r="B247" t="s">
        <v>764</v>
      </c>
      <c r="C247" t="s">
        <v>96</v>
      </c>
    </row>
    <row r="248" spans="1:3" x14ac:dyDescent="0.4">
      <c r="A248" s="1">
        <v>45981</v>
      </c>
      <c r="B248" t="s">
        <v>766</v>
      </c>
      <c r="C248" t="s">
        <v>96</v>
      </c>
    </row>
    <row r="249" spans="1:3" x14ac:dyDescent="0.4">
      <c r="A249" s="1">
        <v>45981</v>
      </c>
      <c r="B249" t="s">
        <v>770</v>
      </c>
      <c r="C249" t="s">
        <v>96</v>
      </c>
    </row>
    <row r="250" spans="1:3" x14ac:dyDescent="0.4">
      <c r="A250" s="1">
        <v>45981</v>
      </c>
      <c r="B250" t="s">
        <v>654</v>
      </c>
      <c r="C250" t="s">
        <v>96</v>
      </c>
    </row>
    <row r="251" spans="1:3" x14ac:dyDescent="0.4">
      <c r="A251" s="1">
        <v>45981</v>
      </c>
      <c r="B251" t="s">
        <v>612</v>
      </c>
      <c r="C251" t="s">
        <v>96</v>
      </c>
    </row>
    <row r="252" spans="1:3" x14ac:dyDescent="0.4">
      <c r="A252" s="1">
        <v>45981</v>
      </c>
      <c r="B252" t="s">
        <v>661</v>
      </c>
      <c r="C252" t="s">
        <v>96</v>
      </c>
    </row>
    <row r="253" spans="1:3" x14ac:dyDescent="0.4">
      <c r="A253" s="1">
        <v>45983</v>
      </c>
      <c r="B253" t="s">
        <v>647</v>
      </c>
      <c r="C253" t="s">
        <v>402</v>
      </c>
    </row>
    <row r="254" spans="1:3" x14ac:dyDescent="0.4">
      <c r="A254" s="1">
        <v>45983</v>
      </c>
      <c r="B254" t="s">
        <v>718</v>
      </c>
      <c r="C254" t="s">
        <v>96</v>
      </c>
    </row>
    <row r="255" spans="1:3" x14ac:dyDescent="0.4">
      <c r="A255" s="1">
        <v>45985</v>
      </c>
      <c r="B255" t="s">
        <v>413</v>
      </c>
      <c r="C255" t="s">
        <v>96</v>
      </c>
    </row>
    <row r="256" spans="1:3" x14ac:dyDescent="0.4">
      <c r="A256" s="1">
        <v>45985</v>
      </c>
      <c r="B256" t="s">
        <v>376</v>
      </c>
      <c r="C256" t="s">
        <v>402</v>
      </c>
    </row>
    <row r="257" spans="1:3" x14ac:dyDescent="0.4">
      <c r="A257" s="1">
        <v>45985</v>
      </c>
      <c r="B257" t="s">
        <v>713</v>
      </c>
      <c r="C257" t="s">
        <v>96</v>
      </c>
    </row>
    <row r="258" spans="1:3" x14ac:dyDescent="0.4">
      <c r="A258" s="1">
        <v>45985</v>
      </c>
      <c r="B258" t="s">
        <v>567</v>
      </c>
      <c r="C258" t="s">
        <v>96</v>
      </c>
    </row>
    <row r="259" spans="1:3" x14ac:dyDescent="0.4">
      <c r="A259" s="1">
        <v>45985</v>
      </c>
      <c r="B259" t="s">
        <v>786</v>
      </c>
      <c r="C259" t="s">
        <v>96</v>
      </c>
    </row>
    <row r="260" spans="1:3" x14ac:dyDescent="0.4">
      <c r="A260" s="1">
        <v>45985</v>
      </c>
      <c r="B260" t="s">
        <v>721</v>
      </c>
      <c r="C260" t="s">
        <v>96</v>
      </c>
    </row>
    <row r="261" spans="1:3" x14ac:dyDescent="0.4">
      <c r="A261" s="1">
        <v>45985</v>
      </c>
      <c r="B261" t="s">
        <v>527</v>
      </c>
      <c r="C261" t="s">
        <v>96</v>
      </c>
    </row>
    <row r="262" spans="1:3" x14ac:dyDescent="0.4">
      <c r="A262" s="1">
        <v>45990</v>
      </c>
      <c r="C262" t="s">
        <v>800</v>
      </c>
    </row>
    <row r="263" spans="1:3" x14ac:dyDescent="0.4">
      <c r="A263" s="1">
        <v>45990</v>
      </c>
      <c r="B263" t="s">
        <v>572</v>
      </c>
      <c r="C263" t="s">
        <v>402</v>
      </c>
    </row>
    <row r="264" spans="1:3" x14ac:dyDescent="0.4">
      <c r="A264" s="1">
        <v>45989</v>
      </c>
      <c r="B264" t="s">
        <v>143</v>
      </c>
      <c r="C264" t="s">
        <v>403</v>
      </c>
    </row>
    <row r="265" spans="1:3" x14ac:dyDescent="0.4">
      <c r="A265" s="1">
        <v>45991</v>
      </c>
      <c r="B265" t="s">
        <v>790</v>
      </c>
      <c r="C265" t="s">
        <v>96</v>
      </c>
    </row>
    <row r="266" spans="1:3" x14ac:dyDescent="0.4">
      <c r="A266" s="1">
        <v>45991</v>
      </c>
      <c r="B266" t="s">
        <v>791</v>
      </c>
      <c r="C266" t="s">
        <v>96</v>
      </c>
    </row>
    <row r="267" spans="1:3" x14ac:dyDescent="0.4">
      <c r="A267" s="1">
        <v>45991</v>
      </c>
      <c r="B267" t="s">
        <v>795</v>
      </c>
      <c r="C267" t="s">
        <v>96</v>
      </c>
    </row>
    <row r="268" spans="1:3" x14ac:dyDescent="0.4">
      <c r="A268" s="1">
        <v>45991</v>
      </c>
      <c r="B268" t="s">
        <v>789</v>
      </c>
      <c r="C268" t="s">
        <v>96</v>
      </c>
    </row>
    <row r="269" spans="1:3" x14ac:dyDescent="0.4">
      <c r="A269" s="1">
        <v>45991</v>
      </c>
      <c r="B269" t="s">
        <v>797</v>
      </c>
      <c r="C269" t="s">
        <v>96</v>
      </c>
    </row>
    <row r="270" spans="1:3" x14ac:dyDescent="0.4">
      <c r="A270" s="1">
        <v>45992</v>
      </c>
      <c r="B270" t="s">
        <v>194</v>
      </c>
      <c r="C270" t="s">
        <v>402</v>
      </c>
    </row>
    <row r="271" spans="1:3" x14ac:dyDescent="0.4">
      <c r="A271" s="1">
        <v>45993</v>
      </c>
      <c r="B271" t="s">
        <v>610</v>
      </c>
      <c r="C271" t="s">
        <v>402</v>
      </c>
    </row>
    <row r="272" spans="1:3" x14ac:dyDescent="0.4">
      <c r="A272" s="1">
        <v>45993</v>
      </c>
      <c r="C272" t="s">
        <v>833</v>
      </c>
    </row>
    <row r="273" spans="1:3" x14ac:dyDescent="0.4">
      <c r="A273" s="1">
        <v>45993</v>
      </c>
      <c r="B273" t="s">
        <v>567</v>
      </c>
      <c r="C273" t="s">
        <v>402</v>
      </c>
    </row>
    <row r="274" spans="1:3" x14ac:dyDescent="0.4">
      <c r="A274" s="1">
        <v>45994</v>
      </c>
      <c r="C274" t="s">
        <v>848</v>
      </c>
    </row>
    <row r="275" spans="1:3" x14ac:dyDescent="0.4">
      <c r="A275" s="1">
        <v>45995</v>
      </c>
      <c r="B275" t="s">
        <v>734</v>
      </c>
      <c r="C275" t="s">
        <v>402</v>
      </c>
    </row>
    <row r="276" spans="1:3" x14ac:dyDescent="0.4">
      <c r="A276" s="1">
        <v>45995</v>
      </c>
      <c r="B276" t="s">
        <v>766</v>
      </c>
      <c r="C276" t="s">
        <v>403</v>
      </c>
    </row>
    <row r="277" spans="1:3" x14ac:dyDescent="0.4">
      <c r="A277" s="1">
        <v>45998</v>
      </c>
      <c r="B277" t="s">
        <v>249</v>
      </c>
      <c r="C277" t="s">
        <v>403</v>
      </c>
    </row>
    <row r="278" spans="1:3" x14ac:dyDescent="0.4">
      <c r="A278" s="1">
        <v>45999</v>
      </c>
      <c r="B278" t="s">
        <v>863</v>
      </c>
      <c r="C278" t="s">
        <v>96</v>
      </c>
    </row>
    <row r="279" spans="1:3" x14ac:dyDescent="0.4">
      <c r="A279" s="1">
        <v>45999</v>
      </c>
      <c r="B279" t="s">
        <v>471</v>
      </c>
      <c r="C279" t="s">
        <v>402</v>
      </c>
    </row>
    <row r="280" spans="1:3" x14ac:dyDescent="0.4">
      <c r="A280" s="1">
        <v>45999</v>
      </c>
      <c r="B280" t="s">
        <v>803</v>
      </c>
      <c r="C280" t="s">
        <v>96</v>
      </c>
    </row>
    <row r="281" spans="1:3" x14ac:dyDescent="0.4">
      <c r="A281" s="1">
        <v>46000</v>
      </c>
      <c r="B281" t="s">
        <v>806</v>
      </c>
      <c r="C281" t="s">
        <v>96</v>
      </c>
    </row>
    <row r="282" spans="1:3" x14ac:dyDescent="0.4">
      <c r="A282" s="1">
        <v>46000</v>
      </c>
      <c r="B282" t="s">
        <v>556</v>
      </c>
      <c r="C282" t="s">
        <v>403</v>
      </c>
    </row>
    <row r="283" spans="1:3" x14ac:dyDescent="0.4">
      <c r="A283" s="1">
        <v>46000</v>
      </c>
      <c r="B283" t="s">
        <v>53</v>
      </c>
      <c r="C283" t="s">
        <v>403</v>
      </c>
    </row>
    <row r="284" spans="1:3" x14ac:dyDescent="0.4">
      <c r="A284" s="1">
        <v>46000</v>
      </c>
      <c r="B284" t="s">
        <v>806</v>
      </c>
      <c r="C284" t="s">
        <v>96</v>
      </c>
    </row>
    <row r="285" spans="1:3" x14ac:dyDescent="0.4">
      <c r="A285" s="1">
        <v>46000</v>
      </c>
      <c r="B285" t="s">
        <v>808</v>
      </c>
      <c r="C285" t="s">
        <v>96</v>
      </c>
    </row>
    <row r="286" spans="1:3" x14ac:dyDescent="0.4">
      <c r="A286" s="1">
        <v>46000</v>
      </c>
      <c r="B286" t="s">
        <v>813</v>
      </c>
      <c r="C286" t="s">
        <v>96</v>
      </c>
    </row>
    <row r="287" spans="1:3" x14ac:dyDescent="0.4">
      <c r="A287" s="1">
        <v>46000</v>
      </c>
      <c r="B287" t="s">
        <v>816</v>
      </c>
      <c r="C287" t="s">
        <v>96</v>
      </c>
    </row>
    <row r="288" spans="1:3" x14ac:dyDescent="0.4">
      <c r="A288" s="1">
        <v>46000</v>
      </c>
      <c r="B288" t="s">
        <v>820</v>
      </c>
      <c r="C288" t="s">
        <v>96</v>
      </c>
    </row>
    <row r="289" spans="1:3" x14ac:dyDescent="0.4">
      <c r="A289" s="1">
        <v>46001</v>
      </c>
      <c r="B289" t="s">
        <v>313</v>
      </c>
      <c r="C289" t="s">
        <v>402</v>
      </c>
    </row>
    <row r="290" spans="1:3" x14ac:dyDescent="0.4">
      <c r="A290" s="1">
        <v>46001</v>
      </c>
      <c r="B290" t="s">
        <v>143</v>
      </c>
      <c r="C290" t="s">
        <v>404</v>
      </c>
    </row>
    <row r="291" spans="1:3" x14ac:dyDescent="0.4">
      <c r="A291" s="1">
        <v>46001</v>
      </c>
      <c r="B291" t="s">
        <v>822</v>
      </c>
      <c r="C291" t="s">
        <v>96</v>
      </c>
    </row>
    <row r="292" spans="1:3" x14ac:dyDescent="0.4">
      <c r="A292" s="1">
        <v>46001</v>
      </c>
      <c r="B292" t="s">
        <v>830</v>
      </c>
      <c r="C292" t="s">
        <v>96</v>
      </c>
    </row>
    <row r="293" spans="1:3" x14ac:dyDescent="0.4">
      <c r="A293" s="1">
        <v>46001</v>
      </c>
      <c r="B293" t="s">
        <v>681</v>
      </c>
      <c r="C293" t="s">
        <v>402</v>
      </c>
    </row>
    <row r="294" spans="1:3" x14ac:dyDescent="0.4">
      <c r="A294" s="1">
        <v>46003</v>
      </c>
      <c r="B294" t="s">
        <v>783</v>
      </c>
      <c r="C294" t="s">
        <v>96</v>
      </c>
    </row>
    <row r="295" spans="1:3" x14ac:dyDescent="0.4">
      <c r="A295" s="1">
        <v>46003</v>
      </c>
      <c r="B295" t="s">
        <v>367</v>
      </c>
      <c r="C295" t="s">
        <v>402</v>
      </c>
    </row>
    <row r="296" spans="1:3" x14ac:dyDescent="0.4">
      <c r="A296" s="1">
        <v>46005</v>
      </c>
      <c r="B296" t="s">
        <v>834</v>
      </c>
      <c r="C296" t="s">
        <v>96</v>
      </c>
    </row>
    <row r="297" spans="1:3" x14ac:dyDescent="0.4">
      <c r="A297" s="1">
        <v>46005</v>
      </c>
      <c r="B297" t="s">
        <v>844</v>
      </c>
      <c r="C297" t="s">
        <v>96</v>
      </c>
    </row>
    <row r="298" spans="1:3" x14ac:dyDescent="0.4">
      <c r="A298" s="1">
        <v>46005</v>
      </c>
      <c r="B298" t="s">
        <v>849</v>
      </c>
      <c r="C298" t="s">
        <v>96</v>
      </c>
    </row>
    <row r="299" spans="1:3" x14ac:dyDescent="0.4">
      <c r="A299" s="1">
        <v>46005</v>
      </c>
      <c r="B299" t="s">
        <v>853</v>
      </c>
      <c r="C299" t="s">
        <v>96</v>
      </c>
    </row>
    <row r="300" spans="1:3" x14ac:dyDescent="0.4">
      <c r="A300" s="1">
        <v>46005</v>
      </c>
      <c r="B300" t="s">
        <v>855</v>
      </c>
      <c r="C300" t="s">
        <v>96</v>
      </c>
    </row>
    <row r="301" spans="1:3" x14ac:dyDescent="0.4">
      <c r="A301" s="1">
        <v>46005</v>
      </c>
      <c r="B301" t="s">
        <v>866</v>
      </c>
      <c r="C301" t="s">
        <v>96</v>
      </c>
    </row>
    <row r="302" spans="1:3" x14ac:dyDescent="0.4">
      <c r="A302" s="1">
        <v>46005</v>
      </c>
      <c r="B302" t="s">
        <v>868</v>
      </c>
      <c r="C302" t="s">
        <v>96</v>
      </c>
    </row>
    <row r="303" spans="1:3" x14ac:dyDescent="0.4">
      <c r="A303" s="1">
        <v>46005</v>
      </c>
      <c r="B303" t="s">
        <v>871</v>
      </c>
      <c r="C303" t="s">
        <v>96</v>
      </c>
    </row>
    <row r="304" spans="1:3" x14ac:dyDescent="0.4">
      <c r="A304" s="1">
        <v>46006</v>
      </c>
      <c r="B304" t="s">
        <v>300</v>
      </c>
      <c r="C304" t="s">
        <v>402</v>
      </c>
    </row>
    <row r="305" spans="1:3" x14ac:dyDescent="0.4">
      <c r="A305" s="1">
        <v>46007</v>
      </c>
      <c r="B305" t="s">
        <v>766</v>
      </c>
      <c r="C305" t="s">
        <v>404</v>
      </c>
    </row>
    <row r="306" spans="1:3" x14ac:dyDescent="0.4">
      <c r="A306" s="1">
        <v>46007</v>
      </c>
      <c r="B306" t="s">
        <v>563</v>
      </c>
      <c r="C306" t="s">
        <v>402</v>
      </c>
    </row>
    <row r="307" spans="1:3" x14ac:dyDescent="0.4">
      <c r="A307" s="1">
        <v>46010</v>
      </c>
      <c r="B307" t="s">
        <v>577</v>
      </c>
      <c r="C307" t="s">
        <v>402</v>
      </c>
    </row>
    <row r="308" spans="1:3" x14ac:dyDescent="0.4">
      <c r="A308" s="1">
        <v>46010</v>
      </c>
      <c r="B308" t="s">
        <v>762</v>
      </c>
      <c r="C308" t="s">
        <v>402</v>
      </c>
    </row>
    <row r="309" spans="1:3" x14ac:dyDescent="0.4">
      <c r="A309" s="1">
        <v>46010</v>
      </c>
      <c r="B309" t="s">
        <v>429</v>
      </c>
      <c r="C309" t="s">
        <v>402</v>
      </c>
    </row>
    <row r="310" spans="1:3" x14ac:dyDescent="0.4">
      <c r="A310" s="1">
        <v>46011</v>
      </c>
      <c r="B310" t="s">
        <v>509</v>
      </c>
      <c r="C310" t="s">
        <v>402</v>
      </c>
    </row>
    <row r="311" spans="1:3" x14ac:dyDescent="0.4">
      <c r="A311" s="1">
        <v>46012</v>
      </c>
      <c r="B311" t="s">
        <v>23</v>
      </c>
      <c r="C311" t="s">
        <v>403</v>
      </c>
    </row>
    <row r="312" spans="1:3" x14ac:dyDescent="0.4">
      <c r="A312" s="1">
        <v>46013</v>
      </c>
      <c r="B312" t="s">
        <v>352</v>
      </c>
      <c r="C312" t="s">
        <v>402</v>
      </c>
    </row>
    <row r="313" spans="1:3" x14ac:dyDescent="0.4">
      <c r="A313" s="1">
        <v>46013</v>
      </c>
      <c r="B313" t="s">
        <v>17</v>
      </c>
      <c r="C313" t="s">
        <v>402</v>
      </c>
    </row>
    <row r="314" spans="1:3" x14ac:dyDescent="0.4">
      <c r="A314" s="1">
        <v>46013</v>
      </c>
      <c r="B314" t="s">
        <v>738</v>
      </c>
      <c r="C314" t="s">
        <v>402</v>
      </c>
    </row>
    <row r="315" spans="1:3" x14ac:dyDescent="0.4">
      <c r="A315" s="1">
        <v>46013</v>
      </c>
      <c r="B315" t="s">
        <v>387</v>
      </c>
      <c r="C315" t="s">
        <v>402</v>
      </c>
    </row>
    <row r="316" spans="1:3" x14ac:dyDescent="0.4">
      <c r="A316" s="1">
        <v>46013</v>
      </c>
      <c r="B316" t="s">
        <v>253</v>
      </c>
      <c r="C316" t="s">
        <v>403</v>
      </c>
    </row>
    <row r="317" spans="1:3" x14ac:dyDescent="0.4">
      <c r="A317" s="1">
        <v>46014</v>
      </c>
      <c r="B317" t="s">
        <v>237</v>
      </c>
      <c r="C317" t="s">
        <v>402</v>
      </c>
    </row>
    <row r="318" spans="1:3" x14ac:dyDescent="0.4">
      <c r="A318" s="1">
        <v>46017</v>
      </c>
      <c r="B318" t="s">
        <v>407</v>
      </c>
      <c r="C318" t="s">
        <v>403</v>
      </c>
    </row>
    <row r="319" spans="1:3" x14ac:dyDescent="0.4">
      <c r="A319" s="1">
        <v>46028</v>
      </c>
      <c r="B319" t="s">
        <v>868</v>
      </c>
      <c r="C319" t="s">
        <v>403</v>
      </c>
    </row>
    <row r="320" spans="1:3" x14ac:dyDescent="0.4">
      <c r="A320" s="1">
        <v>46029</v>
      </c>
      <c r="B320" t="s">
        <v>670</v>
      </c>
      <c r="C320" t="s">
        <v>402</v>
      </c>
    </row>
    <row r="321" spans="1:3" x14ac:dyDescent="0.4">
      <c r="A321" s="1">
        <v>46029</v>
      </c>
      <c r="B321" t="s">
        <v>420</v>
      </c>
      <c r="C321" t="s">
        <v>402</v>
      </c>
    </row>
    <row r="322" spans="1:3" x14ac:dyDescent="0.4">
      <c r="A322" s="1">
        <v>46031</v>
      </c>
      <c r="B322" t="s">
        <v>795</v>
      </c>
      <c r="C322" t="s">
        <v>402</v>
      </c>
    </row>
    <row r="323" spans="1:3" x14ac:dyDescent="0.4">
      <c r="A323" s="1">
        <v>46031</v>
      </c>
      <c r="B323" t="s">
        <v>407</v>
      </c>
      <c r="C323" t="s">
        <v>404</v>
      </c>
    </row>
    <row r="324" spans="1:3" x14ac:dyDescent="0.4">
      <c r="A324" s="1">
        <v>46031</v>
      </c>
      <c r="B324" t="s">
        <v>670</v>
      </c>
      <c r="C324" t="s">
        <v>402</v>
      </c>
    </row>
    <row r="325" spans="1:3" x14ac:dyDescent="0.4">
      <c r="A325" s="1">
        <v>46034</v>
      </c>
      <c r="B325" t="s">
        <v>43</v>
      </c>
      <c r="C325" t="s">
        <v>402</v>
      </c>
    </row>
    <row r="326" spans="1:3" x14ac:dyDescent="0.4">
      <c r="A326" s="1">
        <v>46037</v>
      </c>
      <c r="B326" t="s">
        <v>156</v>
      </c>
      <c r="C326" t="s">
        <v>402</v>
      </c>
    </row>
    <row r="327" spans="1:3" x14ac:dyDescent="0.4">
      <c r="A327" s="1">
        <v>46038</v>
      </c>
      <c r="B327" t="s">
        <v>359</v>
      </c>
      <c r="C327" t="s">
        <v>402</v>
      </c>
    </row>
    <row r="328" spans="1:3" x14ac:dyDescent="0.4">
      <c r="A328" s="1">
        <v>46045</v>
      </c>
      <c r="B328" t="s">
        <v>871</v>
      </c>
      <c r="C328" t="s">
        <v>402</v>
      </c>
    </row>
    <row r="329" spans="1:3" x14ac:dyDescent="0.4">
      <c r="A329" s="1">
        <v>46045</v>
      </c>
      <c r="B329" t="s">
        <v>347</v>
      </c>
      <c r="C329" t="s">
        <v>402</v>
      </c>
    </row>
    <row r="330" spans="1:3" x14ac:dyDescent="0.4">
      <c r="A330" s="1">
        <v>46048</v>
      </c>
      <c r="B330" t="s">
        <v>323</v>
      </c>
      <c r="C330" t="s">
        <v>402</v>
      </c>
    </row>
    <row r="331" spans="1:3" x14ac:dyDescent="0.4">
      <c r="A331" s="1">
        <v>46048</v>
      </c>
      <c r="B331" t="s">
        <v>34</v>
      </c>
      <c r="C331" t="s">
        <v>403</v>
      </c>
    </row>
    <row r="332" spans="1:3" x14ac:dyDescent="0.4">
      <c r="A332" s="1">
        <v>46049</v>
      </c>
      <c r="B332" t="s">
        <v>837</v>
      </c>
      <c r="C332" t="s">
        <v>402</v>
      </c>
    </row>
    <row r="333" spans="1:3" x14ac:dyDescent="0.4">
      <c r="A333" s="1">
        <v>46049</v>
      </c>
      <c r="B333" t="s">
        <v>362</v>
      </c>
      <c r="C333" t="s">
        <v>402</v>
      </c>
    </row>
    <row r="334" spans="1:3" x14ac:dyDescent="0.4">
      <c r="A334" s="1">
        <v>46049</v>
      </c>
      <c r="B334" t="s">
        <v>881</v>
      </c>
      <c r="C334" t="s">
        <v>96</v>
      </c>
    </row>
    <row r="335" spans="1:3" x14ac:dyDescent="0.4">
      <c r="A335" s="1">
        <v>46049</v>
      </c>
      <c r="B335" t="s">
        <v>879</v>
      </c>
      <c r="C335" t="s">
        <v>96</v>
      </c>
    </row>
    <row r="336" spans="1:3" x14ac:dyDescent="0.4">
      <c r="A336" s="1">
        <v>46050</v>
      </c>
      <c r="B336" t="s">
        <v>494</v>
      </c>
      <c r="C336" t="s">
        <v>402</v>
      </c>
    </row>
    <row r="337" spans="1:3" x14ac:dyDescent="0.4">
      <c r="A337" s="1">
        <v>46052</v>
      </c>
      <c r="B337" t="s">
        <v>883</v>
      </c>
      <c r="C337" t="s">
        <v>96</v>
      </c>
    </row>
    <row r="338" spans="1:3" x14ac:dyDescent="0.4">
      <c r="A338" s="1">
        <v>46052</v>
      </c>
      <c r="B338" t="s">
        <v>884</v>
      </c>
      <c r="C338" t="s">
        <v>96</v>
      </c>
    </row>
    <row r="339" spans="1:3" x14ac:dyDescent="0.4">
      <c r="A339" s="1">
        <v>46052</v>
      </c>
      <c r="B339" t="s">
        <v>886</v>
      </c>
      <c r="C339" t="s">
        <v>96</v>
      </c>
    </row>
    <row r="340" spans="1:3" x14ac:dyDescent="0.4">
      <c r="A340" s="1">
        <v>46052</v>
      </c>
      <c r="B340" t="s">
        <v>888</v>
      </c>
      <c r="C340" t="s">
        <v>96</v>
      </c>
    </row>
    <row r="341" spans="1:3" x14ac:dyDescent="0.4">
      <c r="A341" s="1">
        <v>46052</v>
      </c>
      <c r="B341" t="s">
        <v>889</v>
      </c>
      <c r="C341" t="s">
        <v>96</v>
      </c>
    </row>
    <row r="342" spans="1:3" x14ac:dyDescent="0.4">
      <c r="A342" s="1">
        <v>46055</v>
      </c>
      <c r="B342" t="s">
        <v>721</v>
      </c>
      <c r="C342" t="s">
        <v>402</v>
      </c>
    </row>
    <row r="343" spans="1:3" x14ac:dyDescent="0.4">
      <c r="A343" s="1">
        <v>46056</v>
      </c>
      <c r="B343" t="s">
        <v>889</v>
      </c>
      <c r="C343" t="s">
        <v>403</v>
      </c>
    </row>
    <row r="344" spans="1:3" x14ac:dyDescent="0.4">
      <c r="A344" s="1">
        <v>46056</v>
      </c>
      <c r="B344" t="s">
        <v>889</v>
      </c>
      <c r="C344" t="s">
        <v>404</v>
      </c>
    </row>
    <row r="345" spans="1:3" x14ac:dyDescent="0.4">
      <c r="A345" s="1">
        <v>46056</v>
      </c>
      <c r="B345" t="s">
        <v>224</v>
      </c>
      <c r="C345" t="s">
        <v>402</v>
      </c>
    </row>
    <row r="346" spans="1:3" x14ac:dyDescent="0.4">
      <c r="A346" s="1">
        <v>46058</v>
      </c>
      <c r="B346" t="s">
        <v>738</v>
      </c>
      <c r="C346" t="s">
        <v>402</v>
      </c>
    </row>
    <row r="347" spans="1:3" x14ac:dyDescent="0.4">
      <c r="A347" s="1">
        <v>46058</v>
      </c>
      <c r="B347" t="s">
        <v>478</v>
      </c>
      <c r="C347" t="s">
        <v>402</v>
      </c>
    </row>
    <row r="348" spans="1:3" x14ac:dyDescent="0.4">
      <c r="A348" s="1">
        <v>46058</v>
      </c>
      <c r="B348" t="s">
        <v>890</v>
      </c>
      <c r="C348" t="s">
        <v>96</v>
      </c>
    </row>
    <row r="349" spans="1:3" x14ac:dyDescent="0.4">
      <c r="A349" s="1">
        <v>46059</v>
      </c>
      <c r="C349" t="s">
        <v>902</v>
      </c>
    </row>
    <row r="350" spans="1:3" x14ac:dyDescent="0.4">
      <c r="A350" s="1">
        <v>46062</v>
      </c>
      <c r="B350" t="s">
        <v>893</v>
      </c>
      <c r="C350" t="s">
        <v>96</v>
      </c>
    </row>
    <row r="351" spans="1:3" x14ac:dyDescent="0.4">
      <c r="A351" s="1">
        <v>46062</v>
      </c>
      <c r="B351" t="s">
        <v>894</v>
      </c>
      <c r="C351" t="s">
        <v>96</v>
      </c>
    </row>
    <row r="352" spans="1:3" x14ac:dyDescent="0.4">
      <c r="A352" s="1">
        <v>46062</v>
      </c>
      <c r="B352" t="s">
        <v>896</v>
      </c>
      <c r="C352" t="s">
        <v>96</v>
      </c>
    </row>
    <row r="353" spans="1:3" x14ac:dyDescent="0.4">
      <c r="A353" s="1">
        <v>46062</v>
      </c>
      <c r="B353" t="s">
        <v>898</v>
      </c>
      <c r="C353" t="s">
        <v>96</v>
      </c>
    </row>
    <row r="354" spans="1:3" x14ac:dyDescent="0.4">
      <c r="A354" s="1">
        <v>46062</v>
      </c>
      <c r="B354" t="s">
        <v>900</v>
      </c>
      <c r="C354" t="s">
        <v>96</v>
      </c>
    </row>
    <row r="355" spans="1:3" x14ac:dyDescent="0.4">
      <c r="A355" s="1">
        <v>46062</v>
      </c>
      <c r="B355" t="s">
        <v>918</v>
      </c>
      <c r="C355" t="s">
        <v>96</v>
      </c>
    </row>
    <row r="356" spans="1:3" x14ac:dyDescent="0.4">
      <c r="A356" s="1">
        <v>46062</v>
      </c>
      <c r="B356" t="s">
        <v>904</v>
      </c>
      <c r="C356" t="s">
        <v>96</v>
      </c>
    </row>
    <row r="357" spans="1:3" x14ac:dyDescent="0.4">
      <c r="A357" s="1">
        <v>46062</v>
      </c>
      <c r="B357" t="s">
        <v>906</v>
      </c>
      <c r="C357" t="s">
        <v>96</v>
      </c>
    </row>
    <row r="358" spans="1:3" x14ac:dyDescent="0.4">
      <c r="A358" s="1">
        <v>46062</v>
      </c>
      <c r="B358" t="s">
        <v>910</v>
      </c>
      <c r="C358" t="s">
        <v>96</v>
      </c>
    </row>
    <row r="359" spans="1:3" x14ac:dyDescent="0.4">
      <c r="A359" s="1">
        <v>46062</v>
      </c>
      <c r="B359" t="s">
        <v>913</v>
      </c>
      <c r="C359" t="s">
        <v>96</v>
      </c>
    </row>
    <row r="360" spans="1:3" x14ac:dyDescent="0.4">
      <c r="A360" s="1">
        <v>46062</v>
      </c>
      <c r="B360" t="s">
        <v>915</v>
      </c>
      <c r="C360" t="s">
        <v>96</v>
      </c>
    </row>
    <row r="361" spans="1:3" x14ac:dyDescent="0.4">
      <c r="A361" s="1">
        <v>46062</v>
      </c>
      <c r="B361" t="s">
        <v>920</v>
      </c>
      <c r="C361" t="s">
        <v>96</v>
      </c>
    </row>
    <row r="362" spans="1:3" x14ac:dyDescent="0.4">
      <c r="A362" s="1">
        <v>46063</v>
      </c>
      <c r="B362" t="s">
        <v>111</v>
      </c>
      <c r="C362" t="s">
        <v>402</v>
      </c>
    </row>
    <row r="363" spans="1:3" x14ac:dyDescent="0.4">
      <c r="A363" s="1">
        <v>46063</v>
      </c>
      <c r="B363" t="s">
        <v>323</v>
      </c>
      <c r="C363" t="s">
        <v>402</v>
      </c>
    </row>
    <row r="364" spans="1:3" x14ac:dyDescent="0.4">
      <c r="A364" s="1">
        <v>46063</v>
      </c>
      <c r="B364" t="s">
        <v>108</v>
      </c>
      <c r="C364" t="s">
        <v>402</v>
      </c>
    </row>
    <row r="365" spans="1:3" x14ac:dyDescent="0.4">
      <c r="A365" s="1">
        <v>46066</v>
      </c>
      <c r="B365" t="s">
        <v>634</v>
      </c>
      <c r="C365" t="s">
        <v>402</v>
      </c>
    </row>
    <row r="366" spans="1:3" x14ac:dyDescent="0.4">
      <c r="A366" s="1">
        <v>46066</v>
      </c>
      <c r="B366" t="s">
        <v>426</v>
      </c>
      <c r="C366" t="s">
        <v>402</v>
      </c>
    </row>
    <row r="367" spans="1:3" x14ac:dyDescent="0.4">
      <c r="A367" s="1">
        <v>46066</v>
      </c>
      <c r="B367" t="s">
        <v>721</v>
      </c>
      <c r="C367" t="s">
        <v>402</v>
      </c>
    </row>
    <row r="368" spans="1:3" x14ac:dyDescent="0.4">
      <c r="A368" s="1">
        <v>46069</v>
      </c>
      <c r="C368" t="s">
        <v>940</v>
      </c>
    </row>
    <row r="369" spans="1:3" x14ac:dyDescent="0.4">
      <c r="A369" s="1">
        <v>46069</v>
      </c>
      <c r="B369" t="s">
        <v>949</v>
      </c>
      <c r="C369" t="s">
        <v>96</v>
      </c>
    </row>
    <row r="370" spans="1:3" x14ac:dyDescent="0.4">
      <c r="A370" s="1">
        <v>46069</v>
      </c>
      <c r="B370" t="s">
        <v>925</v>
      </c>
      <c r="C370" t="s">
        <v>96</v>
      </c>
    </row>
    <row r="371" spans="1:3" x14ac:dyDescent="0.4">
      <c r="A371" s="1">
        <v>46069</v>
      </c>
      <c r="B371" t="s">
        <v>928</v>
      </c>
      <c r="C371" t="s">
        <v>96</v>
      </c>
    </row>
    <row r="372" spans="1:3" x14ac:dyDescent="0.4">
      <c r="A372" s="1">
        <v>46069</v>
      </c>
      <c r="B372" t="s">
        <v>937</v>
      </c>
      <c r="C372" t="s">
        <v>96</v>
      </c>
    </row>
    <row r="373" spans="1:3" x14ac:dyDescent="0.4">
      <c r="A373" s="1">
        <v>46069</v>
      </c>
      <c r="B373" t="s">
        <v>941</v>
      </c>
      <c r="C373" t="s">
        <v>96</v>
      </c>
    </row>
    <row r="374" spans="1:3" x14ac:dyDescent="0.4">
      <c r="A374" s="1">
        <v>46070</v>
      </c>
      <c r="B374" t="s">
        <v>964</v>
      </c>
      <c r="C374" t="s">
        <v>96</v>
      </c>
    </row>
    <row r="375" spans="1:3" x14ac:dyDescent="0.4">
      <c r="A375" s="1">
        <v>46070</v>
      </c>
      <c r="B375" t="s">
        <v>883</v>
      </c>
      <c r="C375" t="s">
        <v>402</v>
      </c>
    </row>
    <row r="376" spans="1:3" x14ac:dyDescent="0.4">
      <c r="A376" s="1">
        <v>46070</v>
      </c>
      <c r="B376" t="s">
        <v>540</v>
      </c>
      <c r="C376" t="s">
        <v>402</v>
      </c>
    </row>
    <row r="377" spans="1:3" x14ac:dyDescent="0.4">
      <c r="A377" s="1">
        <v>46070</v>
      </c>
      <c r="B377" t="s">
        <v>934</v>
      </c>
      <c r="C377" t="s">
        <v>96</v>
      </c>
    </row>
    <row r="378" spans="1:3" x14ac:dyDescent="0.4">
      <c r="A378" s="1">
        <v>46070</v>
      </c>
      <c r="B378" t="s">
        <v>955</v>
      </c>
      <c r="C378" t="s">
        <v>96</v>
      </c>
    </row>
    <row r="379" spans="1:3" x14ac:dyDescent="0.4">
      <c r="A379" s="1">
        <v>46070</v>
      </c>
      <c r="B379" t="s">
        <v>952</v>
      </c>
      <c r="C379" t="s">
        <v>96</v>
      </c>
    </row>
    <row r="380" spans="1:3" x14ac:dyDescent="0.4">
      <c r="A380" s="1">
        <v>46070</v>
      </c>
      <c r="B380" t="s">
        <v>797</v>
      </c>
      <c r="C380" t="s">
        <v>402</v>
      </c>
    </row>
    <row r="381" spans="1:3" x14ac:dyDescent="0.4">
      <c r="A381" s="1">
        <v>46072</v>
      </c>
      <c r="B381" t="s">
        <v>965</v>
      </c>
      <c r="C381" t="s">
        <v>96</v>
      </c>
    </row>
    <row r="382" spans="1:3" x14ac:dyDescent="0.4">
      <c r="A382" s="1">
        <v>46073</v>
      </c>
      <c r="B382" t="s">
        <v>889</v>
      </c>
      <c r="C382" t="s">
        <v>405</v>
      </c>
    </row>
    <row r="383" spans="1:3" x14ac:dyDescent="0.4">
      <c r="A383" s="1">
        <v>46076</v>
      </c>
      <c r="B383" t="s">
        <v>598</v>
      </c>
      <c r="C383" t="s">
        <v>402</v>
      </c>
    </row>
    <row r="384" spans="1:3" x14ac:dyDescent="0.4">
      <c r="A384" s="1">
        <v>46076</v>
      </c>
      <c r="B384" t="s">
        <v>825</v>
      </c>
      <c r="C384" t="s">
        <v>402</v>
      </c>
    </row>
    <row r="385" spans="1:3" x14ac:dyDescent="0.4">
      <c r="A385" s="1">
        <v>46076</v>
      </c>
      <c r="B385" t="s">
        <v>88</v>
      </c>
      <c r="C385" t="s">
        <v>402</v>
      </c>
    </row>
    <row r="386" spans="1:3" x14ac:dyDescent="0.4">
      <c r="A386" s="1">
        <v>46079</v>
      </c>
      <c r="B386" t="s">
        <v>277</v>
      </c>
      <c r="C386" t="s">
        <v>402</v>
      </c>
    </row>
    <row r="387" spans="1:3" x14ac:dyDescent="0.4">
      <c r="A387" s="1">
        <v>46079</v>
      </c>
      <c r="B387" t="s">
        <v>65</v>
      </c>
      <c r="C387" t="s">
        <v>402</v>
      </c>
    </row>
    <row r="388" spans="1:3" x14ac:dyDescent="0.4">
      <c r="A388" s="1">
        <v>46080</v>
      </c>
      <c r="B388" t="s">
        <v>723</v>
      </c>
      <c r="C388" t="s">
        <v>402</v>
      </c>
    </row>
    <row r="389" spans="1:3" x14ac:dyDescent="0.4">
      <c r="A389" s="1">
        <v>46083</v>
      </c>
      <c r="B389" t="s">
        <v>593</v>
      </c>
      <c r="C389" t="s">
        <v>402</v>
      </c>
    </row>
    <row r="390" spans="1:3" x14ac:dyDescent="0.4">
      <c r="A390" s="1">
        <v>46083</v>
      </c>
      <c r="B390" t="s">
        <v>855</v>
      </c>
      <c r="C390" t="s">
        <v>402</v>
      </c>
    </row>
    <row r="391" spans="1:3" x14ac:dyDescent="0.4">
      <c r="A391" s="1">
        <v>46084</v>
      </c>
      <c r="B391" t="s">
        <v>721</v>
      </c>
      <c r="C391" t="s">
        <v>402</v>
      </c>
    </row>
    <row r="392" spans="1:3" x14ac:dyDescent="0.4">
      <c r="A392" s="1">
        <v>46084</v>
      </c>
      <c r="B392" t="s">
        <v>619</v>
      </c>
      <c r="C392" t="s">
        <v>402</v>
      </c>
    </row>
    <row r="393" spans="1:3" x14ac:dyDescent="0.4">
      <c r="A393" s="1">
        <v>46086</v>
      </c>
      <c r="B393" t="s">
        <v>820</v>
      </c>
      <c r="C393" t="s">
        <v>402</v>
      </c>
    </row>
    <row r="394" spans="1:3" x14ac:dyDescent="0.4">
      <c r="A394" s="1">
        <v>46086</v>
      </c>
      <c r="B394" t="s">
        <v>808</v>
      </c>
      <c r="C394" t="s">
        <v>402</v>
      </c>
    </row>
    <row r="395" spans="1:3" x14ac:dyDescent="0.4">
      <c r="A395" s="1">
        <v>46091</v>
      </c>
      <c r="B395" t="s">
        <v>635</v>
      </c>
      <c r="C395" t="s">
        <v>402</v>
      </c>
    </row>
    <row r="396" spans="1:3" x14ac:dyDescent="0.4">
      <c r="A396" s="1">
        <v>46091</v>
      </c>
      <c r="B396" t="s">
        <v>487</v>
      </c>
      <c r="C396" t="s">
        <v>402</v>
      </c>
    </row>
    <row r="397" spans="1:3" x14ac:dyDescent="0.4">
      <c r="A397" s="1">
        <v>46094</v>
      </c>
      <c r="B397" t="s">
        <v>440</v>
      </c>
      <c r="C397" t="s">
        <v>402</v>
      </c>
    </row>
    <row r="398" spans="1:3" x14ac:dyDescent="0.4">
      <c r="A398" s="1">
        <v>46094</v>
      </c>
      <c r="B398" t="s">
        <v>496</v>
      </c>
      <c r="C398" t="s">
        <v>402</v>
      </c>
    </row>
    <row r="399" spans="1:3" x14ac:dyDescent="0.4">
      <c r="A399" s="1">
        <v>46094</v>
      </c>
      <c r="C399" t="s">
        <v>402</v>
      </c>
    </row>
    <row r="400" spans="1:3" x14ac:dyDescent="0.4">
      <c r="A400" s="1">
        <v>46099</v>
      </c>
      <c r="B400" t="s">
        <v>920</v>
      </c>
      <c r="C400" t="s">
        <v>402</v>
      </c>
    </row>
    <row r="401" spans="1:3" x14ac:dyDescent="0.4">
      <c r="A401" s="1">
        <v>46100</v>
      </c>
      <c r="B401" t="s">
        <v>906</v>
      </c>
      <c r="C401" t="s">
        <v>402</v>
      </c>
    </row>
    <row r="402" spans="1:3" x14ac:dyDescent="0.4">
      <c r="A402" s="1">
        <v>46104</v>
      </c>
      <c r="B402" t="s">
        <v>183</v>
      </c>
      <c r="C402" t="s">
        <v>402</v>
      </c>
    </row>
    <row r="403" spans="1:3" x14ac:dyDescent="0.4">
      <c r="A403" s="1">
        <v>46105</v>
      </c>
      <c r="B403" t="s">
        <v>713</v>
      </c>
      <c r="C403" t="s">
        <v>402</v>
      </c>
    </row>
    <row r="404" spans="1:3" x14ac:dyDescent="0.4">
      <c r="A404" s="1">
        <v>46105</v>
      </c>
      <c r="B404" t="s">
        <v>955</v>
      </c>
      <c r="C404" t="s">
        <v>402</v>
      </c>
    </row>
    <row r="405" spans="1:3" x14ac:dyDescent="0.4">
      <c r="A405" s="1">
        <v>46106</v>
      </c>
      <c r="B405" t="s">
        <v>233</v>
      </c>
      <c r="C405" t="s">
        <v>402</v>
      </c>
    </row>
    <row r="406" spans="1:3" x14ac:dyDescent="0.4">
      <c r="A406" s="1">
        <v>46106</v>
      </c>
      <c r="B406" t="s">
        <v>918</v>
      </c>
      <c r="C406" t="s">
        <v>402</v>
      </c>
    </row>
    <row r="407" spans="1:3" x14ac:dyDescent="0.4">
      <c r="A407" s="1">
        <v>46107</v>
      </c>
      <c r="B407" t="s">
        <v>224</v>
      </c>
      <c r="C407" t="s">
        <v>402</v>
      </c>
    </row>
    <row r="408" spans="1:3" x14ac:dyDescent="0.4">
      <c r="A408" s="1">
        <v>46112</v>
      </c>
      <c r="B408" t="s">
        <v>415</v>
      </c>
      <c r="C408" t="s">
        <v>402</v>
      </c>
    </row>
    <row r="409" spans="1:3" x14ac:dyDescent="0.4">
      <c r="A409" s="1">
        <v>46115</v>
      </c>
      <c r="B409" t="s">
        <v>466</v>
      </c>
      <c r="C409" t="s">
        <v>402</v>
      </c>
    </row>
    <row r="410" spans="1:3" x14ac:dyDescent="0.4">
      <c r="A410" s="1">
        <v>46122</v>
      </c>
      <c r="B410" t="s">
        <v>913</v>
      </c>
      <c r="C410" t="s">
        <v>402</v>
      </c>
    </row>
    <row r="411" spans="1:3" x14ac:dyDescent="0.4">
      <c r="A411" s="1">
        <v>46122</v>
      </c>
      <c r="B411" t="s">
        <v>621</v>
      </c>
      <c r="C411" t="s">
        <v>402</v>
      </c>
    </row>
    <row r="412" spans="1:3" x14ac:dyDescent="0.4">
      <c r="A412" s="1">
        <v>46125</v>
      </c>
      <c r="B412" t="s">
        <v>431</v>
      </c>
      <c r="C412" t="s">
        <v>402</v>
      </c>
    </row>
    <row r="413" spans="1:3" x14ac:dyDescent="0.4">
      <c r="A413" s="1">
        <v>46125</v>
      </c>
      <c r="B413" t="s">
        <v>967</v>
      </c>
      <c r="C413" t="s">
        <v>402</v>
      </c>
    </row>
  </sheetData>
  <conditionalFormatting sqref="B383">
    <cfRule type="duplicateValues" dxfId="25" priority="26"/>
  </conditionalFormatting>
  <conditionalFormatting sqref="B384">
    <cfRule type="duplicateValues" dxfId="24" priority="25"/>
  </conditionalFormatting>
  <conditionalFormatting sqref="B385">
    <cfRule type="duplicateValues" dxfId="23" priority="24"/>
  </conditionalFormatting>
  <conditionalFormatting sqref="B387">
    <cfRule type="duplicateValues" dxfId="22" priority="23"/>
  </conditionalFormatting>
  <conditionalFormatting sqref="B389">
    <cfRule type="duplicateValues" dxfId="21" priority="22"/>
  </conditionalFormatting>
  <conditionalFormatting sqref="B390">
    <cfRule type="duplicateValues" dxfId="20" priority="21"/>
  </conditionalFormatting>
  <conditionalFormatting sqref="B391">
    <cfRule type="duplicateValues" dxfId="19" priority="20"/>
  </conditionalFormatting>
  <conditionalFormatting sqref="B392">
    <cfRule type="duplicateValues" dxfId="18" priority="19"/>
  </conditionalFormatting>
  <conditionalFormatting sqref="B393">
    <cfRule type="duplicateValues" dxfId="17" priority="18"/>
  </conditionalFormatting>
  <conditionalFormatting sqref="B394">
    <cfRule type="duplicateValues" dxfId="16" priority="17"/>
  </conditionalFormatting>
  <conditionalFormatting sqref="B396">
    <cfRule type="duplicateValues" dxfId="15" priority="16"/>
  </conditionalFormatting>
  <conditionalFormatting sqref="B397">
    <cfRule type="duplicateValues" dxfId="14" priority="14"/>
    <cfRule type="duplicateValues" dxfId="13" priority="15"/>
  </conditionalFormatting>
  <conditionalFormatting sqref="B398">
    <cfRule type="duplicateValues" dxfId="12" priority="13"/>
  </conditionalFormatting>
  <conditionalFormatting sqref="B400">
    <cfRule type="duplicateValues" dxfId="11" priority="12"/>
  </conditionalFormatting>
  <conditionalFormatting sqref="B401">
    <cfRule type="duplicateValues" dxfId="10" priority="11"/>
  </conditionalFormatting>
  <conditionalFormatting sqref="B402">
    <cfRule type="duplicateValues" dxfId="9" priority="10"/>
  </conditionalFormatting>
  <conditionalFormatting sqref="B404">
    <cfRule type="duplicateValues" dxfId="8" priority="9"/>
  </conditionalFormatting>
  <conditionalFormatting sqref="B405">
    <cfRule type="duplicateValues" dxfId="7" priority="8"/>
  </conditionalFormatting>
  <conditionalFormatting sqref="B406">
    <cfRule type="duplicateValues" dxfId="6" priority="7"/>
  </conditionalFormatting>
  <conditionalFormatting sqref="B407">
    <cfRule type="duplicateValues" dxfId="5" priority="5"/>
    <cfRule type="duplicateValues" dxfId="4" priority="6"/>
  </conditionalFormatting>
  <conditionalFormatting sqref="B408">
    <cfRule type="duplicateValues" dxfId="3" priority="4"/>
  </conditionalFormatting>
  <conditionalFormatting sqref="B410">
    <cfRule type="duplicateValues" dxfId="2" priority="3"/>
  </conditionalFormatting>
  <conditionalFormatting sqref="B411">
    <cfRule type="duplicateValues" dxfId="1" priority="2"/>
  </conditionalFormatting>
  <conditionalFormatting sqref="B412">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B2CA5-879F-3640-8AF9-56395EF3FA0F}">
  <dimension ref="A1:D11"/>
  <sheetViews>
    <sheetView zoomScale="208" workbookViewId="0">
      <selection activeCell="D1" sqref="D1"/>
    </sheetView>
  </sheetViews>
  <sheetFormatPr defaultColWidth="10.6640625" defaultRowHeight="16" x14ac:dyDescent="0.4"/>
  <cols>
    <col min="1" max="1" width="17.33203125" style="12" customWidth="1"/>
    <col min="2" max="2" width="10.83203125" style="16"/>
    <col min="3" max="3" width="15.33203125" style="10" customWidth="1"/>
  </cols>
  <sheetData>
    <row r="1" spans="1:4" ht="26" x14ac:dyDescent="0.6">
      <c r="A1" s="11" t="s">
        <v>398</v>
      </c>
      <c r="B1" s="15">
        <f>COUNTA(sum!A:A) -1</f>
        <v>308</v>
      </c>
      <c r="C1" s="22">
        <f>COUNTIF(sum!I:I, "completed")/(B1-COUNTIF(sum!I:I, "abandoned")-COUNTIF(sum!I:I, "late app"))</f>
        <v>1</v>
      </c>
      <c r="D1" s="21">
        <f>COUNTIF(sum!I:I, "completed")</f>
        <v>297</v>
      </c>
    </row>
    <row r="2" spans="1:4" ht="22" customHeight="1" x14ac:dyDescent="0.4">
      <c r="A2" s="13" t="s">
        <v>399</v>
      </c>
      <c r="B2" s="16">
        <f>COUNTA(sum!G:G) -1</f>
        <v>53</v>
      </c>
      <c r="C2" s="10">
        <f>COUNTIFS(sum!I:I,"completed", sum!G:G, "&lt;&gt;") / B2</f>
        <v>0.96226415094339623</v>
      </c>
    </row>
    <row r="3" spans="1:4" ht="21" customHeight="1" x14ac:dyDescent="0.4">
      <c r="A3" s="13" t="s">
        <v>773</v>
      </c>
      <c r="B3" s="16">
        <f>COUNTA(sum!K:K) -1</f>
        <v>59</v>
      </c>
      <c r="C3" s="10">
        <f>COUNTIFS(sum!I:I,"completed", sum!K:K, "&lt;&gt;") / B3</f>
        <v>1</v>
      </c>
    </row>
    <row r="5" spans="1:4" ht="26" x14ac:dyDescent="0.6">
      <c r="A5" s="11" t="s">
        <v>400</v>
      </c>
      <c r="B5" s="15">
        <f>COUNTA(sum!J:J) -1</f>
        <v>308</v>
      </c>
      <c r="C5" s="14">
        <f>B5/B1</f>
        <v>1</v>
      </c>
    </row>
    <row r="6" spans="1:4" x14ac:dyDescent="0.4">
      <c r="A6" s="13" t="s">
        <v>401</v>
      </c>
      <c r="B6" s="16">
        <f>COUNTIFS(sum!J:J,"no news")</f>
        <v>272</v>
      </c>
      <c r="C6" s="10">
        <f>B6/$B$5</f>
        <v>0.88311688311688308</v>
      </c>
    </row>
    <row r="7" spans="1:4" x14ac:dyDescent="0.4">
      <c r="A7" s="13" t="s">
        <v>402</v>
      </c>
      <c r="B7" s="16">
        <f>COUNTIFS(sum!J:J,"rejected")</f>
        <v>28</v>
      </c>
      <c r="C7" s="10">
        <f t="shared" ref="C7:C10" si="0">B7/$B$5</f>
        <v>9.0909090909090912E-2</v>
      </c>
    </row>
    <row r="8" spans="1:4" x14ac:dyDescent="0.4">
      <c r="A8" s="13" t="s">
        <v>403</v>
      </c>
      <c r="B8" s="16">
        <f>COUNTIFS(sum!J:J,"interview") + COUNTIFS(sum!J:J,"fly out") + COUNTIFS(sum!J:J,"offer")</f>
        <v>8</v>
      </c>
      <c r="C8" s="10">
        <f t="shared" si="0"/>
        <v>2.5974025974025976E-2</v>
      </c>
    </row>
    <row r="9" spans="1:4" x14ac:dyDescent="0.4">
      <c r="A9" s="18" t="s">
        <v>404</v>
      </c>
      <c r="B9" s="16">
        <f xml:space="preserve"> COUNTIFS(sum!J:J,"fly out") + COUNTIFS(sum!J:J,"offer")</f>
        <v>1</v>
      </c>
      <c r="C9" s="10">
        <f t="shared" si="0"/>
        <v>3.246753246753247E-3</v>
      </c>
    </row>
    <row r="10" spans="1:4" x14ac:dyDescent="0.4">
      <c r="A10" s="13" t="s">
        <v>405</v>
      </c>
      <c r="B10" s="16">
        <f>COUNTIFS(sum!J:J,"offer")</f>
        <v>0</v>
      </c>
      <c r="C10" s="10">
        <f t="shared" si="0"/>
        <v>0</v>
      </c>
    </row>
    <row r="11" spans="1:4" x14ac:dyDescent="0.4">
      <c r="A11" s="23" t="s">
        <v>903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vt:lpstr>
      <vt:lpstr>timeline</vt:lpstr>
      <vt:lpstr>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Jose gonzalez</dc:creator>
  <cp:lastModifiedBy>Javier Jose gonzalez</cp:lastModifiedBy>
  <cp:lastPrinted>2026-01-12T18:41:30Z</cp:lastPrinted>
  <dcterms:created xsi:type="dcterms:W3CDTF">2025-09-09T01:31:50Z</dcterms:created>
  <dcterms:modified xsi:type="dcterms:W3CDTF">2026-04-14T00:20:39Z</dcterms:modified>
</cp:coreProperties>
</file>