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array.xml" ContentType="application/vnd.ms-excel.rdarray+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6"/>
  <workbookPr defaultThemeVersion="202300"/>
  <mc:AlternateContent xmlns:mc="http://schemas.openxmlformats.org/markup-compatibility/2006">
    <mc:Choice Requires="x15">
      <x15ac:absPath xmlns:x15ac="http://schemas.microsoft.com/office/spreadsheetml/2010/11/ac" url="/Volumes/jjgecon_dat/Dropbox/Work/Job Search/2025 EconJM/"/>
    </mc:Choice>
  </mc:AlternateContent>
  <xr:revisionPtr revIDLastSave="0" documentId="13_ncr:1_{32E23876-1255-B245-8FCF-C23F57141C42}" xr6:coauthVersionLast="47" xr6:coauthVersionMax="47" xr10:uidLastSave="{00000000-0000-0000-0000-000000000000}"/>
  <bookViews>
    <workbookView xWindow="0" yWindow="500" windowWidth="38400" windowHeight="21100" xr2:uid="{6FE48536-7E5C-BF4C-9490-2A6392576298}"/>
  </bookViews>
  <sheets>
    <sheet name="sum" sheetId="1" r:id="rId1"/>
    <sheet name="timeline" sheetId="2" r:id="rId2"/>
    <sheet name="stats" sheetId="3" r:id="rId3"/>
  </sheets>
  <definedNames>
    <definedName name="_xlnm._FilterDatabase" localSheetId="0" hidden="1">sum!$A$1:$Y$19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3" l="1"/>
  <c r="B6" i="3"/>
  <c r="B10" i="3"/>
  <c r="B9" i="3"/>
  <c r="B8" i="3"/>
  <c r="B7" i="3"/>
  <c r="C3" i="3"/>
  <c r="C2" i="3"/>
  <c r="B3" i="3"/>
  <c r="B2" i="3"/>
  <c r="B1" i="3"/>
  <c r="C1" i="3" s="1"/>
  <c r="C7" i="3" l="1"/>
  <c r="C10" i="3"/>
  <c r="C5" i="3"/>
  <c r="C8" i="3"/>
  <c r="C6" i="3"/>
  <c r="C9" i="3"/>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74">
    <bk>
      <extLst>
        <ext uri="{3e2802c4-a4d2-4d8b-9148-e3be6c30e623}">
          <xlrd:rvb i="0"/>
        </ext>
      </extLst>
    </bk>
    <bk>
      <extLst>
        <ext uri="{3e2802c4-a4d2-4d8b-9148-e3be6c30e623}">
          <xlrd:rvb i="603"/>
        </ext>
      </extLst>
    </bk>
    <bk>
      <extLst>
        <ext uri="{3e2802c4-a4d2-4d8b-9148-e3be6c30e623}">
          <xlrd:rvb i="684"/>
        </ext>
      </extLst>
    </bk>
    <bk>
      <extLst>
        <ext uri="{3e2802c4-a4d2-4d8b-9148-e3be6c30e623}">
          <xlrd:rvb i="18"/>
        </ext>
      </extLst>
    </bk>
    <bk>
      <extLst>
        <ext uri="{3e2802c4-a4d2-4d8b-9148-e3be6c30e623}">
          <xlrd:rvb i="695"/>
        </ext>
      </extLst>
    </bk>
    <bk>
      <extLst>
        <ext uri="{3e2802c4-a4d2-4d8b-9148-e3be6c30e623}">
          <xlrd:rvb i="792"/>
        </ext>
      </extLst>
    </bk>
    <bk>
      <extLst>
        <ext uri="{3e2802c4-a4d2-4d8b-9148-e3be6c30e623}">
          <xlrd:rvb i="875"/>
        </ext>
      </extLst>
    </bk>
    <bk>
      <extLst>
        <ext uri="{3e2802c4-a4d2-4d8b-9148-e3be6c30e623}">
          <xlrd:rvb i="811"/>
        </ext>
      </extLst>
    </bk>
    <bk>
      <extLst>
        <ext uri="{3e2802c4-a4d2-4d8b-9148-e3be6c30e623}">
          <xlrd:rvb i="884"/>
        </ext>
      </extLst>
    </bk>
    <bk>
      <extLst>
        <ext uri="{3e2802c4-a4d2-4d8b-9148-e3be6c30e623}">
          <xlrd:rvb i="63"/>
        </ext>
      </extLst>
    </bk>
    <bk>
      <extLst>
        <ext uri="{3e2802c4-a4d2-4d8b-9148-e3be6c30e623}">
          <xlrd:rvb i="98"/>
        </ext>
      </extLst>
    </bk>
    <bk>
      <extLst>
        <ext uri="{3e2802c4-a4d2-4d8b-9148-e3be6c30e623}">
          <xlrd:rvb i="962"/>
        </ext>
      </extLst>
    </bk>
    <bk>
      <extLst>
        <ext uri="{3e2802c4-a4d2-4d8b-9148-e3be6c30e623}">
          <xlrd:rvb i="1027"/>
        </ext>
      </extLst>
    </bk>
    <bk>
      <extLst>
        <ext uri="{3e2802c4-a4d2-4d8b-9148-e3be6c30e623}">
          <xlrd:rvb i="90"/>
        </ext>
      </extLst>
    </bk>
    <bk>
      <extLst>
        <ext uri="{3e2802c4-a4d2-4d8b-9148-e3be6c30e623}">
          <xlrd:rvb i="1038"/>
        </ext>
      </extLst>
    </bk>
    <bk>
      <extLst>
        <ext uri="{3e2802c4-a4d2-4d8b-9148-e3be6c30e623}">
          <xlrd:rvb i="58"/>
        </ext>
      </extLst>
    </bk>
    <bk>
      <extLst>
        <ext uri="{3e2802c4-a4d2-4d8b-9148-e3be6c30e623}">
          <xlrd:rvb i="1049"/>
        </ext>
      </extLst>
    </bk>
    <bk>
      <extLst>
        <ext uri="{3e2802c4-a4d2-4d8b-9148-e3be6c30e623}">
          <xlrd:rvb i="95"/>
        </ext>
      </extLst>
    </bk>
    <bk>
      <extLst>
        <ext uri="{3e2802c4-a4d2-4d8b-9148-e3be6c30e623}">
          <xlrd:rvb i="1104"/>
        </ext>
      </extLst>
    </bk>
    <bk>
      <extLst>
        <ext uri="{3e2802c4-a4d2-4d8b-9148-e3be6c30e623}">
          <xlrd:rvb i="1116"/>
        </ext>
      </extLst>
    </bk>
    <bk>
      <extLst>
        <ext uri="{3e2802c4-a4d2-4d8b-9148-e3be6c30e623}">
          <xlrd:rvb i="1193"/>
        </ext>
      </extLst>
    </bk>
    <bk>
      <extLst>
        <ext uri="{3e2802c4-a4d2-4d8b-9148-e3be6c30e623}">
          <xlrd:rvb i="1204"/>
        </ext>
      </extLst>
    </bk>
    <bk>
      <extLst>
        <ext uri="{3e2802c4-a4d2-4d8b-9148-e3be6c30e623}">
          <xlrd:rvb i="1215"/>
        </ext>
      </extLst>
    </bk>
    <bk>
      <extLst>
        <ext uri="{3e2802c4-a4d2-4d8b-9148-e3be6c30e623}">
          <xlrd:rvb i="148"/>
        </ext>
      </extLst>
    </bk>
    <bk>
      <extLst>
        <ext uri="{3e2802c4-a4d2-4d8b-9148-e3be6c30e623}">
          <xlrd:rvb i="1279"/>
        </ext>
      </extLst>
    </bk>
    <bk>
      <extLst>
        <ext uri="{3e2802c4-a4d2-4d8b-9148-e3be6c30e623}">
          <xlrd:rvb i="1120"/>
        </ext>
      </extLst>
    </bk>
    <bk>
      <extLst>
        <ext uri="{3e2802c4-a4d2-4d8b-9148-e3be6c30e623}">
          <xlrd:rvb i="59"/>
        </ext>
      </extLst>
    </bk>
    <bk>
      <extLst>
        <ext uri="{3e2802c4-a4d2-4d8b-9148-e3be6c30e623}">
          <xlrd:rvb i="80"/>
        </ext>
      </extLst>
    </bk>
    <bk>
      <extLst>
        <ext uri="{3e2802c4-a4d2-4d8b-9148-e3be6c30e623}">
          <xlrd:rvb i="1289"/>
        </ext>
      </extLst>
    </bk>
    <bk>
      <extLst>
        <ext uri="{3e2802c4-a4d2-4d8b-9148-e3be6c30e623}">
          <xlrd:rvb i="1366"/>
        </ext>
      </extLst>
    </bk>
    <bk>
      <extLst>
        <ext uri="{3e2802c4-a4d2-4d8b-9148-e3be6c30e623}">
          <xlrd:rvb i="607"/>
        </ext>
      </extLst>
    </bk>
    <bk>
      <extLst>
        <ext uri="{3e2802c4-a4d2-4d8b-9148-e3be6c30e623}">
          <xlrd:rvb i="1425"/>
        </ext>
      </extLst>
    </bk>
    <bk>
      <extLst>
        <ext uri="{3e2802c4-a4d2-4d8b-9148-e3be6c30e623}">
          <xlrd:rvb i="888"/>
        </ext>
      </extLst>
    </bk>
    <bk>
      <extLst>
        <ext uri="{3e2802c4-a4d2-4d8b-9148-e3be6c30e623}">
          <xlrd:rvb i="1432"/>
        </ext>
      </extLst>
    </bk>
    <bk>
      <extLst>
        <ext uri="{3e2802c4-a4d2-4d8b-9148-e3be6c30e623}">
          <xlrd:rvb i="1503"/>
        </ext>
      </extLst>
    </bk>
    <bk>
      <extLst>
        <ext uri="{3e2802c4-a4d2-4d8b-9148-e3be6c30e623}">
          <xlrd:rvb i="1514"/>
        </ext>
      </extLst>
    </bk>
    <bk>
      <extLst>
        <ext uri="{3e2802c4-a4d2-4d8b-9148-e3be6c30e623}">
          <xlrd:rvb i="1523"/>
        </ext>
      </extLst>
    </bk>
    <bk>
      <extLst>
        <ext uri="{3e2802c4-a4d2-4d8b-9148-e3be6c30e623}">
          <xlrd:rvb i="652"/>
        </ext>
      </extLst>
    </bk>
    <bk>
      <extLst>
        <ext uri="{3e2802c4-a4d2-4d8b-9148-e3be6c30e623}">
          <xlrd:rvb i="1532"/>
        </ext>
      </extLst>
    </bk>
    <bk>
      <extLst>
        <ext uri="{3e2802c4-a4d2-4d8b-9148-e3be6c30e623}">
          <xlrd:rvb i="796"/>
        </ext>
      </extLst>
    </bk>
    <bk>
      <extLst>
        <ext uri="{3e2802c4-a4d2-4d8b-9148-e3be6c30e623}">
          <xlrd:rvb i="1543"/>
        </ext>
      </extLst>
    </bk>
    <bk>
      <extLst>
        <ext uri="{3e2802c4-a4d2-4d8b-9148-e3be6c30e623}">
          <xlrd:rvb i="1615"/>
        </ext>
      </extLst>
    </bk>
    <bk>
      <extLst>
        <ext uri="{3e2802c4-a4d2-4d8b-9148-e3be6c30e623}">
          <xlrd:rvb i="1684"/>
        </ext>
      </extLst>
    </bk>
    <bk>
      <extLst>
        <ext uri="{3e2802c4-a4d2-4d8b-9148-e3be6c30e623}">
          <xlrd:rvb i="1695"/>
        </ext>
      </extLst>
    </bk>
    <bk>
      <extLst>
        <ext uri="{3e2802c4-a4d2-4d8b-9148-e3be6c30e623}">
          <xlrd:rvb i="1702"/>
        </ext>
      </extLst>
    </bk>
    <bk>
      <extLst>
        <ext uri="{3e2802c4-a4d2-4d8b-9148-e3be6c30e623}">
          <xlrd:rvb i="1438"/>
        </ext>
      </extLst>
    </bk>
    <bk>
      <extLst>
        <ext uri="{3e2802c4-a4d2-4d8b-9148-e3be6c30e623}">
          <xlrd:rvb i="1714"/>
        </ext>
      </extLst>
    </bk>
    <bk>
      <extLst>
        <ext uri="{3e2802c4-a4d2-4d8b-9148-e3be6c30e623}">
          <xlrd:rvb i="1770"/>
        </ext>
      </extLst>
    </bk>
    <bk>
      <extLst>
        <ext uri="{3e2802c4-a4d2-4d8b-9148-e3be6c30e623}">
          <xlrd:rvb i="1826"/>
        </ext>
      </extLst>
    </bk>
    <bk>
      <extLst>
        <ext uri="{3e2802c4-a4d2-4d8b-9148-e3be6c30e623}">
          <xlrd:rvb i="1134"/>
        </ext>
      </extLst>
    </bk>
    <bk>
      <extLst>
        <ext uri="{3e2802c4-a4d2-4d8b-9148-e3be6c30e623}">
          <xlrd:rvb i="1234"/>
        </ext>
      </extLst>
    </bk>
    <bk>
      <extLst>
        <ext uri="{3e2802c4-a4d2-4d8b-9148-e3be6c30e623}">
          <xlrd:rvb i="1885"/>
        </ext>
      </extLst>
    </bk>
    <bk>
      <extLst>
        <ext uri="{3e2802c4-a4d2-4d8b-9148-e3be6c30e623}">
          <xlrd:rvb i="1888"/>
        </ext>
      </extLst>
    </bk>
    <bk>
      <extLst>
        <ext uri="{3e2802c4-a4d2-4d8b-9148-e3be6c30e623}">
          <xlrd:rvb i="1951"/>
        </ext>
      </extLst>
    </bk>
    <bk>
      <extLst>
        <ext uri="{3e2802c4-a4d2-4d8b-9148-e3be6c30e623}">
          <xlrd:rvb i="1720"/>
        </ext>
      </extLst>
    </bk>
    <bk>
      <extLst>
        <ext uri="{3e2802c4-a4d2-4d8b-9148-e3be6c30e623}">
          <xlrd:rvb i="1994"/>
        </ext>
      </extLst>
    </bk>
    <bk>
      <extLst>
        <ext uri="{3e2802c4-a4d2-4d8b-9148-e3be6c30e623}">
          <xlrd:rvb i="965"/>
        </ext>
      </extLst>
    </bk>
    <bk>
      <extLst>
        <ext uri="{3e2802c4-a4d2-4d8b-9148-e3be6c30e623}">
          <xlrd:rvb i="2069"/>
        </ext>
      </extLst>
    </bk>
    <bk>
      <extLst>
        <ext uri="{3e2802c4-a4d2-4d8b-9148-e3be6c30e623}">
          <xlrd:rvb i="2121"/>
        </ext>
      </extLst>
    </bk>
    <bk>
      <extLst>
        <ext uri="{3e2802c4-a4d2-4d8b-9148-e3be6c30e623}">
          <xlrd:rvb i="2188"/>
        </ext>
      </extLst>
    </bk>
    <bk>
      <extLst>
        <ext uri="{3e2802c4-a4d2-4d8b-9148-e3be6c30e623}">
          <xlrd:rvb i="2247"/>
        </ext>
      </extLst>
    </bk>
    <bk>
      <extLst>
        <ext uri="{3e2802c4-a4d2-4d8b-9148-e3be6c30e623}">
          <xlrd:rvb i="2256"/>
        </ext>
      </extLst>
    </bk>
    <bk>
      <extLst>
        <ext uri="{3e2802c4-a4d2-4d8b-9148-e3be6c30e623}">
          <xlrd:rvb i="76"/>
        </ext>
      </extLst>
    </bk>
    <bk>
      <extLst>
        <ext uri="{3e2802c4-a4d2-4d8b-9148-e3be6c30e623}">
          <xlrd:rvb i="60"/>
        </ext>
      </extLst>
    </bk>
    <bk>
      <extLst>
        <ext uri="{3e2802c4-a4d2-4d8b-9148-e3be6c30e623}">
          <xlrd:rvb i="101"/>
        </ext>
      </extLst>
    </bk>
    <bk>
      <extLst>
        <ext uri="{3e2802c4-a4d2-4d8b-9148-e3be6c30e623}">
          <xlrd:rvb i="2303"/>
        </ext>
      </extLst>
    </bk>
    <bk>
      <extLst>
        <ext uri="{3e2802c4-a4d2-4d8b-9148-e3be6c30e623}">
          <xlrd:rvb i="96"/>
        </ext>
      </extLst>
    </bk>
    <bk>
      <extLst>
        <ext uri="{3e2802c4-a4d2-4d8b-9148-e3be6c30e623}">
          <xlrd:rvb i="2315"/>
        </ext>
      </extLst>
    </bk>
    <bk>
      <extLst>
        <ext uri="{3e2802c4-a4d2-4d8b-9148-e3be6c30e623}">
          <xlrd:rvb i="62"/>
        </ext>
      </extLst>
    </bk>
    <bk>
      <extLst>
        <ext uri="{3e2802c4-a4d2-4d8b-9148-e3be6c30e623}">
          <xlrd:rvb i="93"/>
        </ext>
      </extLst>
    </bk>
    <bk>
      <extLst>
        <ext uri="{3e2802c4-a4d2-4d8b-9148-e3be6c30e623}">
          <xlrd:rvb i="2326"/>
        </ext>
      </extLst>
    </bk>
    <bk>
      <extLst>
        <ext uri="{3e2802c4-a4d2-4d8b-9148-e3be6c30e623}">
          <xlrd:rvb i="542"/>
        </ext>
      </extLst>
    </bk>
    <bk>
      <extLst>
        <ext uri="{3e2802c4-a4d2-4d8b-9148-e3be6c30e623}">
          <xlrd:rvb i="88"/>
        </ext>
      </extLst>
    </bk>
    <bk>
      <extLst>
        <ext uri="{3e2802c4-a4d2-4d8b-9148-e3be6c30e623}">
          <xlrd:rvb i="68"/>
        </ext>
      </extLst>
    </bk>
  </futureMetadata>
  <valueMetadata count="74">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bk>
      <rc t="1" v="42"/>
    </bk>
    <bk>
      <rc t="1" v="43"/>
    </bk>
    <bk>
      <rc t="1" v="44"/>
    </bk>
    <bk>
      <rc t="1" v="45"/>
    </bk>
    <bk>
      <rc t="1" v="46"/>
    </bk>
    <bk>
      <rc t="1" v="47"/>
    </bk>
    <bk>
      <rc t="1" v="48"/>
    </bk>
    <bk>
      <rc t="1" v="49"/>
    </bk>
    <bk>
      <rc t="1" v="50"/>
    </bk>
    <bk>
      <rc t="1" v="51"/>
    </bk>
    <bk>
      <rc t="1" v="52"/>
    </bk>
    <bk>
      <rc t="1" v="53"/>
    </bk>
    <bk>
      <rc t="1" v="54"/>
    </bk>
    <bk>
      <rc t="1" v="55"/>
    </bk>
    <bk>
      <rc t="1" v="56"/>
    </bk>
    <bk>
      <rc t="1" v="57"/>
    </bk>
    <bk>
      <rc t="1" v="58"/>
    </bk>
    <bk>
      <rc t="1" v="59"/>
    </bk>
    <bk>
      <rc t="1" v="60"/>
    </bk>
    <bk>
      <rc t="1" v="61"/>
    </bk>
    <bk>
      <rc t="1" v="62"/>
    </bk>
    <bk>
      <rc t="1" v="63"/>
    </bk>
    <bk>
      <rc t="1" v="64"/>
    </bk>
    <bk>
      <rc t="1" v="65"/>
    </bk>
    <bk>
      <rc t="1" v="66"/>
    </bk>
    <bk>
      <rc t="1" v="67"/>
    </bk>
    <bk>
      <rc t="1" v="68"/>
    </bk>
    <bk>
      <rc t="1" v="69"/>
    </bk>
    <bk>
      <rc t="1" v="70"/>
    </bk>
    <bk>
      <rc t="1" v="71"/>
    </bk>
    <bk>
      <rc t="1" v="72"/>
    </bk>
    <bk>
      <rc t="1" v="73"/>
    </bk>
  </valueMetadata>
</metadata>
</file>

<file path=xl/sharedStrings.xml><?xml version="1.0" encoding="utf-8"?>
<sst xmlns="http://schemas.openxmlformats.org/spreadsheetml/2006/main" count="1200" uniqueCount="481">
  <si>
    <t>add_id</t>
  </si>
  <si>
    <t>add_category</t>
  </si>
  <si>
    <t>OMER_letter_status</t>
  </si>
  <si>
    <t>KLAUS_letter_status</t>
  </si>
  <si>
    <t>WOO_letter_status</t>
  </si>
  <si>
    <t>app_status</t>
  </si>
  <si>
    <t>add_how_apply</t>
  </si>
  <si>
    <t>institution</t>
  </si>
  <si>
    <t>date</t>
  </si>
  <si>
    <t>app_id</t>
  </si>
  <si>
    <t>comment</t>
  </si>
  <si>
    <t>simon_frazer_1</t>
  </si>
  <si>
    <t>location</t>
  </si>
  <si>
    <t>deadline_target</t>
  </si>
  <si>
    <t>add_rank</t>
  </si>
  <si>
    <t>assistant</t>
  </si>
  <si>
    <t>add_field</t>
  </si>
  <si>
    <t>Simon Fraser University</t>
  </si>
  <si>
    <t>add_posting</t>
  </si>
  <si>
    <t>EJM</t>
  </si>
  <si>
    <t>McMaster University</t>
  </si>
  <si>
    <t>macmaster_1</t>
  </si>
  <si>
    <t>applied micro</t>
  </si>
  <si>
    <t>research</t>
  </si>
  <si>
    <t>teaching</t>
  </si>
  <si>
    <t>need_cover_letter</t>
  </si>
  <si>
    <t>need_RS</t>
  </si>
  <si>
    <t>need_TS</t>
  </si>
  <si>
    <t>generating docs</t>
  </si>
  <si>
    <t>usydney_1</t>
  </si>
  <si>
    <t>University of Sydney</t>
  </si>
  <si>
    <t>postdoc</t>
  </si>
  <si>
    <t>culture</t>
  </si>
  <si>
    <t>good_match</t>
  </si>
  <si>
    <t>nova_lisboa_1</t>
  </si>
  <si>
    <t>University Nova Lisboa</t>
  </si>
  <si>
    <t>environmental</t>
  </si>
  <si>
    <t>Williams College</t>
  </si>
  <si>
    <t>will_college_1</t>
  </si>
  <si>
    <t>https://apply.interfolio.com/171825</t>
  </si>
  <si>
    <t>aist_1</t>
  </si>
  <si>
    <t>Institute For Advanced Study</t>
  </si>
  <si>
    <t>fellowship</t>
  </si>
  <si>
    <t>waseda_1</t>
  </si>
  <si>
    <t>Waseda University</t>
  </si>
  <si>
    <t>JOE</t>
  </si>
  <si>
    <t>https://www.wasedapse.jp/en/fpse2/eng_input.php</t>
  </si>
  <si>
    <t>other_link</t>
  </si>
  <si>
    <t>https://www.waseda.jp/fpse/pse/news-en/2025/08/05/24591/</t>
  </si>
  <si>
    <t>penn_state_1</t>
  </si>
  <si>
    <t>Pennsylvania State University</t>
  </si>
  <si>
    <t>https://psu.wd1.myworkdayjobs.com/en-US/PSU_Academic/details/Assistant-Professor-of-Economics_REQ_0000071571-1</t>
  </si>
  <si>
    <t>https://www.iast.fr/research-fellowships</t>
  </si>
  <si>
    <t>american_u_1</t>
  </si>
  <si>
    <t>American University</t>
  </si>
  <si>
    <t>development</t>
  </si>
  <si>
    <t>https://american.wd1.myworkdayjobs.com/en-US/AU/job/Assistant-Professor--Tenure-Track----Department-of-Environment--Development---Health_R2984</t>
  </si>
  <si>
    <t>how_to_rec_letters</t>
  </si>
  <si>
    <t>american_u_2</t>
  </si>
  <si>
    <t>https://american.wd1.myworkdayjobs.com/AU/job/Main-Campus-Washington-DC/Assistant-Professor--Tenure-Track----Department-of-Politics--Governance---Economics_R2983-1</t>
  </si>
  <si>
    <t>analysis_1</t>
  </si>
  <si>
    <t>https://associatecareers-analysisgroup.icims.com/jobs/2388/associate---generalist-%28phd%29-%282026-start-date%29/job?mobile=false&amp;width=1150&amp;height=500&amp;bga=true&amp;needsRedirect=false&amp;jan1offset=-360&amp;jun1offset=-300</t>
  </si>
  <si>
    <t>analysis_2</t>
  </si>
  <si>
    <t>https://associatecareers-analysisgroup.icims.com/jobs/2760/associate---generalist---montreal---toronto-%282026-start-date%29/job</t>
  </si>
  <si>
    <t>consulting</t>
  </si>
  <si>
    <t>Analysis Group</t>
  </si>
  <si>
    <t>babson_1</t>
  </si>
  <si>
    <t>Babson College</t>
  </si>
  <si>
    <t>adjunct</t>
  </si>
  <si>
    <t>https://babson.peopleadmin.com/postings/6541</t>
  </si>
  <si>
    <t>?</t>
  </si>
  <si>
    <t>babson_2</t>
  </si>
  <si>
    <t>macroeconomics</t>
  </si>
  <si>
    <t>https://babson.peopleadmin.com/postings/6545</t>
  </si>
  <si>
    <t>bates_1</t>
  </si>
  <si>
    <t>Bates College</t>
  </si>
  <si>
    <t>https://apply.interfolio.com/173570</t>
  </si>
  <si>
    <t>gathering info from AEA JOE, stopped @ Bates College</t>
  </si>
  <si>
    <t>uc3_1</t>
  </si>
  <si>
    <t>Universidad Carlos III</t>
  </si>
  <si>
    <t>https://econjobmarket.org/positions/11791/1/0</t>
  </si>
  <si>
    <t>Texas A&amp;M</t>
  </si>
  <si>
    <t>tamu_1</t>
  </si>
  <si>
    <t>https://apply.interfolio.com/173294</t>
  </si>
  <si>
    <t>gathering the applications that I'm most interested in</t>
  </si>
  <si>
    <t>rovira_1</t>
  </si>
  <si>
    <t>Universitat Rovira i Virgili</t>
  </si>
  <si>
    <t>rfb_1</t>
  </si>
  <si>
    <t>Rockwool Foundation Berlin</t>
  </si>
  <si>
    <t>https://econjobmarket.org/positions/11901</t>
  </si>
  <si>
    <t>idb_1</t>
  </si>
  <si>
    <t>IDB</t>
  </si>
  <si>
    <t>https://jobs.iadb.org/job/Economics-Specialist/1922-en_US/</t>
  </si>
  <si>
    <t>touluse_1</t>
  </si>
  <si>
    <t>Université Toulouse Capitole</t>
  </si>
  <si>
    <t>stockholm_1</t>
  </si>
  <si>
    <t>Stockholm University</t>
  </si>
  <si>
    <t>grinnell_1</t>
  </si>
  <si>
    <t>Grinnell College</t>
  </si>
  <si>
    <t>https://apply.interfolio.com/174781</t>
  </si>
  <si>
    <t>economic history</t>
  </si>
  <si>
    <t>west_ontario_1</t>
  </si>
  <si>
    <t>University of Western Ontario</t>
  </si>
  <si>
    <t>https://economics.uwo.ca/about-us/instruction.html</t>
  </si>
  <si>
    <t>completed</t>
  </si>
  <si>
    <t>app sent</t>
  </si>
  <si>
    <t>Universidad Complutense de Madrid</t>
  </si>
  <si>
    <t>cum_madrid_1</t>
  </si>
  <si>
    <t>cum_madrid_2</t>
  </si>
  <si>
    <t>oecd_1</t>
  </si>
  <si>
    <t>OECD</t>
  </si>
  <si>
    <t>https://forms.office.com/Pages/ResponsePage.aspx?id=1MdBrGEfDUaw9PySWitHHPCJevCMDFdChZ_htgD0RItUN0NJUjcwQlFOQUhUU0dLSkdONVY3U1g3OS4u</t>
  </si>
  <si>
    <t>mathieu.miranda@oecd.org</t>
  </si>
  <si>
    <t>filling app</t>
  </si>
  <si>
    <t>ecole</t>
  </si>
  <si>
    <t>École Normale Supérieure</t>
  </si>
  <si>
    <t>puc_cl_1</t>
  </si>
  <si>
    <t>Pontificia Universidad Catolica de Chile</t>
  </si>
  <si>
    <t>colgate_1</t>
  </si>
  <si>
    <t>Colgate University</t>
  </si>
  <si>
    <t>Haverford College</t>
  </si>
  <si>
    <t>haverford</t>
  </si>
  <si>
    <t>review_deadline</t>
  </si>
  <si>
    <t>recruitment_officer</t>
  </si>
  <si>
    <t>David Strömberg (david.stromberg@ne.su.se)</t>
  </si>
  <si>
    <t>sciencepo</t>
  </si>
  <si>
    <t>Science Po</t>
  </si>
  <si>
    <t>University of Melbourne</t>
  </si>
  <si>
    <t>melbourne</t>
  </si>
  <si>
    <t>https://unimelb.wd105.myworkdayjobs.com/en-US/UoM_External_Career/job/Senior-Lecturer-Associate-Professor---Econometrics_JR-004278-1</t>
  </si>
  <si>
    <t>applied for the Europe UniCredit Best Paper Award</t>
  </si>
  <si>
    <t>monash</t>
  </si>
  <si>
    <t>Monash University</t>
  </si>
  <si>
    <t>Arthur Campbell (arthur.campbell@monash.edu)</t>
  </si>
  <si>
    <t>pompeu_fabra</t>
  </si>
  <si>
    <t>Universitat Pompeu Fabra</t>
  </si>
  <si>
    <t>Ferran Mañé (e-mail: ferran.mane@urv.cat)</t>
  </si>
  <si>
    <t>late app</t>
  </si>
  <si>
    <t>cunef</t>
  </si>
  <si>
    <t>CUNEF</t>
  </si>
  <si>
    <t>CEMFI</t>
  </si>
  <si>
    <t>ie</t>
  </si>
  <si>
    <t>IE University</t>
  </si>
  <si>
    <t>https://apply.interfolio.com/175169</t>
  </si>
  <si>
    <t>queensland</t>
  </si>
  <si>
    <t>University of Quesnland</t>
  </si>
  <si>
    <t>Professor Claudio Mezzetti (c.mezzetti@uq.edu.au)</t>
  </si>
  <si>
    <t>tec</t>
  </si>
  <si>
    <t>Tecnológico de Monterrey</t>
  </si>
  <si>
    <t>itam</t>
  </si>
  <si>
    <t>ITAM</t>
  </si>
  <si>
    <t>u_chile_ig</t>
  </si>
  <si>
    <t>Universidad de Chile</t>
  </si>
  <si>
    <t>uandes_col</t>
  </si>
  <si>
    <t>Universidad de los Andes, Colombia</t>
  </si>
  <si>
    <t>Daniel Mejia dmejia@uniandes.edu.co</t>
  </si>
  <si>
    <t xml:space="preserve">Fashion Institute of Technology </t>
  </si>
  <si>
    <t>fashion</t>
  </si>
  <si>
    <t>https://fitnyc.interviewexchange.com/jobofferdetails.jsp?JOBID=190784</t>
  </si>
  <si>
    <t>https://apply.interfolio.com/174615</t>
  </si>
  <si>
    <t>https://apply.interfolio.com/171810</t>
  </si>
  <si>
    <t>abandoned</t>
  </si>
  <si>
    <t>cerdi</t>
  </si>
  <si>
    <t>CERDI (Centre d'Etude et de Recherches sur le Développement International)</t>
  </si>
  <si>
    <t>Pierre E. Biscaye (Université Clermont Auvergne)</t>
  </si>
  <si>
    <t>cemfi</t>
  </si>
  <si>
    <t>crese</t>
  </si>
  <si>
    <t>Centre de Recherche sur les Stratégies Economiques (CRESE)</t>
  </si>
  <si>
    <t>uab</t>
  </si>
  <si>
    <t>Universitat Autònoma de Barcelona</t>
  </si>
  <si>
    <t>cornell</t>
  </si>
  <si>
    <t>Cornell University</t>
  </si>
  <si>
    <t>https://academicjobsonline.org/ajo/jobs/30626.</t>
  </si>
  <si>
    <t>ucl</t>
  </si>
  <si>
    <t>University College London</t>
  </si>
  <si>
    <t>Prof Stephen Hansen stephen.hansen@ucl.ac.uk</t>
  </si>
  <si>
    <t>uc_davis</t>
  </si>
  <si>
    <t>UC Davis</t>
  </si>
  <si>
    <t>agriculture</t>
  </si>
  <si>
    <t>https://apptrkr.com/6572257</t>
  </si>
  <si>
    <t>vassar</t>
  </si>
  <si>
    <t>Vassar College</t>
  </si>
  <si>
    <t>Sarah Pearlman sapearlman@vassar.edu.</t>
  </si>
  <si>
    <t>gathered info for 11 postings and struggle with interfolio</t>
  </si>
  <si>
    <t>gathered info for postings</t>
  </si>
  <si>
    <t>utrecht</t>
  </si>
  <si>
    <t>Utrecht University</t>
  </si>
  <si>
    <t>lecturer</t>
  </si>
  <si>
    <t>Marcel Boumans m.j.boumans@uu.nl</t>
  </si>
  <si>
    <t>https://www.uu.nl/en/organisation/working-at-utrecht-university/jobs/lecturer-in-applied-economics</t>
  </si>
  <si>
    <t>mit</t>
  </si>
  <si>
    <t>Massachusetts Institute of Technology</t>
  </si>
  <si>
    <t>boston</t>
  </si>
  <si>
    <t>manheim</t>
  </si>
  <si>
    <t>University of Mannheim</t>
  </si>
  <si>
    <t>microeconomics</t>
  </si>
  <si>
    <t>stanford</t>
  </si>
  <si>
    <t>Stanford University</t>
  </si>
  <si>
    <t>bologna</t>
  </si>
  <si>
    <t>Università di Bologna</t>
  </si>
  <si>
    <t>u_virginia</t>
  </si>
  <si>
    <t>University of Virginia</t>
  </si>
  <si>
    <t>https://apply.interfolio.com/173878</t>
  </si>
  <si>
    <t xml:space="preserve">Lee Lockwood leelockwood@virginia.edu </t>
  </si>
  <si>
    <t>a_paris</t>
  </si>
  <si>
    <t>American University of Paris</t>
  </si>
  <si>
    <t>https://apply.interfolio.com/170082</t>
  </si>
  <si>
    <t>toronto</t>
  </si>
  <si>
    <t>University of Toronto</t>
  </si>
  <si>
    <t>Uppsala University</t>
  </si>
  <si>
    <t>uppsala</t>
  </si>
  <si>
    <t>idb_2</t>
  </si>
  <si>
    <t>https://jobs.iadb.org/job/Development-Effectiveness-and-Impact-Evaluation-Consultant/1937-en_US/</t>
  </si>
  <si>
    <t>cyberagent</t>
  </si>
  <si>
    <t>CyberAgent, Inc.</t>
  </si>
  <si>
    <t>Hiroshima University</t>
  </si>
  <si>
    <t>hiroshima</t>
  </si>
  <si>
    <t>Hitotsubashi University</t>
  </si>
  <si>
    <t>hito_jp</t>
  </si>
  <si>
    <t>Kobe University</t>
  </si>
  <si>
    <t>need the one of american history</t>
  </si>
  <si>
    <t>kobe</t>
  </si>
  <si>
    <t>Musashi University</t>
  </si>
  <si>
    <t>musashi</t>
  </si>
  <si>
    <t>The University of Osaka</t>
  </si>
  <si>
    <t>osaka</t>
  </si>
  <si>
    <t>https://ws.formzu.net/fgen/S39345518/</t>
  </si>
  <si>
    <t>https://jrecin.jst.go.jp/seek/SeekJorDetail?id=D125100024</t>
  </si>
  <si>
    <t>utokyo</t>
  </si>
  <si>
    <t>UTokyo Economic Consulting Inc.</t>
  </si>
  <si>
    <t>Baylor University</t>
  </si>
  <si>
    <t>baylor</t>
  </si>
  <si>
    <t>https://apply.interfolio.com/172650</t>
  </si>
  <si>
    <t>berry_1</t>
  </si>
  <si>
    <t>berry_2</t>
  </si>
  <si>
    <t>Data Analytics</t>
  </si>
  <si>
    <t>Economics</t>
  </si>
  <si>
    <t>https://berry.interviewexchange.com/static/clients/563BCM1/index.jsp;jsessionid=D6807F41311DBB7FA4BF3B5A2CEB7DC5</t>
  </si>
  <si>
    <t>https://berry.interviewexchange.com/static/clients/563BCM1/index.jsp</t>
  </si>
  <si>
    <t>Prof. E. Frank Stephenson at efstephenson@berry.edu</t>
  </si>
  <si>
    <t>Dr. Jamie Sharpe, at jsharpe@berry.edu</t>
  </si>
  <si>
    <t>Berry College</t>
  </si>
  <si>
    <t>Bowdoin College</t>
  </si>
  <si>
    <t>bowdoin</t>
  </si>
  <si>
    <t>https://careers.bowdoin.edu/postings/16678</t>
  </si>
  <si>
    <t>gathered 10 postings from JOE stoped at Bowdoin</t>
  </si>
  <si>
    <t>outcome</t>
  </si>
  <si>
    <t>uandes_cl</t>
  </si>
  <si>
    <t>Universidad de Los Andes, Chile</t>
  </si>
  <si>
    <t>https://www.aeaweb.org/joe/listing.php?JOE_ID=2025-02_111476357</t>
  </si>
  <si>
    <t>waiting for recs</t>
  </si>
  <si>
    <t>went over cover letter</t>
  </si>
  <si>
    <t>network email</t>
  </si>
  <si>
    <t>NO</t>
  </si>
  <si>
    <t>geneve</t>
  </si>
  <si>
    <t>Université de Genève</t>
  </si>
  <si>
    <t>Aalto University</t>
  </si>
  <si>
    <t>Professors Prottoy Akbar (Aalto), Victor Couture (Toronto), Gilles Duranton (Wharton), Adam Storeygard (Tufts), Pablo Warnes (Aalto), and Dr. Morgan Ubeda (INRAE)</t>
  </si>
  <si>
    <t xml:space="preserve">Stellenbosch University </t>
  </si>
  <si>
    <t>safrica</t>
  </si>
  <si>
    <r>
      <t>Prof Johan Fourie</t>
    </r>
    <r>
      <rPr>
        <sz val="12"/>
        <color theme="1"/>
        <rFont val="Aptos Narrow"/>
        <family val="2"/>
        <scheme val="minor"/>
      </rPr>
      <t xml:space="preserve"> at </t>
    </r>
    <r>
      <rPr>
        <b/>
        <sz val="12"/>
        <color theme="1"/>
        <rFont val="Aptos Narrow"/>
        <family val="2"/>
        <scheme val="minor"/>
      </rPr>
      <t>johanf@sun.ac.za</t>
    </r>
    <r>
      <rPr>
        <sz val="12"/>
        <color theme="1"/>
        <rFont val="Aptos Narrow"/>
        <family val="2"/>
        <scheme val="minor"/>
      </rPr>
      <t>.</t>
    </r>
  </si>
  <si>
    <t>Boston College</t>
  </si>
  <si>
    <t xml:space="preserve">Universidad Torcuato Di Tella </t>
  </si>
  <si>
    <t>ditella</t>
  </si>
  <si>
    <t>columbia</t>
  </si>
  <si>
    <t>Columbia University</t>
  </si>
  <si>
    <t>https://apply.interfolio.com/175578</t>
  </si>
  <si>
    <t>Institut des Politiques Publiques</t>
  </si>
  <si>
    <t>politiques</t>
  </si>
  <si>
    <t>kdi</t>
  </si>
  <si>
    <t>Korea Development Institute</t>
  </si>
  <si>
    <t>Dr. Hyungtai KIM (Chief Management Officer): +82 44-550-4704 / jhtkim@kdi.re.kr, Dr. Daehee JEONG(Chief Research Officer): +82 44-550-4211 / dhjeong@kdi.re.kr</t>
  </si>
  <si>
    <t>darthmouth</t>
  </si>
  <si>
    <t xml:space="preserve"> Dartmouth College</t>
  </si>
  <si>
    <t>University of Stavanger</t>
  </si>
  <si>
    <t>stavanger</t>
  </si>
  <si>
    <t>cergeei</t>
  </si>
  <si>
    <t>Center for Economic Research and Graduate Education – Economics Institute</t>
  </si>
  <si>
    <t>added more than 10 posting from EJM stopped @ prague posting</t>
  </si>
  <si>
    <t>Stockholm School of Economics</t>
  </si>
  <si>
    <t>stockholm_2</t>
  </si>
  <si>
    <t>uab_applied</t>
  </si>
  <si>
    <t>Manuel Flores manuel.flores@uab.cat</t>
  </si>
  <si>
    <t>mention Rosella Nicolini in cover letter</t>
  </si>
  <si>
    <t>app_notes</t>
  </si>
  <si>
    <t>toronto_2</t>
  </si>
  <si>
    <t>University of British Columbia</t>
  </si>
  <si>
    <t>vancouver</t>
  </si>
  <si>
    <t>add development to the insterests</t>
  </si>
  <si>
    <t>make CL teaching focused</t>
  </si>
  <si>
    <t>bank_port</t>
  </si>
  <si>
    <t>Banco de Portugal</t>
  </si>
  <si>
    <t>bank_slovakia</t>
  </si>
  <si>
    <t>Bank of Slovakia</t>
  </si>
  <si>
    <t>Ca' Foscari University Venice</t>
  </si>
  <si>
    <t>cafoscari</t>
  </si>
  <si>
    <t>University of Oslo</t>
  </si>
  <si>
    <t>oslo</t>
  </si>
  <si>
    <t>manchester</t>
  </si>
  <si>
    <t>University of Manchester</t>
  </si>
  <si>
    <t>University of New South Wales</t>
  </si>
  <si>
    <t>usnw</t>
  </si>
  <si>
    <t>Isabella Dobrescu at dobrescu@unsw.edu.au</t>
  </si>
  <si>
    <t>Universidad de Alicante</t>
  </si>
  <si>
    <t>alicante</t>
  </si>
  <si>
    <t>Prof. Ivan Paya at ivanpaya@ua.es.</t>
  </si>
  <si>
    <t>BI Norwegian Business Schoo</t>
  </si>
  <si>
    <t>bi</t>
  </si>
  <si>
    <t>Associate Professor Simon Galle at simon.galle@bi.no.</t>
  </si>
  <si>
    <t>Helsinki Graduate School of Economics</t>
  </si>
  <si>
    <t>hgse</t>
  </si>
  <si>
    <t>lse</t>
  </si>
  <si>
    <t>London School of Economics</t>
  </si>
  <si>
    <t xml:space="preserve"> https://jobs.lse.ac.uk</t>
  </si>
  <si>
    <t>Hanken School of Economics</t>
  </si>
  <si>
    <t>hanken</t>
  </si>
  <si>
    <t>Professor Ari Hyytinen (ari.hyytinen@hanken.fi)</t>
  </si>
  <si>
    <t>added 10 posting from EJM stoped @ Hanken School of Economics</t>
  </si>
  <si>
    <t>YES</t>
  </si>
  <si>
    <t>University of Amsterdam</t>
  </si>
  <si>
    <t>amsterdam</t>
  </si>
  <si>
    <t>Professor Frank Kleibergen (F.R.Kleibergen@uva.l), head of the Econometrics research group.</t>
  </si>
  <si>
    <t>Università di Roma Tor Vergata</t>
  </si>
  <si>
    <t>vergata</t>
  </si>
  <si>
    <t>lots of media people, which I should emphasize</t>
  </si>
  <si>
    <t>Institut Polytechnique de Paris</t>
  </si>
  <si>
    <t>polytech</t>
  </si>
  <si>
    <t>puc_rio</t>
  </si>
  <si>
    <t>Fundação Getulio Vargas</t>
  </si>
  <si>
    <t>fgv</t>
  </si>
  <si>
    <t>University of Montreal</t>
  </si>
  <si>
    <t>montreal</t>
  </si>
  <si>
    <t>Marcelin Joanis, Department chair</t>
  </si>
  <si>
    <t>idb_3</t>
  </si>
  <si>
    <t>https://jobs.iadb.org/job/Research-Economist-%28Sr-SpecialistSpecialist%29/1978-en_US/</t>
  </si>
  <si>
    <t>Lund University</t>
  </si>
  <si>
    <t>lund</t>
  </si>
  <si>
    <t>Einaudi Institute for Economics and Finance</t>
  </si>
  <si>
    <t>eief</t>
  </si>
  <si>
    <t>Institute for Evaluation of Labour Market and Education Policy</t>
  </si>
  <si>
    <t>ifau</t>
  </si>
  <si>
    <t>Martin Söderström, Director General, +46 18-471 60 53, martin.soderstrom@ifau.uu.se</t>
  </si>
  <si>
    <t>Institute for International Economic Studies</t>
  </si>
  <si>
    <t>iiestud</t>
  </si>
  <si>
    <t>Professor Tessa Bold e-mail: tessa.bold@iies.su.se, Associate Professor Timo Boppart, e-mail: timo.boppart@iies.su.se or Professor Peter Nilsson, e-mail: peter.nilsson@iies.su.se.</t>
  </si>
  <si>
    <t>added 10 posting from EJM no new ones (for now)</t>
  </si>
  <si>
    <t>when?</t>
  </si>
  <si>
    <t>colegio_mx</t>
  </si>
  <si>
    <t>El Colegio de México</t>
  </si>
  <si>
    <t>Andersen Institute for Finance and Economics</t>
  </si>
  <si>
    <t>andersen</t>
  </si>
  <si>
    <t>berlinse</t>
  </si>
  <si>
    <t>Berlin School of Economics</t>
  </si>
  <si>
    <t>https://berlinschoolofeconomics.de/programs/research-associates-program/application</t>
  </si>
  <si>
    <t>https://berlinschoolofeconomics.de/programs/research-associates-program/application/call-for-applications-2026</t>
  </si>
  <si>
    <t>they want someone in media economics, which is ME!</t>
  </si>
  <si>
    <t>Peter Haan (peter.haan@fu-berlin.de)</t>
  </si>
  <si>
    <t>cal_state</t>
  </si>
  <si>
    <t>California State University, Long Beach</t>
  </si>
  <si>
    <t>https://careers.pageuppeople.com/873/lb/en-us/job/551178/assistant-professor-of-economics-applied-microeconomics-and-environmentalnatural-resource-economics</t>
  </si>
  <si>
    <t>mix first part of CL + teaching + diversity</t>
  </si>
  <si>
    <t>Carleton College</t>
  </si>
  <si>
    <t>carleton</t>
  </si>
  <si>
    <t>Carnegie Mellon University</t>
  </si>
  <si>
    <t>carnie_melon_1</t>
  </si>
  <si>
    <t>carnie_melon_2</t>
  </si>
  <si>
    <t>https://apply.interfolio.com/175370</t>
  </si>
  <si>
    <t>apply.interfolio.com/175137</t>
  </si>
  <si>
    <t>Catolica Lisbon School Business and Economics</t>
  </si>
  <si>
    <t>cat_lisbon</t>
  </si>
  <si>
    <t>add some teaching to the fit in cover letter</t>
  </si>
  <si>
    <t>Christopher Newport University</t>
  </si>
  <si>
    <t>chrisnew</t>
  </si>
  <si>
    <t>https://jobs.cnu.edu/postings/19812</t>
  </si>
  <si>
    <t>colby</t>
  </si>
  <si>
    <t xml:space="preserve">Colby College </t>
  </si>
  <si>
    <t>https://apply.interfolio.com/174598</t>
  </si>
  <si>
    <t>colorado_col</t>
  </si>
  <si>
    <t>Colorado College</t>
  </si>
  <si>
    <t>https://jobs.coloradocollege.edu/jobs/assistant-professor-of-economics-and-business-on-campus-colorado-united-states</t>
  </si>
  <si>
    <t>Creighton University</t>
  </si>
  <si>
    <t>creighton</t>
  </si>
  <si>
    <t>https://apply.interfolio.com/174123</t>
  </si>
  <si>
    <t>it's in applied econ</t>
  </si>
  <si>
    <t>aalto_postdoc</t>
  </si>
  <si>
    <t>Leibniz Centre for European Economic Research</t>
  </si>
  <si>
    <t>leibniz</t>
  </si>
  <si>
    <t>https://jobs.zew.de/jobposting/a3948eae149a2cbb2b0ad5ebef942223e49bfbe40</t>
  </si>
  <si>
    <t>Ludwig-Maximilians-Universitat München</t>
  </si>
  <si>
    <t>lmu</t>
  </si>
  <si>
    <t>added 10 postings from JOE and stragelers from EJM</t>
  </si>
  <si>
    <t>norway_bank</t>
  </si>
  <si>
    <t>Bank of Norway</t>
  </si>
  <si>
    <t>ucl_2</t>
  </si>
  <si>
    <t>highligh inequality here</t>
  </si>
  <si>
    <t xml:space="preserve">Copenhagen Business School </t>
  </si>
  <si>
    <t>coppen</t>
  </si>
  <si>
    <t>ifo</t>
  </si>
  <si>
    <t>The ifo Institute</t>
  </si>
  <si>
    <t>this is the big data one</t>
  </si>
  <si>
    <t>https://hanken.rekrytointi.com/paikat/index.php?jid=362&amp;key=&amp;o=A_RJ&amp;rspvt=23exjhd0z7r40c8488gs848coc4s8wc</t>
  </si>
  <si>
    <t>teaching portfolio + CL with research statement and fit with the department with Service in the fit AND apply in the extra website</t>
  </si>
  <si>
    <t>bank_spain</t>
  </si>
  <si>
    <t>Bank of Spain</t>
  </si>
  <si>
    <t>PUC rio</t>
  </si>
  <si>
    <t>zurich</t>
  </si>
  <si>
    <t>University of Zurich</t>
  </si>
  <si>
    <t>Florian Scheuer by email (florian.scheuer@uzh.ch)</t>
  </si>
  <si>
    <t>Total apps</t>
  </si>
  <si>
    <t>good match</t>
  </si>
  <si>
    <t>top ranked</t>
  </si>
  <si>
    <t>Outcomes</t>
  </si>
  <si>
    <t>no news</t>
  </si>
  <si>
    <t>rejected</t>
  </si>
  <si>
    <t>interview</t>
  </si>
  <si>
    <t>fly out</t>
  </si>
  <si>
    <t>offer</t>
  </si>
  <si>
    <t>julia cage as a potential network</t>
  </si>
  <si>
    <t>puc_gob</t>
  </si>
  <si>
    <t>https://airtable.com/appXAkqceBTdmqmoL/pagkrGoMDVnPvz2vD/form</t>
  </si>
  <si>
    <t>https://gobierno.uc.cl/noticias/call-for-applications-2-full-time-academic-positions-preference-for-assistant-professor-level/</t>
  </si>
  <si>
    <t>Diego Gil,</t>
  </si>
  <si>
    <t>oecd_2</t>
  </si>
  <si>
    <t>https://jobs.smartrecruiters.com/OECD/744000089248695-data-analyst-on-international-trade-and-business-statistics</t>
  </si>
  <si>
    <t>yale_cadmy</t>
  </si>
  <si>
    <t>Yale</t>
  </si>
  <si>
    <t>will_mary</t>
  </si>
  <si>
    <t>https://go.wm.edu/VphZB3</t>
  </si>
  <si>
    <t>William and Mary</t>
  </si>
  <si>
    <t>job number JR10004781</t>
  </si>
  <si>
    <t>https://jobs.wisc.edu/jobs/assistant-professor-in-agricultural-and-applied-economics-madison-wisconsin-united-states</t>
  </si>
  <si>
    <t>uw_1</t>
  </si>
  <si>
    <t>Universty at Wisconsin-Maddison</t>
  </si>
  <si>
    <t>uw_2</t>
  </si>
  <si>
    <t>The Job ID is JR10003883</t>
  </si>
  <si>
    <t>https://wisconsin.wd1.myworkdayjobs.com/UW_Comprehensives/job/Whitewater-WI/Assistant-Professor--Tenure-Track---Economics_JR10003883</t>
  </si>
  <si>
    <t>Universty at Wisconsin-Whitewater</t>
  </si>
  <si>
    <t>uw_3</t>
  </si>
  <si>
    <t>https://wisconsin.wd1.myworkdayjobs.com/en-US/UW_Comprehensives/details/Assistant-Professor-Economics_JR10004642?Institution=5adf054562b610142325c7d9ca9e0000</t>
  </si>
  <si>
    <t>Universty at Wisconsin-Stevenson</t>
  </si>
  <si>
    <t>thema</t>
  </si>
  <si>
    <t>THEMA</t>
  </si>
  <si>
    <t>warwik</t>
  </si>
  <si>
    <t>https://warwick-careers.tal.net/vx/lang-en-GB/mobile-0/appcentre-1/brand-4/user-11595/xf-96f0ebc693de/candidate/so/pm/1/pl/3/opp/3445-Assistant-Professor-Economics-x2-30212-1025/en-GB</t>
  </si>
  <si>
    <t>need to apply to EJM AND to the warwik site</t>
  </si>
  <si>
    <t>University of Warwik</t>
  </si>
  <si>
    <t>purdue</t>
  </si>
  <si>
    <t>https://careers.purdue.edu/job/AssistantAssociate-Tenure-Track-Professor%2C-Agricultural%2C-Food-and-Applied-Economics/39067-en_US/</t>
  </si>
  <si>
    <t>Purdue University</t>
  </si>
  <si>
    <t>need to apply to EJM AND another site</t>
  </si>
  <si>
    <t>added some more info on posts</t>
  </si>
  <si>
    <t>lisbon_cat</t>
  </si>
  <si>
    <t>utah</t>
  </si>
  <si>
    <t>https://utah.peopleadmin.com/postings/188619</t>
  </si>
  <si>
    <t>The University of Utah</t>
  </si>
  <si>
    <t>south_main</t>
  </si>
  <si>
    <t>https://fa-ewca-saasfaprod1.fa.ocs.oraclecloud.com/hcmUI/CandidateExperience/en/sites/CX_1/job/1521?lastSelectedFacet=ORGANIZATIONS&amp;mode=location&amp;selectedOrganizationsFacet=300000014113625</t>
  </si>
  <si>
    <t>University of Southern Maine</t>
  </si>
  <si>
    <t>make it teaching focused</t>
  </si>
  <si>
    <t>south_florida</t>
  </si>
  <si>
    <t>http://employment.usf.edu</t>
  </si>
  <si>
    <t>joe + other place</t>
  </si>
  <si>
    <t>University of South Florida</t>
  </si>
  <si>
    <t>south_carolina</t>
  </si>
  <si>
    <t>https://uscjobs.sc.edu/postings/195192</t>
  </si>
  <si>
    <t>University of South Carolina</t>
  </si>
  <si>
    <t>about artificial inteligence</t>
  </si>
  <si>
    <t>pittsburg</t>
  </si>
  <si>
    <t>University of Pittsburgh</t>
  </si>
  <si>
    <t>richmond</t>
  </si>
  <si>
    <t>https://robins.richmond.edu/undergraduate/departments/economics/career-opportunities.html</t>
  </si>
  <si>
    <t>University of Richmond</t>
  </si>
  <si>
    <t>oklahoma</t>
  </si>
  <si>
    <t>University of Oklahoma</t>
  </si>
  <si>
    <t>https://apply.interfolio.com/174522</t>
  </si>
  <si>
    <t>notredame</t>
  </si>
  <si>
    <t>https://apply.interfolio.com/173340</t>
  </si>
  <si>
    <t>University of Notre Dame</t>
  </si>
  <si>
    <t>n_iowa</t>
  </si>
  <si>
    <t>https://uni.wd5.myworkdayjobs.com/en-US/UNI/details/Assistant-or-Associate-Professor-of-Economics--Applied-Microeconomics-_JR816?jobFamilyGroup=12b49c095378100522815b04f3340001</t>
  </si>
  <si>
    <t>University of Northern Iowa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</si>
</sst>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2"/>
      <color theme="1"/>
      <name val="Aptos Narrow"/>
      <family val="2"/>
      <scheme val="minor"/>
    </font>
    <font>
      <u/>
      <sz val="12"/>
      <color theme="10"/>
      <name val="Aptos Narrow"/>
      <family val="2"/>
      <scheme val="minor"/>
    </font>
    <font>
      <b/>
      <sz val="16"/>
      <color theme="1"/>
      <name val="Aptos Narrow"/>
      <scheme val="minor"/>
    </font>
    <font>
      <b/>
      <sz val="12"/>
      <color theme="1"/>
      <name val="Aptos Narrow"/>
      <family val="2"/>
      <scheme val="minor"/>
    </font>
    <font>
      <sz val="12"/>
      <color rgb="FF000000"/>
      <name val="Aptos Narrow"/>
      <family val="2"/>
      <scheme val="minor"/>
    </font>
    <font>
      <sz val="12"/>
      <name val="Aptos Narrow"/>
      <family val="2"/>
      <scheme val="minor"/>
    </font>
    <font>
      <sz val="12"/>
      <color theme="1"/>
      <name val="Aptos Narrow"/>
      <family val="2"/>
      <scheme val="minor"/>
    </font>
    <font>
      <sz val="20"/>
      <color theme="1"/>
      <name val="Aptos Narrow"/>
      <family val="2"/>
      <scheme val="minor"/>
    </font>
    <font>
      <i/>
      <sz val="12"/>
      <color theme="1"/>
      <name val="Aptos Narrow"/>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3">
    <xf numFmtId="0" fontId="0" fillId="0" borderId="0"/>
    <xf numFmtId="0" fontId="1" fillId="0" borderId="0" applyNumberFormat="0" applyFill="0" applyBorder="0" applyAlignment="0" applyProtection="0"/>
    <xf numFmtId="9" fontId="6" fillId="0" borderId="0" applyFont="0" applyFill="0" applyBorder="0" applyAlignment="0" applyProtection="0"/>
  </cellStyleXfs>
  <cellXfs count="19">
    <xf numFmtId="0" fontId="0" fillId="0" borderId="0" xfId="0"/>
    <xf numFmtId="14" fontId="0" fillId="0" borderId="0" xfId="0" applyNumberFormat="1"/>
    <xf numFmtId="0" fontId="1" fillId="0" borderId="0" xfId="1"/>
    <xf numFmtId="0" fontId="2" fillId="0" borderId="0" xfId="0" applyFont="1" applyAlignment="1">
      <alignment horizontal="center"/>
    </xf>
    <xf numFmtId="0" fontId="0" fillId="2" borderId="0" xfId="0" applyFill="1"/>
    <xf numFmtId="0" fontId="2" fillId="0" borderId="0" xfId="0" applyFont="1" applyAlignment="1">
      <alignment vertical="center"/>
    </xf>
    <xf numFmtId="0" fontId="0" fillId="0" borderId="0" xfId="0" applyAlignment="1">
      <alignment vertical="center"/>
    </xf>
    <xf numFmtId="0" fontId="4" fillId="0" borderId="0" xfId="0" applyFont="1"/>
    <xf numFmtId="0" fontId="5" fillId="0" borderId="0" xfId="0" applyFont="1"/>
    <xf numFmtId="0" fontId="1" fillId="0" borderId="0" xfId="1" applyAlignment="1"/>
    <xf numFmtId="0" fontId="3" fillId="0" borderId="0" xfId="0" applyFont="1"/>
    <xf numFmtId="0" fontId="6" fillId="0" borderId="0" xfId="1" applyFont="1" applyFill="1"/>
    <xf numFmtId="9" fontId="0" fillId="0" borderId="0" xfId="2" applyFont="1" applyAlignment="1">
      <alignment horizontal="center" vertical="center"/>
    </xf>
    <xf numFmtId="0" fontId="7" fillId="0" borderId="0" xfId="0" applyFont="1" applyAlignment="1">
      <alignment horizontal="right"/>
    </xf>
    <xf numFmtId="0" fontId="0" fillId="0" borderId="0" xfId="0" applyAlignment="1">
      <alignment horizontal="right"/>
    </xf>
    <xf numFmtId="0" fontId="8" fillId="0" borderId="0" xfId="0" applyFont="1" applyAlignment="1">
      <alignment horizontal="right"/>
    </xf>
    <xf numFmtId="9" fontId="7" fillId="0" borderId="0" xfId="2" applyFont="1" applyAlignment="1">
      <alignment horizontal="center" vertical="center"/>
    </xf>
    <xf numFmtId="0" fontId="7" fillId="0" borderId="0" xfId="0" applyFont="1" applyAlignment="1">
      <alignment horizontal="center" vertical="center"/>
    </xf>
    <xf numFmtId="0" fontId="0" fillId="0" borderId="0" xfId="0" applyAlignment="1">
      <alignment horizontal="center" vertical="center"/>
    </xf>
  </cellXfs>
  <cellStyles count="3">
    <cellStyle name="Hyperlink" xfId="1" builtinId="8"/>
    <cellStyle name="Normal" xfId="0" builtinId="0"/>
    <cellStyle name="Percent" xfId="2" builtinId="5"/>
  </cellStyles>
  <dxfs count="74">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val="0"/>
        <i/>
        <color theme="0" tint="-0.24994659260841701"/>
      </font>
    </dxf>
    <dxf>
      <font>
        <color theme="5" tint="0.7999816888943144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val="0"/>
        <i/>
        <color theme="0" tint="-0.24994659260841701"/>
      </font>
    </dxf>
    <dxf>
      <font>
        <color theme="5" tint="0.7999816888943144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20/07/relationships/rdRichValueWebImage" Target="richData/rdRichValueWebImage.xml"/><Relationship Id="rId13" Type="http://schemas.microsoft.com/office/2017/06/relationships/rdSupportingPropertyBagStructure" Target="richData/rdsupportingpropertybagstructure.xml"/><Relationship Id="rId3" Type="http://schemas.openxmlformats.org/officeDocument/2006/relationships/worksheet" Target="worksheets/sheet3.xml"/><Relationship Id="rId7" Type="http://schemas.openxmlformats.org/officeDocument/2006/relationships/sheetMetadata" Target="metadata.xml"/><Relationship Id="rId12" Type="http://schemas.microsoft.com/office/2017/06/relationships/richStyles" Target="richData/richStyles.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06/relationships/rdArray" Target="richData/rdarray.xml"/><Relationship Id="rId5" Type="http://schemas.openxmlformats.org/officeDocument/2006/relationships/styles" Target="styles.xml"/><Relationship Id="rId15" Type="http://schemas.microsoft.com/office/2017/06/relationships/rdRichValueTypes" Target="richData/rdRichValueTypes.xml"/><Relationship Id="rId10" Type="http://schemas.microsoft.com/office/2017/06/relationships/rdRichValueStructure" Target="richData/rdrichvaluestructure.xml"/><Relationship Id="rId4" Type="http://schemas.openxmlformats.org/officeDocument/2006/relationships/theme" Target="theme/theme1.xml"/><Relationship Id="rId9" Type="http://schemas.microsoft.com/office/2017/06/relationships/rdRichValue" Target="richData/rdrichvalue.xml"/><Relationship Id="rId14" Type="http://schemas.microsoft.com/office/2017/06/relationships/rdSupportingPropertyBag" Target="richData/rdsupportingpropertybag.xml"/></Relationships>
</file>

<file path=xl/richData/_rels/rdRichValueWebImage.xml.rels><?xml version="1.0" encoding="UTF-8" standalone="yes"?>
<Relationships xmlns="http://schemas.openxmlformats.org/package/2006/relationships"><Relationship Id="rId117" Type="http://schemas.openxmlformats.org/officeDocument/2006/relationships/hyperlink" Target="https://www.bing.com/th?id=OSK.3666846595b7a7ef3fd0663d5b9791f3&amp;qlt=95" TargetMode="External"/><Relationship Id="rId21" Type="http://schemas.openxmlformats.org/officeDocument/2006/relationships/hyperlink" Target="https://www.bing.com/th?id=OSK.09fb0d37cacee3c3feb04b7452bd8436&amp;qlt=95" TargetMode="External"/><Relationship Id="rId42" Type="http://schemas.openxmlformats.org/officeDocument/2006/relationships/hyperlink" Target="https://www.bing.com/images/search?form=xlimg&amp;q=Canada" TargetMode="External"/><Relationship Id="rId63" Type="http://schemas.openxmlformats.org/officeDocument/2006/relationships/hyperlink" Target="https://www.bing.com/th?id=OSK.tOSHYHGs-Buolznc808yhdUKx4cBIuUyjpjDEgx-X1Y&amp;qlt=95" TargetMode="External"/><Relationship Id="rId84" Type="http://schemas.openxmlformats.org/officeDocument/2006/relationships/hyperlink" Target="https://www.bing.com/images/search?form=xlimg&amp;q=College%20Station,%20Texas" TargetMode="External"/><Relationship Id="rId138" Type="http://schemas.openxmlformats.org/officeDocument/2006/relationships/hyperlink" Target="https://www.bing.com/images/search?form=xlimg&amp;q=Prague" TargetMode="External"/><Relationship Id="rId107" Type="http://schemas.openxmlformats.org/officeDocument/2006/relationships/hyperlink" Target="https://www.bing.com/th?id=OSK.380316b6ec7e3f5c2fadae3206181af4&amp;qlt=95" TargetMode="External"/><Relationship Id="rId11" Type="http://schemas.openxmlformats.org/officeDocument/2006/relationships/hyperlink" Target="https://www.bing.com/th?id=OSK.30ceb575fb4214ce576b42df18666e43&amp;qlt=95" TargetMode="External"/><Relationship Id="rId32" Type="http://schemas.openxmlformats.org/officeDocument/2006/relationships/hyperlink" Target="https://www.bing.com/images/search?form=xlimg&amp;q=Utah" TargetMode="External"/><Relationship Id="rId53" Type="http://schemas.openxmlformats.org/officeDocument/2006/relationships/hyperlink" Target="https://www.bing.com/th?id=OSK.fbb71d5e592f7fda00cf81328e03b81f&amp;qlt=95" TargetMode="External"/><Relationship Id="rId74" Type="http://schemas.openxmlformats.org/officeDocument/2006/relationships/hyperlink" Target="https://www.bing.com/images/search?form=xlimg&amp;q=Boston" TargetMode="External"/><Relationship Id="rId128" Type="http://schemas.openxmlformats.org/officeDocument/2006/relationships/hyperlink" Target="https://www.bing.com/images/search?form=xlimg&amp;q=Denmark" TargetMode="External"/><Relationship Id="rId5" Type="http://schemas.openxmlformats.org/officeDocument/2006/relationships/hyperlink" Target="https://www.bing.com/th?id=OSK.mO4XHwrP6yfKa7Avo1I5bKuv0yIDhsmaBtDzMrZXF_E&amp;qlt=95" TargetMode="External"/><Relationship Id="rId90" Type="http://schemas.openxmlformats.org/officeDocument/2006/relationships/hyperlink" Target="https://www.bing.com/images/search?form=xlimg&amp;q=Montreal" TargetMode="External"/><Relationship Id="rId95" Type="http://schemas.openxmlformats.org/officeDocument/2006/relationships/hyperlink" Target="https://www.bing.com/th?id=OSK.66c2ebf9a8cace2226269d70b1d3b0fc&amp;qlt=95" TargetMode="External"/><Relationship Id="rId22" Type="http://schemas.openxmlformats.org/officeDocument/2006/relationships/hyperlink" Target="https://www.bing.com/images/search?form=xlimg&amp;q=Nebraska" TargetMode="External"/><Relationship Id="rId27" Type="http://schemas.openxmlformats.org/officeDocument/2006/relationships/hyperlink" Target="https://www.bing.com/th?id=OSK.f57f7916e76fc47c2a83efc3859d6379&amp;qlt=95" TargetMode="External"/><Relationship Id="rId43" Type="http://schemas.openxmlformats.org/officeDocument/2006/relationships/hyperlink" Target="https://www.bing.com/th?id=OSK.105070553dccf583f36eb435ac6a9eed&amp;qlt=95" TargetMode="External"/><Relationship Id="rId48" Type="http://schemas.openxmlformats.org/officeDocument/2006/relationships/hyperlink" Target="https://www.bing.com/images/search?form=xlimg&amp;q=Japan" TargetMode="External"/><Relationship Id="rId64" Type="http://schemas.openxmlformats.org/officeDocument/2006/relationships/hyperlink" Target="https://www.bing.com/images/search?form=xlimg&amp;q=Santiago" TargetMode="External"/><Relationship Id="rId69" Type="http://schemas.openxmlformats.org/officeDocument/2006/relationships/hyperlink" Target="https://www.bing.com/th?id=OSK.da9f1ba81b537e79571230c8ed6cac8a&amp;qlt=95" TargetMode="External"/><Relationship Id="rId113" Type="http://schemas.openxmlformats.org/officeDocument/2006/relationships/hyperlink" Target="https://www.bing.com/th?id=OSK.98487a595574daf008032d4858074c6c&amp;qlt=95" TargetMode="External"/><Relationship Id="rId118" Type="http://schemas.openxmlformats.org/officeDocument/2006/relationships/hyperlink" Target="https://www.bing.com/images/search?form=xlimg&amp;q=London" TargetMode="External"/><Relationship Id="rId134" Type="http://schemas.openxmlformats.org/officeDocument/2006/relationships/hyperlink" Target="https://www.bing.com/images/search?form=xlimg&amp;q=Argentina" TargetMode="External"/><Relationship Id="rId139" Type="http://schemas.openxmlformats.org/officeDocument/2006/relationships/hyperlink" Target="https://www.bing.com/th?id=OSK.d9b621cc7d88019e0d716dda1c17a307&amp;qlt=95" TargetMode="External"/><Relationship Id="rId80" Type="http://schemas.openxmlformats.org/officeDocument/2006/relationships/hyperlink" Target="https://www.bing.com/images/search?form=xlimg&amp;q=Berlin" TargetMode="External"/><Relationship Id="rId85" Type="http://schemas.openxmlformats.org/officeDocument/2006/relationships/hyperlink" Target="https://www.bing.com/th?id=OSK.bed9fc3690f3414a4850855fee332f1c&amp;qlt=95" TargetMode="External"/><Relationship Id="rId12" Type="http://schemas.openxmlformats.org/officeDocument/2006/relationships/hyperlink" Target="https://www.bing.com/images/search?form=xlimg&amp;q=Connecticut" TargetMode="External"/><Relationship Id="rId17" Type="http://schemas.openxmlformats.org/officeDocument/2006/relationships/hyperlink" Target="https://www.bing.com/th?id=OSK.153231065b610cb99cb3435b59eccac2&amp;qlt=95" TargetMode="External"/><Relationship Id="rId33" Type="http://schemas.openxmlformats.org/officeDocument/2006/relationships/hyperlink" Target="https://www.bing.com/th?id=OSK.14d323e3784d30722d6785a6cef8f9c3&amp;qlt=95" TargetMode="External"/><Relationship Id="rId38" Type="http://schemas.openxmlformats.org/officeDocument/2006/relationships/hyperlink" Target="https://www.bing.com/images/search?form=xlimg&amp;q=Richmond,%20Virginia" TargetMode="External"/><Relationship Id="rId59" Type="http://schemas.openxmlformats.org/officeDocument/2006/relationships/hyperlink" Target="https://www.bing.com/th?id=OSK.6f397b35762e2852058e1cfc4607f893&amp;qlt=95" TargetMode="External"/><Relationship Id="rId103" Type="http://schemas.openxmlformats.org/officeDocument/2006/relationships/hyperlink" Target="https://www.bing.com/th?id=OSK.06822149f642a583d99bbab688eca680&amp;qlt=95" TargetMode="External"/><Relationship Id="rId108" Type="http://schemas.openxmlformats.org/officeDocument/2006/relationships/hyperlink" Target="https://www.bing.com/images/search?form=xlimg&amp;q=Brazil" TargetMode="External"/><Relationship Id="rId124" Type="http://schemas.openxmlformats.org/officeDocument/2006/relationships/hyperlink" Target="https://www.bing.com/images/search?form=xlimg&amp;q=Cascais" TargetMode="External"/><Relationship Id="rId129" Type="http://schemas.openxmlformats.org/officeDocument/2006/relationships/hyperlink" Target="https://www.bing.com/th?id=OSK.cf17e786b97fde4860ff0b98a404701f&amp;qlt=95" TargetMode="External"/><Relationship Id="rId54" Type="http://schemas.openxmlformats.org/officeDocument/2006/relationships/hyperlink" Target="https://www.bing.com/images/search?form=xlimg&amp;q=Spain" TargetMode="External"/><Relationship Id="rId70" Type="http://schemas.openxmlformats.org/officeDocument/2006/relationships/hyperlink" Target="https://www.bing.com/images/search?form=xlimg&amp;q=Barcelona" TargetMode="External"/><Relationship Id="rId75" Type="http://schemas.openxmlformats.org/officeDocument/2006/relationships/hyperlink" Target="https://www.bing.com/th?id=OSK.5d4f58204601fa1f31c408c65607c0ed&amp;qlt=95" TargetMode="External"/><Relationship Id="rId91" Type="http://schemas.openxmlformats.org/officeDocument/2006/relationships/hyperlink" Target="https://www.bing.com/th?id=OSK.ymB-aUlVtIPobu-J0CqOfis9WIfVxNvQ7P37PoJG0Dw&amp;qlt=95" TargetMode="External"/><Relationship Id="rId96" Type="http://schemas.openxmlformats.org/officeDocument/2006/relationships/hyperlink" Target="https://www.bing.com/images/search?form=xlimg&amp;q=Sweden" TargetMode="External"/><Relationship Id="rId140" Type="http://schemas.openxmlformats.org/officeDocument/2006/relationships/hyperlink" Target="https://www.bing.com/images/search?form=xlimg&amp;q=Slovakia" TargetMode="External"/><Relationship Id="rId145" Type="http://schemas.openxmlformats.org/officeDocument/2006/relationships/hyperlink" Target="https://www.bing.com/th?id=OSK.09cf279ad5c4bf29528ac1780d0c14bc&amp;qlt=95" TargetMode="External"/><Relationship Id="rId1" Type="http://schemas.openxmlformats.org/officeDocument/2006/relationships/hyperlink" Target="https://www.bing.com/th?id=OSK.YtMhN6HhvG5MEe3503eBpt0x5dUEQecJSHfTztAgl0U&amp;qlt=95" TargetMode="External"/><Relationship Id="rId6" Type="http://schemas.openxmlformats.org/officeDocument/2006/relationships/hyperlink" Target="https://www.bing.com/images/search?form=xlimg&amp;q=Washington,%20D.C." TargetMode="External"/><Relationship Id="rId23" Type="http://schemas.openxmlformats.org/officeDocument/2006/relationships/hyperlink" Target="https://www.bing.com/th?id=OSK.dc4854218778b6f007a0fb39483a9a3f&amp;qlt=95" TargetMode="External"/><Relationship Id="rId28" Type="http://schemas.openxmlformats.org/officeDocument/2006/relationships/hyperlink" Target="https://www.bing.com/images/search?form=xlimg&amp;q=South%20Carolina" TargetMode="External"/><Relationship Id="rId49" Type="http://schemas.openxmlformats.org/officeDocument/2006/relationships/hyperlink" Target="https://www.bing.com/th?id=OSK.a5e66df12e2c87d6b1c2825f3d9fd432&amp;qlt=95" TargetMode="External"/><Relationship Id="rId114" Type="http://schemas.openxmlformats.org/officeDocument/2006/relationships/hyperlink" Target="https://www.bing.com/images/search?form=xlimg&amp;q=Getafe" TargetMode="External"/><Relationship Id="rId119" Type="http://schemas.openxmlformats.org/officeDocument/2006/relationships/hyperlink" Target="https://www.bing.com/th?id=OSK.25df30c19d33bb8b6b2e0396595bbfd6&amp;qlt=95" TargetMode="External"/><Relationship Id="rId44" Type="http://schemas.openxmlformats.org/officeDocument/2006/relationships/hyperlink" Target="https://www.bing.com/images/search?form=xlimg&amp;q=Ontario" TargetMode="External"/><Relationship Id="rId60" Type="http://schemas.openxmlformats.org/officeDocument/2006/relationships/hyperlink" Target="https://www.bing.com/images/search?form=xlimg&amp;q=Paris" TargetMode="External"/><Relationship Id="rId65" Type="http://schemas.openxmlformats.org/officeDocument/2006/relationships/hyperlink" Target="https://www.bing.com/th?id=OSK.79dcfcb50bb489b9abd805e3a32b4d69&amp;qlt=95" TargetMode="External"/><Relationship Id="rId81" Type="http://schemas.openxmlformats.org/officeDocument/2006/relationships/hyperlink" Target="https://www.bing.com/th?id=OSK.9fae920b3d161f824cf10283350e3e1e&amp;qlt=95" TargetMode="External"/><Relationship Id="rId86" Type="http://schemas.openxmlformats.org/officeDocument/2006/relationships/hyperlink" Target="https://www.bing.com/images/search?form=xlimg&amp;q=Australia" TargetMode="External"/><Relationship Id="rId130" Type="http://schemas.openxmlformats.org/officeDocument/2006/relationships/hyperlink" Target="https://www.bing.com/images/search?form=xlimg&amp;q=Mexico" TargetMode="External"/><Relationship Id="rId135" Type="http://schemas.openxmlformats.org/officeDocument/2006/relationships/hyperlink" Target="https://www.bing.com/th?id=OSK.3ad9dc82b4ada40031ce05d559610900&amp;qlt=95" TargetMode="External"/><Relationship Id="rId13" Type="http://schemas.openxmlformats.org/officeDocument/2006/relationships/hyperlink" Target="https://www.bing.com/th?id=OSK.5c9644308dc1fc218d48a103b8cf93f9&amp;qlt=95" TargetMode="External"/><Relationship Id="rId18" Type="http://schemas.openxmlformats.org/officeDocument/2006/relationships/hyperlink" Target="https://www.bing.com/images/search?form=xlimg&amp;q=Iowa" TargetMode="External"/><Relationship Id="rId39" Type="http://schemas.openxmlformats.org/officeDocument/2006/relationships/hyperlink" Target="https://www.bing.com/th?id=OSK.773b6665641a8c212ab63e5cae9d8ffd&amp;qlt=95" TargetMode="External"/><Relationship Id="rId109" Type="http://schemas.openxmlformats.org/officeDocument/2006/relationships/hyperlink" Target="https://www.bing.com/th?id=OSK.f7fdc0797674edd230ee73aba17b77d2&amp;qlt=95" TargetMode="External"/><Relationship Id="rId34" Type="http://schemas.openxmlformats.org/officeDocument/2006/relationships/hyperlink" Target="https://www.bing.com/images/search?form=xlimg&amp;q=Virginia" TargetMode="External"/><Relationship Id="rId50" Type="http://schemas.openxmlformats.org/officeDocument/2006/relationships/hyperlink" Target="https://www.bing.com/images/search?form=xlimg&amp;q=Tokyo" TargetMode="External"/><Relationship Id="rId55" Type="http://schemas.openxmlformats.org/officeDocument/2006/relationships/hyperlink" Target="https://www.bing.com/th?id=OSK.12f7533dca5f011065a431e87678062b&amp;qlt=95" TargetMode="External"/><Relationship Id="rId76" Type="http://schemas.openxmlformats.org/officeDocument/2006/relationships/hyperlink" Target="https://www.bing.com/images/search?form=xlimg&amp;q=Hanover" TargetMode="External"/><Relationship Id="rId97" Type="http://schemas.openxmlformats.org/officeDocument/2006/relationships/hyperlink" Target="https://www.bing.com/th?id=OSK.e3Qk7VDK3s_UJdkFUPfcNiPKTMmjgFfoGSCJzeg6YI8&amp;qlt=95" TargetMode="External"/><Relationship Id="rId104" Type="http://schemas.openxmlformats.org/officeDocument/2006/relationships/hyperlink" Target="https://www.bing.com/images/search?form=xlimg&amp;q=Grinnell,%20Iowa" TargetMode="External"/><Relationship Id="rId120" Type="http://schemas.openxmlformats.org/officeDocument/2006/relationships/hyperlink" Target="https://www.bing.com/images/search?form=xlimg&amp;q=Norway" TargetMode="External"/><Relationship Id="rId125" Type="http://schemas.openxmlformats.org/officeDocument/2006/relationships/hyperlink" Target="https://www.bing.com/th?id=OSK.2d7b7af86f9a55648a4aec7fbe3969e6&amp;qlt=95" TargetMode="External"/><Relationship Id="rId141" Type="http://schemas.openxmlformats.org/officeDocument/2006/relationships/hyperlink" Target="https://www.bing.com/th?id=OSK.292818c96d13281efc2bcf0621712879&amp;qlt=95" TargetMode="External"/><Relationship Id="rId146" Type="http://schemas.openxmlformats.org/officeDocument/2006/relationships/hyperlink" Target="https://www.bing.com/images/search?form=xlimg&amp;q=Pittsburgh" TargetMode="External"/><Relationship Id="rId7" Type="http://schemas.openxmlformats.org/officeDocument/2006/relationships/hyperlink" Target="https://www.bing.com/th?id=OSK.00be164b931c0a9427c0a2ebdae3e140&amp;qlt=95" TargetMode="External"/><Relationship Id="rId71" Type="http://schemas.openxmlformats.org/officeDocument/2006/relationships/hyperlink" Target="https://www.bing.com/th?id=OSK.8p2k5lHoxkLkVFhhRavwz0TU1HJcwyyrphMGrCfxYiE&amp;qlt=95" TargetMode="External"/><Relationship Id="rId92" Type="http://schemas.openxmlformats.org/officeDocument/2006/relationships/hyperlink" Target="https://www.bing.com/images/search?form=xlimg&amp;q=Colombia" TargetMode="External"/><Relationship Id="rId2" Type="http://schemas.openxmlformats.org/officeDocument/2006/relationships/hyperlink" Target="https://www.bing.com/images/search?form=xlimg&amp;q=New%20York%20City" TargetMode="External"/><Relationship Id="rId29" Type="http://schemas.openxmlformats.org/officeDocument/2006/relationships/hyperlink" Target="https://www.bing.com/th?id=OSK.64a722b3d40292398291610dc8c47d2c&amp;qlt=95" TargetMode="External"/><Relationship Id="rId24" Type="http://schemas.openxmlformats.org/officeDocument/2006/relationships/hyperlink" Target="https://www.bing.com/images/search?form=xlimg&amp;q=Oklahoma" TargetMode="External"/><Relationship Id="rId40" Type="http://schemas.openxmlformats.org/officeDocument/2006/relationships/hyperlink" Target="https://www.bing.com/images/search?form=xlimg&amp;q=Burnaby" TargetMode="External"/><Relationship Id="rId45" Type="http://schemas.openxmlformats.org/officeDocument/2006/relationships/hyperlink" Target="https://www.bing.com/th?id=OSK.fAhOaFi6M5ZKJxodrHZF9yR2AQ3voI-PGG1ga5v3t0U&amp;qlt=95" TargetMode="External"/><Relationship Id="rId66" Type="http://schemas.openxmlformats.org/officeDocument/2006/relationships/hyperlink" Target="https://www.bing.com/images/search?form=xlimg&amp;q=Chile" TargetMode="External"/><Relationship Id="rId87" Type="http://schemas.openxmlformats.org/officeDocument/2006/relationships/hyperlink" Target="https://www.bing.com/th?id=OSK.acf52e657f7121979fdc9bcae43ce646&amp;qlt=95" TargetMode="External"/><Relationship Id="rId110" Type="http://schemas.openxmlformats.org/officeDocument/2006/relationships/hyperlink" Target="https://www.bing.com/images/search?form=xlimg&amp;q=Switzerland" TargetMode="External"/><Relationship Id="rId115" Type="http://schemas.openxmlformats.org/officeDocument/2006/relationships/hyperlink" Target="https://www.bing.com/th?id=OSK.1a33b5115bfc290abc8869de29ebd567&amp;qlt=95" TargetMode="External"/><Relationship Id="rId131" Type="http://schemas.openxmlformats.org/officeDocument/2006/relationships/hyperlink" Target="https://www.bing.com/th?id=OSK.5ca82a675c844491e9b0ecb82e975a85&amp;qlt=95" TargetMode="External"/><Relationship Id="rId136" Type="http://schemas.openxmlformats.org/officeDocument/2006/relationships/hyperlink" Target="https://www.bing.com/images/search?form=xlimg&amp;q=South%20Korea" TargetMode="External"/><Relationship Id="rId61" Type="http://schemas.openxmlformats.org/officeDocument/2006/relationships/hyperlink" Target="https://www.bing.com/th?id=OSK.IJoB2IAflCzjheZJfaz5mfzEWw5jRcoWEgDQz1yU2Yk&amp;qlt=95" TargetMode="External"/><Relationship Id="rId82" Type="http://schemas.openxmlformats.org/officeDocument/2006/relationships/hyperlink" Target="https://www.bing.com/images/search?form=xlimg&amp;q=Lewiston,%20Maine" TargetMode="External"/><Relationship Id="rId19" Type="http://schemas.openxmlformats.org/officeDocument/2006/relationships/hyperlink" Target="https://www.bing.com/th?id=OSK.40b19650ace0234fdb053333f72c8df0&amp;qlt=95" TargetMode="External"/><Relationship Id="rId14" Type="http://schemas.openxmlformats.org/officeDocument/2006/relationships/hyperlink" Target="https://www.bing.com/images/search?form=xlimg&amp;q=Florida" TargetMode="External"/><Relationship Id="rId30" Type="http://schemas.openxmlformats.org/officeDocument/2006/relationships/hyperlink" Target="https://www.bing.com/images/search?form=xlimg&amp;q=Texas" TargetMode="External"/><Relationship Id="rId35" Type="http://schemas.openxmlformats.org/officeDocument/2006/relationships/hyperlink" Target="https://www.bing.com/th?id=OSK.0678bd4067f4a421f3884b05dad25be4&amp;qlt=95" TargetMode="External"/><Relationship Id="rId56" Type="http://schemas.openxmlformats.org/officeDocument/2006/relationships/hyperlink" Target="https://www.bing.com/images/search?form=xlimg&amp;q=Madrid" TargetMode="External"/><Relationship Id="rId77" Type="http://schemas.openxmlformats.org/officeDocument/2006/relationships/hyperlink" Target="https://www.bing.com/th?id=OSK.7_iYqjXftHmThTCYlh51zbqPoNnoe4Qk7UaH59Ba1Z0&amp;qlt=95" TargetMode="External"/><Relationship Id="rId100" Type="http://schemas.openxmlformats.org/officeDocument/2006/relationships/hyperlink" Target="https://www.bing.com/images/search?form=xlimg&amp;q=Ithaca,%20New%20York" TargetMode="External"/><Relationship Id="rId105" Type="http://schemas.openxmlformats.org/officeDocument/2006/relationships/hyperlink" Target="https://www.bing.com/th?id=OSK.337e8134685d10178f58f9902cf80329&amp;qlt=95" TargetMode="External"/><Relationship Id="rId126" Type="http://schemas.openxmlformats.org/officeDocument/2006/relationships/hyperlink" Target="https://www.bing.com/images/search?form=xlimg&amp;q=Portugal" TargetMode="External"/><Relationship Id="rId8" Type="http://schemas.openxmlformats.org/officeDocument/2006/relationships/hyperlink" Target="https://www.bing.com/images/search?form=xlimg&amp;q=California" TargetMode="External"/><Relationship Id="rId51" Type="http://schemas.openxmlformats.org/officeDocument/2006/relationships/hyperlink" Target="https://www.bing.com/th?id=OSK.8dbe7163fcbe6a0f90507138513473b1&amp;qlt=95" TargetMode="External"/><Relationship Id="rId72" Type="http://schemas.openxmlformats.org/officeDocument/2006/relationships/hyperlink" Target="https://www.bing.com/images/search?form=xlimg&amp;q=Netherlands" TargetMode="External"/><Relationship Id="rId93" Type="http://schemas.openxmlformats.org/officeDocument/2006/relationships/hyperlink" Target="https://www.bing.com/th?id=OSK.YyStd3n6FeCyDWZVKn54i8IqezKRsFpq7XThd1PUiDk&amp;qlt=95" TargetMode="External"/><Relationship Id="rId98" Type="http://schemas.openxmlformats.org/officeDocument/2006/relationships/hyperlink" Target="https://www.bing.com/images/search?form=xlimg&amp;q=Stockholm" TargetMode="External"/><Relationship Id="rId121" Type="http://schemas.openxmlformats.org/officeDocument/2006/relationships/hyperlink" Target="https://www.bing.com/th?id=OSK.ea703288926093d94f3ee0ae48dc323c&amp;qlt=95" TargetMode="External"/><Relationship Id="rId142" Type="http://schemas.openxmlformats.org/officeDocument/2006/relationships/hyperlink" Target="https://www.bing.com/images/search?form=xlimg&amp;q=Indianapolis" TargetMode="External"/><Relationship Id="rId3" Type="http://schemas.openxmlformats.org/officeDocument/2006/relationships/hyperlink" Target="https://www.bing.com/th?id=OSK.08d481ce2e6378c8b3492a5438438208&amp;qlt=95" TargetMode="External"/><Relationship Id="rId25" Type="http://schemas.openxmlformats.org/officeDocument/2006/relationships/hyperlink" Target="https://www.bing.com/th?id=OSK.7bfbead25a8cd788f9ef5c17097be1bc&amp;qlt=95" TargetMode="External"/><Relationship Id="rId46" Type="http://schemas.openxmlformats.org/officeDocument/2006/relationships/hyperlink" Target="https://www.bing.com/images/search?form=xlimg&amp;q=Hamilton,%20Ontario" TargetMode="External"/><Relationship Id="rId67" Type="http://schemas.openxmlformats.org/officeDocument/2006/relationships/hyperlink" Target="https://www.bing.com/th?id=OSK.02dc9ff1a450802efeaa9ce03d0c03cc&amp;qlt=95" TargetMode="External"/><Relationship Id="rId116" Type="http://schemas.openxmlformats.org/officeDocument/2006/relationships/hyperlink" Target="https://www.bing.com/images/search?form=xlimg&amp;q=United%20Kingdom" TargetMode="External"/><Relationship Id="rId137" Type="http://schemas.openxmlformats.org/officeDocument/2006/relationships/hyperlink" Target="https://www.bing.com/th?id=OSK.20b781e13bc391ce9e66ee42c5e9c504&amp;qlt=95" TargetMode="External"/><Relationship Id="rId20" Type="http://schemas.openxmlformats.org/officeDocument/2006/relationships/hyperlink" Target="https://www.bing.com/images/search?form=xlimg&amp;q=Minnesota" TargetMode="External"/><Relationship Id="rId41" Type="http://schemas.openxmlformats.org/officeDocument/2006/relationships/hyperlink" Target="https://www.bing.com/th?id=OSK.f2dbd079068622692d8b57832120921d&amp;qlt=95" TargetMode="External"/><Relationship Id="rId62" Type="http://schemas.openxmlformats.org/officeDocument/2006/relationships/hyperlink" Target="https://www.bing.com/images/search?form=xlimg&amp;q=France" TargetMode="External"/><Relationship Id="rId83" Type="http://schemas.openxmlformats.org/officeDocument/2006/relationships/hyperlink" Target="https://www.bing.com/th?id=OSK.8715b8e5a0275c579963b6d5bf20d290&amp;qlt=95" TargetMode="External"/><Relationship Id="rId88" Type="http://schemas.openxmlformats.org/officeDocument/2006/relationships/hyperlink" Target="https://www.bing.com/images/search?form=xlimg&amp;q=Sydney" TargetMode="External"/><Relationship Id="rId111" Type="http://schemas.openxmlformats.org/officeDocument/2006/relationships/hyperlink" Target="https://www.bing.com/th?id=OSK.27388ff1aa280ccb16792627f99b03e5&amp;qlt=95" TargetMode="External"/><Relationship Id="rId132" Type="http://schemas.openxmlformats.org/officeDocument/2006/relationships/hyperlink" Target="https://www.bing.com/images/search?form=xlimg&amp;q=South%20Africa" TargetMode="External"/><Relationship Id="rId15" Type="http://schemas.openxmlformats.org/officeDocument/2006/relationships/hyperlink" Target="https://www.bing.com/th?id=OSK.iPzXUKHWAaw04XjL2EOEYVLq1LOFWzsqpmjL3hkyFFc&amp;qlt=95" TargetMode="External"/><Relationship Id="rId36" Type="http://schemas.openxmlformats.org/officeDocument/2006/relationships/hyperlink" Target="https://www.bing.com/images/search?form=xlimg&amp;q=Wisconsin" TargetMode="External"/><Relationship Id="rId57" Type="http://schemas.openxmlformats.org/officeDocument/2006/relationships/hyperlink" Target="https://www.bing.com/th?id=OSK.a49f4d89d8633cc23c43eee956972f90&amp;qlt=95" TargetMode="External"/><Relationship Id="rId106" Type="http://schemas.openxmlformats.org/officeDocument/2006/relationships/hyperlink" Target="https://www.bing.com/images/search?form=xlimg&amp;q=Waterville,%20Maine" TargetMode="External"/><Relationship Id="rId127" Type="http://schemas.openxmlformats.org/officeDocument/2006/relationships/hyperlink" Target="https://www.bing.com/th?id=OSK.9131f9cc50427b26d6b4964a5feb9d7e&amp;qlt=95" TargetMode="External"/><Relationship Id="rId10" Type="http://schemas.openxmlformats.org/officeDocument/2006/relationships/hyperlink" Target="https://www.bing.com/images/search?form=xlimg&amp;q=Colorado" TargetMode="External"/><Relationship Id="rId31" Type="http://schemas.openxmlformats.org/officeDocument/2006/relationships/hyperlink" Target="https://www.bing.com/th?id=OSK.1973703d864373b47ab825b2a978ab2d&amp;qlt=95" TargetMode="External"/><Relationship Id="rId52" Type="http://schemas.openxmlformats.org/officeDocument/2006/relationships/hyperlink" Target="https://www.bing.com/images/search?form=xlimg&amp;q=Reus" TargetMode="External"/><Relationship Id="rId73" Type="http://schemas.openxmlformats.org/officeDocument/2006/relationships/hyperlink" Target="https://www.bing.com/th?id=OSK.75566aa5e1e18385639b494fd140ff6e&amp;qlt=95" TargetMode="External"/><Relationship Id="rId78" Type="http://schemas.openxmlformats.org/officeDocument/2006/relationships/hyperlink" Target="https://www.bing.com/images/search?form=xlimg&amp;q=Germany" TargetMode="External"/><Relationship Id="rId94" Type="http://schemas.openxmlformats.org/officeDocument/2006/relationships/hyperlink" Target="https://www.bing.com/images/search?form=xlimg&amp;q=Italy" TargetMode="External"/><Relationship Id="rId99" Type="http://schemas.openxmlformats.org/officeDocument/2006/relationships/hyperlink" Target="https://www.bing.com/th?id=OSK.6641bf95272891c69b797660a285d90d&amp;qlt=95" TargetMode="External"/><Relationship Id="rId101" Type="http://schemas.openxmlformats.org/officeDocument/2006/relationships/hyperlink" Target="https://www.bing.com/th?id=OSK.5de40238d1b2968500f71cdf66cc13ef&amp;qlt=95" TargetMode="External"/><Relationship Id="rId122" Type="http://schemas.openxmlformats.org/officeDocument/2006/relationships/hyperlink" Target="https://www.bing.com/images/search?form=xlimg&amp;q=Finland" TargetMode="External"/><Relationship Id="rId143" Type="http://schemas.openxmlformats.org/officeDocument/2006/relationships/hyperlink" Target="https://www.bing.com/th?id=OSK._Iya-udDkrlK0__v9ZcJMV2atfwt1DFcE6QTi3fgLfU&amp;qlt=95" TargetMode="External"/><Relationship Id="rId4" Type="http://schemas.openxmlformats.org/officeDocument/2006/relationships/hyperlink" Target="https://www.bing.com/images/search?form=xlimg&amp;q=United%20States" TargetMode="External"/><Relationship Id="rId9" Type="http://schemas.openxmlformats.org/officeDocument/2006/relationships/hyperlink" Target="https://www.bing.com/th?id=OSK.e3cff3492e954506af4fb2c8552f6135&amp;qlt=95" TargetMode="External"/><Relationship Id="rId26" Type="http://schemas.openxmlformats.org/officeDocument/2006/relationships/hyperlink" Target="https://www.bing.com/images/search?form=xlimg&amp;q=Pennsylvania" TargetMode="External"/><Relationship Id="rId47" Type="http://schemas.openxmlformats.org/officeDocument/2006/relationships/hyperlink" Target="https://www.bing.com/th?id=OSK.mTs9AdlNDLziaMN3BIhJpWCGZaOOUwqIR2jN3FJEeTw&amp;qlt=95" TargetMode="External"/><Relationship Id="rId68" Type="http://schemas.openxmlformats.org/officeDocument/2006/relationships/hyperlink" Target="https://www.bing.com/images/search?form=xlimg&amp;q=Poughkeepsie,%20New%20York" TargetMode="External"/><Relationship Id="rId89" Type="http://schemas.openxmlformats.org/officeDocument/2006/relationships/hyperlink" Target="https://www.bing.com/th?id=OSK.86be05b8862ef85dc64cd47dab645e4d&amp;qlt=95" TargetMode="External"/><Relationship Id="rId112" Type="http://schemas.openxmlformats.org/officeDocument/2006/relationships/hyperlink" Target="https://www.bing.com/images/search?form=xlimg&amp;q=Toulouse" TargetMode="External"/><Relationship Id="rId133" Type="http://schemas.openxmlformats.org/officeDocument/2006/relationships/hyperlink" Target="https://www.bing.com/th?id=OSK.1edc269d232791835391410ad86aef09&amp;qlt=95" TargetMode="External"/><Relationship Id="rId16" Type="http://schemas.openxmlformats.org/officeDocument/2006/relationships/hyperlink" Target="https://www.bing.com/images/search?form=xlimg&amp;q=Georgia%20(U.S.%20state)" TargetMode="External"/><Relationship Id="rId37" Type="http://schemas.openxmlformats.org/officeDocument/2006/relationships/hyperlink" Target="https://www.bing.com/th?id=OSK.aa77111f4bd33218be847893f0d58cbf&amp;qlt=95" TargetMode="External"/><Relationship Id="rId58" Type="http://schemas.openxmlformats.org/officeDocument/2006/relationships/hyperlink" Target="https://www.bing.com/images/search?form=xlimg&amp;q=Wellesley,%20Massachusetts" TargetMode="External"/><Relationship Id="rId79" Type="http://schemas.openxmlformats.org/officeDocument/2006/relationships/hyperlink" Target="https://www.bing.com/th?id=OSK.a1512a61cf778ac466208259f8dc24f5&amp;qlt=95" TargetMode="External"/><Relationship Id="rId102" Type="http://schemas.openxmlformats.org/officeDocument/2006/relationships/hyperlink" Target="https://www.bing.com/images/search?form=xlimg&amp;q=Williamstown,%20Massachusetts" TargetMode="External"/><Relationship Id="rId123" Type="http://schemas.openxmlformats.org/officeDocument/2006/relationships/hyperlink" Target="https://www.bing.com/th?id=OSK.797f76ed51949e08ea702ec98e939444&amp;qlt=95" TargetMode="External"/><Relationship Id="rId144" Type="http://schemas.openxmlformats.org/officeDocument/2006/relationships/hyperlink" Target="https://www.bing.com/images/search?form=xlimg&amp;q=Portland,%20Oregon"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2">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cvi">
          <flag name="ShowInCardView" value="0"/>
          <flag name="ShowInDotNotation" value="0"/>
          <flag name="ShowInAutoComplete" value="0"/>
          <flag name="ExcludeFromCalcComparison" value="1"/>
        </key>
      </keyFlags>
    </type>
    <type name="_linkedentity2core">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DataRetrievedTime">
          <flag name="ShowInCardView" value="0"/>
          <flag name="ShowInDotNotation" value="0"/>
          <flag name="ShowInAutoComplete" value="0"/>
          <flag name="ExcludeFromCalcComparison" value="1"/>
        </key>
        <key name="%EntityDomainIdString">
          <flag name="ShowInCardView" value="0"/>
          <flag name="ShowInDotNotation" value="0"/>
          <flag name="ShowInAutoComplete" value="0"/>
        </key>
        <key name="%InfoToolTipLabelNames">
          <flag name="ShowInCardView" value="0"/>
          <flag name="ShowInDotNotation" value="0"/>
          <flag name="ShowInAutoComplete" value="0"/>
        </key>
        <key name="%InfoToolTipLabelValues">
          <flag name="ShowInCardView" value="0"/>
          <flag name="ShowInDotNotation" value="0"/>
          <flag name="ShowInAutoComplete" value="0"/>
        </key>
        <key name="%InfoToolTipLabelValuesType">
          <flag name="ShowInCardView" value="0"/>
          <flag name="ShowInDotNotation" value="0"/>
          <flag name="ShowInAutoComplete" value="0"/>
        </key>
        <key name="%DataProviderString">
          <flag name="ShowInCardView" value="0"/>
          <flag name="ShowInDotNotation" value="0"/>
          <flag name="ShowInAutoComplete" value="0"/>
        </key>
        <key name="%ClassificationId">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moreImagesAddress r:id="rId2"/>
  </webImageSrd>
  <webImageSrd>
    <address r:id="rId3"/>
    <moreImagesAddress r:id="rId4"/>
  </webImageSrd>
  <webImageSrd>
    <address r:id="rId5"/>
    <moreImagesAddress r:id="rId6"/>
  </webImageSrd>
  <webImageSrd>
    <address r:id="rId7"/>
    <moreImagesAddress r:id="rId8"/>
  </webImageSrd>
  <webImageSrd>
    <address r:id="rId9"/>
    <moreImagesAddress r:id="rId10"/>
  </webImageSrd>
  <webImageSrd>
    <address r:id="rId11"/>
    <moreImagesAddress r:id="rId12"/>
  </webImageSrd>
  <webImageSrd>
    <address r:id="rId13"/>
    <moreImagesAddress r:id="rId14"/>
  </webImageSrd>
  <webImageSrd>
    <address r:id="rId15"/>
    <moreImagesAddress r:id="rId16"/>
  </webImageSrd>
  <webImageSrd>
    <address r:id="rId17"/>
    <moreImagesAddress r:id="rId18"/>
  </webImageSrd>
  <webImageSrd>
    <address r:id="rId19"/>
    <moreImagesAddress r:id="rId20"/>
  </webImageSrd>
  <webImageSrd>
    <address r:id="rId21"/>
    <moreImagesAddress r:id="rId22"/>
  </webImageSrd>
  <webImageSrd>
    <address r:id="rId23"/>
    <moreImagesAddress r:id="rId24"/>
  </webImageSrd>
  <webImageSrd>
    <address r:id="rId25"/>
    <moreImagesAddress r:id="rId26"/>
  </webImageSrd>
  <webImageSrd>
    <address r:id="rId27"/>
    <moreImagesAddress r:id="rId28"/>
  </webImageSrd>
  <webImageSrd>
    <address r:id="rId29"/>
    <moreImagesAddress r:id="rId30"/>
  </webImageSrd>
  <webImageSrd>
    <address r:id="rId31"/>
    <moreImagesAddress r:id="rId32"/>
  </webImageSrd>
  <webImageSrd>
    <address r:id="rId33"/>
    <moreImagesAddress r:id="rId34"/>
  </webImageSrd>
  <webImageSrd>
    <address r:id="rId35"/>
    <moreImagesAddress r:id="rId36"/>
  </webImageSrd>
  <webImageSrd>
    <address r:id="rId37"/>
    <moreImagesAddress r:id="rId38"/>
  </webImageSrd>
  <webImageSrd>
    <address r:id="rId39"/>
    <moreImagesAddress r:id="rId40"/>
  </webImageSrd>
  <webImageSrd>
    <address r:id="rId41"/>
    <moreImagesAddress r:id="rId42"/>
  </webImageSrd>
  <webImageSrd>
    <address r:id="rId43"/>
    <moreImagesAddress r:id="rId44"/>
  </webImageSrd>
  <webImageSrd>
    <address r:id="rId45"/>
    <moreImagesAddress r:id="rId46"/>
  </webImageSrd>
  <webImageSrd>
    <address r:id="rId47"/>
    <moreImagesAddress r:id="rId48"/>
  </webImageSrd>
  <webImageSrd>
    <address r:id="rId49"/>
    <moreImagesAddress r:id="rId50"/>
  </webImageSrd>
  <webImageSrd>
    <address r:id="rId51"/>
    <moreImagesAddress r:id="rId52"/>
  </webImageSrd>
  <webImageSrd>
    <address r:id="rId53"/>
    <moreImagesAddress r:id="rId54"/>
  </webImageSrd>
  <webImageSrd>
    <address r:id="rId55"/>
    <moreImagesAddress r:id="rId56"/>
  </webImageSrd>
  <webImageSrd>
    <address r:id="rId57"/>
    <moreImagesAddress r:id="rId58"/>
  </webImageSrd>
  <webImageSrd>
    <address r:id="rId59"/>
    <moreImagesAddress r:id="rId60"/>
  </webImageSrd>
  <webImageSrd>
    <address r:id="rId61"/>
    <moreImagesAddress r:id="rId62"/>
  </webImageSrd>
  <webImageSrd>
    <address r:id="rId63"/>
    <moreImagesAddress r:id="rId64"/>
  </webImageSrd>
  <webImageSrd>
    <address r:id="rId65"/>
    <moreImagesAddress r:id="rId66"/>
  </webImageSrd>
  <webImageSrd>
    <address r:id="rId67"/>
    <moreImagesAddress r:id="rId68"/>
  </webImageSrd>
  <webImageSrd>
    <address r:id="rId69"/>
    <moreImagesAddress r:id="rId70"/>
  </webImageSrd>
  <webImageSrd>
    <address r:id="rId71"/>
    <moreImagesAddress r:id="rId72"/>
  </webImageSrd>
  <webImageSrd>
    <address r:id="rId73"/>
    <moreImagesAddress r:id="rId74"/>
  </webImageSrd>
  <webImageSrd>
    <address r:id="rId75"/>
    <moreImagesAddress r:id="rId76"/>
  </webImageSrd>
  <webImageSrd>
    <address r:id="rId77"/>
    <moreImagesAddress r:id="rId78"/>
  </webImageSrd>
  <webImageSrd>
    <address r:id="rId79"/>
    <moreImagesAddress r:id="rId80"/>
  </webImageSrd>
  <webImageSrd>
    <address r:id="rId81"/>
    <moreImagesAddress r:id="rId82"/>
  </webImageSrd>
  <webImageSrd>
    <address r:id="rId83"/>
    <moreImagesAddress r:id="rId84"/>
  </webImageSrd>
  <webImageSrd>
    <address r:id="rId85"/>
    <moreImagesAddress r:id="rId86"/>
  </webImageSrd>
  <webImageSrd>
    <address r:id="rId87"/>
    <moreImagesAddress r:id="rId88"/>
  </webImageSrd>
  <webImageSrd>
    <address r:id="rId89"/>
    <moreImagesAddress r:id="rId90"/>
  </webImageSrd>
  <webImageSrd>
    <address r:id="rId91"/>
    <moreImagesAddress r:id="rId92"/>
  </webImageSrd>
  <webImageSrd>
    <address r:id="rId93"/>
    <moreImagesAddress r:id="rId94"/>
  </webImageSrd>
  <webImageSrd>
    <address r:id="rId95"/>
    <moreImagesAddress r:id="rId96"/>
  </webImageSrd>
  <webImageSrd>
    <address r:id="rId97"/>
    <moreImagesAddress r:id="rId98"/>
  </webImageSrd>
  <webImageSrd>
    <address r:id="rId99"/>
    <moreImagesAddress r:id="rId100"/>
  </webImageSrd>
  <webImageSrd>
    <address r:id="rId101"/>
    <moreImagesAddress r:id="rId102"/>
  </webImageSrd>
  <webImageSrd>
    <address r:id="rId103"/>
    <moreImagesAddress r:id="rId104"/>
  </webImageSrd>
  <webImageSrd>
    <address r:id="rId105"/>
    <moreImagesAddress r:id="rId106"/>
  </webImageSrd>
  <webImageSrd>
    <address r:id="rId107"/>
    <moreImagesAddress r:id="rId108"/>
  </webImageSrd>
  <webImageSrd>
    <address r:id="rId109"/>
    <moreImagesAddress r:id="rId110"/>
  </webImageSrd>
  <webImageSrd>
    <address r:id="rId111"/>
    <moreImagesAddress r:id="rId112"/>
  </webImageSrd>
  <webImageSrd>
    <address r:id="rId113"/>
    <moreImagesAddress r:id="rId114"/>
  </webImageSrd>
  <webImageSrd>
    <address r:id="rId115"/>
    <moreImagesAddress r:id="rId116"/>
  </webImageSrd>
  <webImageSrd>
    <address r:id="rId117"/>
    <moreImagesAddress r:id="rId118"/>
  </webImageSrd>
  <webImageSrd>
    <address r:id="rId119"/>
    <moreImagesAddress r:id="rId120"/>
  </webImageSrd>
  <webImageSrd>
    <address r:id="rId121"/>
    <moreImagesAddress r:id="rId122"/>
  </webImageSrd>
  <webImageSrd>
    <address r:id="rId123"/>
    <moreImagesAddress r:id="rId124"/>
  </webImageSrd>
  <webImageSrd>
    <address r:id="rId125"/>
    <moreImagesAddress r:id="rId126"/>
  </webImageSrd>
  <webImageSrd>
    <address r:id="rId127"/>
    <moreImagesAddress r:id="rId128"/>
  </webImageSrd>
  <webImageSrd>
    <address r:id="rId129"/>
    <moreImagesAddress r:id="rId130"/>
  </webImageSrd>
  <webImageSrd>
    <address r:id="rId131"/>
    <moreImagesAddress r:id="rId132"/>
  </webImageSrd>
  <webImageSrd>
    <address r:id="rId133"/>
    <moreImagesAddress r:id="rId134"/>
  </webImageSrd>
  <webImageSrd>
    <address r:id="rId135"/>
    <moreImagesAddress r:id="rId136"/>
  </webImageSrd>
  <webImageSrd>
    <address r:id="rId137"/>
    <moreImagesAddress r:id="rId138"/>
  </webImageSrd>
  <webImageSrd>
    <address r:id="rId139"/>
    <moreImagesAddress r:id="rId140"/>
  </webImageSrd>
  <webImageSrd>
    <address r:id="rId141"/>
    <moreImagesAddress r:id="rId142"/>
  </webImageSrd>
  <webImageSrd>
    <address r:id="rId143"/>
    <moreImagesAddress r:id="rId144"/>
  </webImageSrd>
  <webImageSrd>
    <address r:id="rId145"/>
    <moreImagesAddress r:id="rId146"/>
  </webImageSrd>
</webImagesSrd>
</file>

<file path=xl/richData/rdarray.xml><?xml version="1.0" encoding="utf-8"?>
<arrayData xmlns="http://schemas.microsoft.com/office/spreadsheetml/2017/richdata2" count="141">
  <a r="1">
    <v t="r">6</v>
  </a>
  <a r="1">
    <v t="s">Eastern Time Zone</v>
  </a>
  <a r="4">
    <v t="r">32</v>
    <v t="r">33</v>
    <v t="r">34</v>
    <v t="r">35</v>
  </a>
  <a r="1">
    <v t="s">English language</v>
  </a>
  <a r="55">
    <v t="r">54</v>
    <v t="r">55</v>
    <v t="r">56</v>
    <v t="r">57</v>
    <v t="r">58</v>
    <v t="r">59</v>
    <v t="r">60</v>
    <v t="r">61</v>
    <v t="r">62</v>
    <v t="r">63</v>
    <v t="r">64</v>
    <v t="r">65</v>
    <v t="r">66</v>
    <v t="r">67</v>
    <v t="r">68</v>
    <v t="r">69</v>
    <v t="r">70</v>
    <v t="r">71</v>
    <v t="r">72</v>
    <v t="r">73</v>
    <v t="r">74</v>
    <v t="r">75</v>
    <v t="r">76</v>
    <v t="r">77</v>
    <v t="r">78</v>
    <v t="r">79</v>
    <v t="r">80</v>
    <v t="r">81</v>
    <v t="r">82</v>
    <v t="r">83</v>
    <v t="r">84</v>
    <v t="r">1</v>
    <v t="r">85</v>
    <v t="r">86</v>
    <v t="r">87</v>
    <v t="r">88</v>
    <v t="r">89</v>
    <v t="r">90</v>
    <v t="r">91</v>
    <v t="r">92</v>
    <v t="r">93</v>
    <v t="r">94</v>
    <v t="r">95</v>
    <v t="r">96</v>
    <v t="r">97</v>
    <v t="r">98</v>
    <v t="r">99</v>
    <v t="r">100</v>
    <v t="r">101</v>
    <v t="r">102</v>
    <v t="r">103</v>
    <v t="r">104</v>
    <v t="r">105</v>
    <v t="r">106</v>
    <v t="r">107</v>
  </a>
  <a r="6">
    <v t="s">Samoa Time Zone</v>
    <v t="s">Atlantic Time Zone</v>
    <v t="s">Central Time Zone</v>
    <v t="s">Alaska Time Zone</v>
    <v t="s">Mountain Time Zone</v>
    <v t="s">Chamorro Time Zone</v>
  </a>
  <a r="1">
    <v t="r">120</v>
  </a>
  <a r="4">
    <v t="r">153</v>
    <v t="r">154</v>
    <v t="r">155</v>
    <v t="r">156</v>
  </a>
  <a r="1">
    <v t="s">English</v>
  </a>
  <a r="1">
    <v t="s">Pacific Time Zone</v>
  </a>
  <a r="4">
    <v t="r">188</v>
    <v t="r">189</v>
    <v t="r">190</v>
    <v t="r">191</v>
  </a>
  <a r="1">
    <v t="s">UTC−07:00</v>
  </a>
  <a r="4">
    <v t="r">223</v>
    <v t="r">224</v>
    <v t="r">225</v>
    <v t="r">226</v>
  </a>
  <a r="3">
    <v t="r">256</v>
    <v t="r">257</v>
    <v t="r">258</v>
  </a>
  <a r="2">
    <v t="s">Eastern Time Zone</v>
    <v t="s">Central Time Zone</v>
  </a>
  <a r="4">
    <v t="r">286</v>
    <v t="r">287</v>
    <v t="r">288</v>
    <v t="r">289</v>
  </a>
  <a r="4">
    <v t="r">313</v>
    <v t="r">314</v>
    <v t="r">315</v>
    <v t="r">316</v>
  </a>
  <a r="1">
    <v t="s">Central Time Zone</v>
  </a>
  <a r="4">
    <v t="r">344</v>
    <v t="r">345</v>
    <v t="r">346</v>
    <v t="r">347</v>
  </a>
  <a r="4">
    <v t="r">372</v>
    <v t="r">373</v>
    <v t="r">374</v>
    <v t="r">375</v>
  </a>
  <a r="4">
    <v t="r">403</v>
    <v t="r">404</v>
    <v t="r">405</v>
    <v t="r">406</v>
  </a>
  <a r="4">
    <v t="r">430</v>
    <v t="r">431</v>
    <v t="r">432</v>
    <v t="r">433</v>
  </a>
  <a r="4">
    <v t="r">461</v>
    <v t="r">462</v>
    <v t="r">463</v>
    <v t="r">464</v>
  </a>
  <a r="4">
    <v t="r">491</v>
    <v t="r">492</v>
    <v t="r">493</v>
    <v t="r">494</v>
  </a>
  <a r="4">
    <v t="r">518</v>
    <v t="r">519</v>
    <v t="r">520</v>
    <v t="r">521</v>
  </a>
  <a r="1">
    <v t="s">Mountain Time Zone</v>
  </a>
  <a r="4">
    <v t="r">547</v>
    <v t="r">548</v>
    <v t="r">549</v>
    <v t="r">550</v>
  </a>
  <a r="4">
    <v t="r">573</v>
    <v t="r">574</v>
    <v t="r">575</v>
    <v t="r">576</v>
  </a>
  <a r="1">
    <v t="r">597</v>
  </a>
  <a r="1">
    <v t="r">610</v>
  </a>
  <a r="2">
    <v t="r">635</v>
    <v t="r">636</v>
  </a>
  <a r="2">
    <v t="s">Canadian French</v>
    <v t="s">Canadian English</v>
  </a>
  <a r="13">
    <v t="r">652</v>
    <v t="r">653</v>
    <v t="r">654</v>
    <v t="r">655</v>
    <v t="r">656</v>
    <v t="r">657</v>
    <v t="r">658</v>
    <v t="r">659</v>
    <v t="r">660</v>
    <v t="r">661</v>
    <v t="r">662</v>
    <v t="r">663</v>
    <v t="r">604</v>
  </a>
  <a r="6">
    <v t="s">Newfoundland Time Zone</v>
    <v t="s">Atlantic Time Zone</v>
    <v t="s">Eastern Time Zone</v>
    <v t="s">Central Time Zone</v>
    <v t="s">Mountain Time Zone</v>
    <v t="s">Pacific Time Zone</v>
  </a>
  <a r="2">
    <v t="r">675</v>
    <v t="r">676</v>
  </a>
  <a r="1">
    <v t="s">Canadian English</v>
  </a>
  <a r="1">
    <v t="r">689</v>
  </a>
  <a r="2">
    <v t="r">715</v>
    <v t="r">716</v>
  </a>
  <a r="1">
    <v t="s">Japanese language</v>
  </a>
  <a r="46">
    <v t="r">731</v>
    <v t="r">732</v>
    <v t="r">733</v>
    <v t="r">734</v>
    <v t="r">735</v>
    <v t="r">736</v>
    <v t="r">737</v>
    <v t="r">738</v>
    <v t="r">739</v>
    <v t="r">740</v>
    <v t="r">741</v>
    <v t="r">742</v>
    <v t="r">701</v>
    <v t="r">743</v>
    <v t="r">744</v>
    <v t="r">745</v>
    <v t="r">746</v>
    <v t="r">747</v>
    <v t="r">748</v>
    <v t="r">749</v>
    <v t="r">750</v>
    <v t="r">751</v>
    <v t="r">752</v>
    <v t="r">753</v>
    <v t="r">754</v>
    <v t="r">755</v>
    <v t="r">756</v>
    <v t="r">757</v>
    <v t="r">758</v>
    <v t="r">759</v>
    <v t="r">760</v>
    <v t="r">761</v>
    <v t="r">762</v>
    <v t="r">763</v>
    <v t="r">764</v>
    <v t="r">765</v>
    <v t="r">766</v>
    <v t="r">767</v>
    <v t="r">768</v>
    <v t="r">769</v>
    <v t="r">770</v>
    <v t="r">771</v>
    <v t="r">772</v>
    <v t="r">773</v>
    <v t="r">774</v>
    <v t="r">775</v>
  </a>
  <a r="1">
    <v t="s">Japan Standard Time</v>
  </a>
  <a r="1">
    <v t="r">787</v>
  </a>
  <a r="1">
    <v t="r">799</v>
  </a>
  <a r="2">
    <v t="s">UTC+02:00</v>
    <v t="s">UTC+01:00</v>
  </a>
  <a r="2">
    <v t="r">825</v>
    <v t="r">826</v>
  </a>
  <a r="1">
    <v t="s">Spanish language</v>
  </a>
  <a r="18">
    <v t="r">842</v>
    <v t="r">843</v>
    <v t="r">844</v>
    <v t="r">845</v>
    <v t="r">846</v>
    <v t="r">847</v>
    <v t="r">848</v>
    <v t="r">849</v>
    <v t="r">850</v>
    <v t="r">851</v>
    <v t="r">852</v>
    <v t="r">853</v>
    <v t="r">854</v>
    <v t="r">855</v>
    <v t="r">856</v>
    <v t="r">857</v>
    <v t="r">858</v>
    <v t="r">859</v>
  </a>
  <a r="1">
    <v t="r">869</v>
  </a>
  <a r="1">
    <v t="r">891</v>
  </a>
  <a r="2">
    <v t="r">915</v>
    <v t="r">916</v>
  </a>
  <a r="1">
    <v t="s">French language</v>
  </a>
  <a r="25">
    <v t="r">931</v>
    <v t="r">932</v>
    <v t="r">933</v>
    <v t="r">886</v>
    <v t="r">934</v>
    <v t="r">935</v>
    <v t="r">936</v>
    <v t="r">937</v>
    <v t="r">938</v>
    <v t="r">939</v>
    <v t="r">940</v>
    <v t="r">941</v>
    <v t="r">942</v>
    <v t="r">943</v>
    <v t="r">944</v>
    <v t="r">945</v>
    <v t="r">946</v>
    <v t="r">947</v>
    <v t="r">948</v>
    <v t="r">949</v>
    <v t="r">950</v>
    <v t="r">951</v>
    <v t="r">952</v>
    <v t="r">953</v>
    <v t="r">954</v>
  </a>
  <a r="1">
    <v t="s">Central European Time</v>
  </a>
  <a r="1">
    <v t="r">968</v>
  </a>
  <a r="1">
    <v t="r">992</v>
  </a>
  <a r="15">
    <v t="r">1006</v>
    <v t="r">1007</v>
    <v t="r">1008</v>
    <v t="r">1009</v>
    <v t="r">1010</v>
    <v t="r">1011</v>
    <v t="r">1012</v>
    <v t="r">1013</v>
    <v t="r">1014</v>
    <v t="r">1015</v>
    <v t="r">1016</v>
    <v t="r">1017</v>
    <v t="r">1018</v>
    <v t="r">1019</v>
    <v t="r">963</v>
  </a>
  <a r="3">
    <v t="s">UTC−05:00</v>
    <v t="s">UTC−04:00</v>
    <v t="s">UTC−03:00</v>
  </a>
  <a r="1">
    <v t="r">1032</v>
  </a>
  <a r="1">
    <v t="r">1043</v>
  </a>
  <a r="2">
    <v t="r">1069</v>
    <v t="r">1070</v>
  </a>
  <a r="1">
    <v t="s">Dutch language</v>
  </a>
  <a r="14">
    <v t="r">1083</v>
    <v t="r">1084</v>
    <v t="r">1085</v>
    <v t="r">1086</v>
    <v t="r">1087</v>
    <v t="r">1088</v>
    <v t="r">1089</v>
    <v t="r">1090</v>
    <v t="r">1091</v>
    <v t="r">1092</v>
    <v t="r">1093</v>
    <v t="r">1094</v>
    <v t="r">1095</v>
    <v t="r">1096</v>
  </a>
  <a r="1">
    <v t="s">Atlantic Time Zone</v>
  </a>
  <a r="1">
    <v t="r">1110</v>
  </a>
  <a r="1">
    <v t="r">1123</v>
  </a>
  <a r="2">
    <v t="r">1147</v>
    <v t="r">1148</v>
  </a>
  <a r="1">
    <v t="s">German language</v>
  </a>
  <a r="15">
    <v t="r">1164</v>
    <v t="r">1165</v>
    <v t="r">1134</v>
    <v t="r">1166</v>
    <v t="r">1167</v>
    <v t="r">1168</v>
    <v t="r">1117</v>
    <v t="r">1169</v>
    <v t="r">1170</v>
    <v t="r">1171</v>
    <v t="r">1172</v>
    <v t="r">1173</v>
    <v t="r">1174</v>
    <v t="r">1175</v>
    <v t="r">1176</v>
  </a>
  <a r="1">
    <v t="r">1187</v>
  </a>
  <a r="1">
    <v t="r">1198</v>
  </a>
  <a r="1">
    <v t="r">1209</v>
  </a>
  <a r="2">
    <v t="r">635</v>
    <v t="r">1235</v>
  </a>
  <a r="1">
    <v t="s">Australian English</v>
  </a>
  <a r="15">
    <v t="r">1250</v>
    <v t="r">1251</v>
    <v t="r">1252</v>
    <v t="r">1253</v>
    <v t="r">1254</v>
    <v t="r">1255</v>
    <v t="r">1256</v>
    <v t="r">1257</v>
    <v t="r">1258</v>
    <v t="r">1259</v>
    <v t="r">1260</v>
    <v t="r">1261</v>
    <v t="r">1262</v>
    <v t="r">1263</v>
    <v t="r">1264</v>
  </a>
  <a r="12">
    <v t="s">Norfolk Time Zone</v>
    <v t="s">Lord Howe Time Zone</v>
    <v t="s">Australian Eastern Time Zone</v>
    <v t="s">Australian Central Time Zone</v>
    <v t="s">Central Western Time Zone</v>
    <v t="s">Australian Western Time Zone</v>
    <v t="s">Casey Time Zone</v>
    <v t="s">Christmas Island Time Zone</v>
    <v t="s">Davis Time Zone</v>
    <v t="s">Cocos Islands Time Zone</v>
    <v t="s">Heard and McDonald Islands Time Zone</v>
    <v t="s">Mawson Station Time Zone</v>
  </a>
  <a r="1">
    <v t="r">1283</v>
  </a>
  <a r="2">
    <v t="r">1309</v>
    <v t="r">1310</v>
  </a>
  <a r="1">
    <v t="s">Colombian Spanish</v>
  </a>
  <a r="33">
    <v t="r">1327</v>
    <v t="r">1328</v>
    <v t="r">1329</v>
    <v t="r">1330</v>
    <v t="r">1331</v>
    <v t="r">1332</v>
    <v t="r">1333</v>
    <v t="r">1334</v>
    <v t="r">1335</v>
    <v t="r">1336</v>
    <v t="r">1337</v>
    <v t="r">1338</v>
    <v t="r">1339</v>
    <v t="r">1340</v>
    <v t="r">1341</v>
    <v t="r">1342</v>
    <v t="r">1343</v>
    <v t="r">1344</v>
    <v t="r">1345</v>
    <v t="r">1346</v>
    <v t="r">1347</v>
    <v t="r">1348</v>
    <v t="r">1349</v>
    <v t="r">1350</v>
    <v t="r">1351</v>
    <v t="r">1352</v>
    <v t="r">1353</v>
    <v t="r">1354</v>
    <v t="r">1355</v>
    <v t="r">1356</v>
    <v t="r">1357</v>
    <v t="r">1358</v>
    <v t="r">1295</v>
  </a>
  <a r="1">
    <v t="s">UTC−05:00</v>
  </a>
  <a r="2">
    <v t="r">1386</v>
    <v t="r">1387</v>
  </a>
  <a r="1">
    <v t="s">Italian language</v>
  </a>
  <a r="20">
    <v t="r">1399</v>
    <v t="r">1400</v>
    <v t="r">1401</v>
    <v t="r">1402</v>
    <v t="r">1403</v>
    <v t="r">1404</v>
    <v t="r">1405</v>
    <v t="r">1406</v>
    <v t="r">1407</v>
    <v t="r">1408</v>
    <v t="r">1409</v>
    <v t="r">1410</v>
    <v t="r">1411</v>
    <v t="r">1412</v>
    <v t="r">1413</v>
    <v t="r">1414</v>
    <v t="r">1415</v>
    <v t="r">1416</v>
    <v t="r">1417</v>
    <v t="r">1418</v>
  </a>
  <a r="2">
    <v t="r">1452</v>
    <v t="r">1453</v>
  </a>
  <a r="1">
    <v t="s">Swedish language</v>
  </a>
  <a r="21">
    <v t="r">1466</v>
    <v t="r">1467</v>
    <v t="r">1468</v>
    <v t="r">1469</v>
    <v t="r">1470</v>
    <v t="r">1471</v>
    <v t="r">1472</v>
    <v t="r">1473</v>
    <v t="r">1474</v>
    <v t="r">1475</v>
    <v t="r">1476</v>
    <v t="r">1477</v>
    <v t="r">1478</v>
    <v t="r">1479</v>
    <v t="r">1480</v>
    <v t="r">1481</v>
    <v t="r">1482</v>
    <v t="r">1483</v>
    <v t="r">1484</v>
    <v t="r">1485</v>
    <v t="r">1486</v>
  </a>
  <a r="1">
    <v t="r">1497</v>
  </a>
  <a r="1">
    <v t="r">1508</v>
  </a>
  <a r="1">
    <v t="r">1537</v>
  </a>
  <a r="2">
    <v t="r">1564</v>
    <v t="r">1565</v>
  </a>
  <a r="1">
    <v t="s">Portuguese language</v>
  </a>
  <a r="27">
    <v t="r">1581</v>
    <v t="r">1582</v>
    <v t="r">1583</v>
    <v t="r">1584</v>
    <v t="r">1585</v>
    <v t="r">1586</v>
    <v t="r">1587</v>
    <v t="r">1588</v>
    <v t="r">1589</v>
    <v t="r">1590</v>
    <v t="r">1591</v>
    <v t="r">1592</v>
    <v t="r">1593</v>
    <v t="r">1594</v>
    <v t="r">1595</v>
    <v t="r">1596</v>
    <v t="r">1597</v>
    <v t="r">1598</v>
    <v t="r">1599</v>
    <v t="r">1600</v>
    <v t="r">1601</v>
    <v t="r">1602</v>
    <v t="r">1603</v>
    <v t="r">1604</v>
    <v t="r">1605</v>
    <v t="r">1606</v>
    <v t="r">1607</v>
  </a>
  <a r="3">
    <v t="s">Fernando de Noronha Time Zone</v>
    <v t="s">Brasília Time Zone</v>
    <v t="s">Amazon Time Zone</v>
  </a>
  <a r="7">
    <v t="r">1636</v>
    <v t="r">1637</v>
    <v t="r">1638</v>
    <v t="r">1639</v>
    <v t="r">1640</v>
    <v t="r">1641</v>
    <v t="r">1642</v>
  </a>
  <a r="4">
    <v t="s">Italian language</v>
    <v t="s">Romansh language</v>
    <v t="s">German language</v>
    <v t="s">French language</v>
  </a>
  <a r="25">
    <v t="r">1654</v>
    <v t="r">1655</v>
    <v t="r">1656</v>
    <v t="r">1657</v>
    <v t="r">1658</v>
    <v t="r">1659</v>
    <v t="r">1660</v>
    <v t="r">1661</v>
    <v t="r">1662</v>
    <v t="r">1663</v>
    <v t="r">1664</v>
    <v t="r">1665</v>
    <v t="r">1666</v>
    <v t="r">1667</v>
    <v t="r">1668</v>
    <v t="r">1669</v>
    <v t="r">1670</v>
    <v t="r">1671</v>
    <v t="r">1672</v>
    <v t="r">1673</v>
    <v t="r">1674</v>
    <v t="r">1675</v>
    <v t="r">1676</v>
    <v t="r">1677</v>
    <v t="r">1678</v>
  </a>
  <a r="1">
    <v t="r">1689</v>
  </a>
  <a r="1">
    <v t="r">1707</v>
  </a>
  <a r="1">
    <v t="s">UTC+01:00</v>
  </a>
  <a r="2">
    <v t="r">635</v>
    <v t="r">1734</v>
  </a>
  <a r="4">
    <v t="r">1748</v>
    <v t="r">1749</v>
    <v t="r">1750</v>
    <v t="r">1751</v>
  </a>
  <a r="2">
    <v t="s">Greenwich Mean Time</v>
    <v t="s">Western European Time</v>
  </a>
  <a r="1">
    <v t="r">1763</v>
  </a>
  <a r="1">
    <v t="s">Greenwich Mean Time</v>
  </a>
  <a r="3">
    <v t="r">1789</v>
    <v t="r">1790</v>
    <v t="r">1791</v>
  </a>
  <a r="1">
    <v t="s">Norwegian language</v>
  </a>
  <a r="14">
    <v t="r">1807</v>
    <v t="r">1776</v>
    <v t="r">1808</v>
    <v t="r">1809</v>
    <v t="r">1810</v>
    <v t="r">1811</v>
    <v t="r">1812</v>
    <v t="r">1813</v>
    <v t="r">1814</v>
    <v t="r">1815</v>
    <v t="r">1816</v>
    <v t="r">1817</v>
    <v t="r">1818</v>
    <v t="r">1819</v>
  </a>
  <a r="2">
    <v t="r">1845</v>
    <v t="r">1846</v>
  </a>
  <a r="2">
    <v t="s">Swedish language</v>
    <v t="s">Finnish language</v>
  </a>
  <a r="19">
    <v t="r">1860</v>
    <v t="r">1861</v>
    <v t="r">1862</v>
    <v t="r">1863</v>
    <v t="r">1864</v>
    <v t="r">1865</v>
    <v t="r">1866</v>
    <v t="r">1867</v>
    <v t="r">1868</v>
    <v t="r">1869</v>
    <v t="r">1870</v>
    <v t="r">1871</v>
    <v t="r">1872</v>
    <v t="r">1873</v>
    <v t="r">1874</v>
    <v t="r">1875</v>
    <v t="r">1876</v>
    <v t="r">1877</v>
    <v t="r">1878</v>
  </a>
  <a r="4">
    <v t="s">UTC+03:00</v>
    <v t="s">Eastern European Summer Time</v>
    <v t="s">UTC+02:00</v>
    <v t="s">Eastern European Time</v>
  </a>
  <a r="3">
    <v t="r">1911</v>
    <v t="r">1912</v>
    <v t="r">1913</v>
  </a>
  <a r="20">
    <v t="r">1886</v>
    <v t="r">1925</v>
    <v t="r">1926</v>
    <v t="r">1927</v>
    <v t="r">1928</v>
    <v t="r">1929</v>
    <v t="r">1930</v>
    <v t="r">1931</v>
    <v t="r">1932</v>
    <v t="r">1933</v>
    <v t="r">1934</v>
    <v t="r">1935</v>
    <v t="r">1936</v>
    <v t="r">1937</v>
    <v t="r">1938</v>
    <v t="r">1939</v>
    <v t="r">1940</v>
    <v t="r">1941</v>
    <v t="r">1942</v>
    <v t="r">1943</v>
  </a>
  <a r="2">
    <v t="s">Western European Summer Time</v>
    <v t="s">Western European Time</v>
  </a>
  <a r="2">
    <v t="r">1969</v>
    <v t="r">1970</v>
  </a>
  <a r="1">
    <v t="s">Danish language</v>
  </a>
  <a r="5">
    <v t="r">1983</v>
    <v t="r">1984</v>
    <v t="r">1985</v>
    <v t="r">1986</v>
    <v t="r">1987</v>
  </a>
  <a r="2">
    <v t="r">2014</v>
    <v t="r">2015</v>
  </a>
  <a r="1">
    <v t="s">Mexican Spanish</v>
  </a>
  <a r="32">
    <v t="r">2000</v>
    <v t="r">2031</v>
    <v t="r">2032</v>
    <v t="r">2033</v>
    <v t="r">2034</v>
    <v t="r">2035</v>
    <v t="r">2036</v>
    <v t="r">2037</v>
    <v t="r">2038</v>
    <v t="r">2039</v>
    <v t="r">2040</v>
    <v t="r">2041</v>
    <v t="r">2042</v>
    <v t="r">2043</v>
    <v t="r">2044</v>
    <v t="r">2045</v>
    <v t="r">2046</v>
    <v t="r">2047</v>
    <v t="r">2048</v>
    <v t="r">2049</v>
    <v t="r">2050</v>
    <v t="r">2051</v>
    <v t="r">2052</v>
    <v t="r">2053</v>
    <v t="r">2054</v>
    <v t="r">2055</v>
    <v t="r">2056</v>
    <v t="r">2057</v>
    <v t="r">2058</v>
    <v t="r">2059</v>
    <v t="r">2060</v>
    <v t="r">2061</v>
  </a>
  <a r="4">
    <v t="s">Central Time Zone</v>
    <v t="s">Mountain Time Zone</v>
    <v t="s">Pacific Time Zone</v>
    <v t="s">Eastern Time Zone</v>
  </a>
  <a r="2">
    <v t="r">2090</v>
    <v t="r">2091</v>
  </a>
  <a r="12">
    <v t="s">South African English</v>
    <v t="s">Swazi language</v>
    <v t="s">Venda language</v>
    <v t="s">Tsonga language</v>
    <v t="s">Afrikaans</v>
    <v t="s">Tswana language</v>
    <v t="s">Sotho language</v>
    <v t="s">South African Sign Language</v>
    <v t="s">Xhosa language</v>
    <v t="s">Zulu language</v>
    <v t="s">Southern Ndebele language</v>
    <v t="s">Northern Sotho</v>
  </a>
  <a r="9">
    <v t="r">2105</v>
    <v t="r">2106</v>
    <v t="r">2107</v>
    <v t="r">2108</v>
    <v t="r">2109</v>
    <v t="r">2110</v>
    <v t="r">2111</v>
    <v t="r">2112</v>
    <v t="r">2113</v>
  </a>
  <a r="1">
    <v t="s">Africa/Johannesburg</v>
  </a>
  <a r="2">
    <v t="r">2141</v>
    <v t="r">2142</v>
  </a>
  <a r="1">
    <v t="s">Rioplatense Spanish</v>
  </a>
  <a r="23">
    <v t="r">2158</v>
    <v t="r">2159</v>
    <v t="r">2160</v>
    <v t="r">2161</v>
    <v t="r">2162</v>
    <v t="r">2163</v>
    <v t="r">2164</v>
    <v t="r">2165</v>
    <v t="r">2166</v>
    <v t="r">2167</v>
    <v t="r">2168</v>
    <v t="r">2169</v>
    <v t="r">2170</v>
    <v t="r">2171</v>
    <v t="r">2172</v>
    <v t="r">2173</v>
    <v t="r">2174</v>
    <v t="r">2175</v>
    <v t="r">2176</v>
    <v t="r">2177</v>
    <v t="r">2178</v>
    <v t="r">2179</v>
    <v t="r">2180</v>
  </a>
  <a r="1">
    <v t="s">Time in Argentina</v>
  </a>
  <a r="4">
    <v t="r">2208</v>
    <v t="r">2209</v>
    <v t="r">2210</v>
    <v t="r">2211</v>
  </a>
  <a r="2">
    <v t="s">Korean Sign Language</v>
    <v t="s">Korean language</v>
  </a>
  <a r="17">
    <v t="r">2194</v>
    <v t="r">2224</v>
    <v t="r">2225</v>
    <v t="r">2226</v>
    <v t="r">2227</v>
    <v t="r">2228</v>
    <v t="r">2229</v>
    <v t="r">2230</v>
    <v t="r">2231</v>
    <v t="r">2232</v>
    <v t="r">2233</v>
    <v t="r">2234</v>
    <v t="r">2235</v>
    <v t="r">2236</v>
    <v t="r">2237</v>
    <v t="r">2238</v>
    <v t="r">2239</v>
  </a>
  <a r="1">
    <v t="s">Time in South Korea</v>
  </a>
  <a r="1">
    <v t="r">2251</v>
  </a>
  <a r="2">
    <v t="r">2274</v>
    <v t="r">2275</v>
  </a>
  <a r="1">
    <v t="s">Slovak language</v>
  </a>
  <a r="8">
    <v t="r">2289</v>
    <v t="r">2290</v>
    <v t="r">2291</v>
    <v t="r">2292</v>
    <v t="r">2293</v>
    <v t="r">2294</v>
    <v t="r">2295</v>
    <v t="r">2296</v>
  </a>
  <a r="1">
    <v t="r">2308</v>
  </a>
  <a r="2">
    <v t="s">UTC−05:00</v>
    <v t="s">UTC−04:00</v>
  </a>
  <a r="1">
    <v t="r">2320</v>
  </a>
  <a r="1">
    <v t="r">2331</v>
  </a>
</arrayData>
</file>

<file path=xl/richData/rdrichvalue.xml><?xml version="1.0" encoding="utf-8"?>
<rvData xmlns="http://schemas.microsoft.com/office/spreadsheetml/2017/richdata" count="2337">
  <rv s="0">
    <v>536870912</v>
    <v>New York City</v>
    <v>60d5dc2b-c915-460b-b722-c9e3485499ca</v>
    <v>en-US</v>
    <v>Map</v>
  </rv>
  <rv s="0">
    <v>536870912</v>
    <v>New York</v>
    <v>caeb7b9a-f5d7-4686-8fb5-cf7628296b13</v>
    <v>en-US</v>
    <v>Map</v>
  </rv>
  <rv s="1">
    <fb>1213.369839</fb>
    <v>8</v>
  </rv>
  <rv s="0">
    <v>536870912</v>
    <v>United States of America</v>
    <v>5232ed96-85b1-2edb-12c6-63e6c597a1de</v>
    <v>en-US</v>
    <v>Map</v>
  </rv>
  <rv s="2">
    <v>0</v>
    <v>6</v>
    <v>0</v>
    <v>7</v>
    <v>0</v>
    <v>Image of New York City</v>
  </rv>
  <rv s="1">
    <fb>40.700000000000003</fb>
    <v>9</v>
  </rv>
  <rv s="0">
    <v>805306368</v>
    <v>Eric Adams (Mayor)</v>
    <v>d104f492-36f0-3246-f9f7-c35dae370b2c</v>
    <v>en-US</v>
    <v>Generic</v>
  </rv>
  <rv s="3">
    <v>0</v>
  </rv>
  <rv s="4">
    <v>https://www.bing.com/search?q=new+york+city&amp;form=skydnc</v>
    <v>Learn more on Bing</v>
  </rv>
  <rv s="1">
    <fb>-74</fb>
    <v>9</v>
  </rv>
  <rv s="1">
    <fb>8804190</fb>
    <v>8</v>
  </rv>
  <rv s="3">
    <v>1</v>
  </rv>
  <rv s="5">
    <v>#VALUE!</v>
    <v>1</v>
    <v>2</v>
    <v>New York City</v>
    <v>4</v>
    <v>5</v>
    <v>Map</v>
    <v>6</v>
    <v>7</v>
    <v>en-US</v>
    <v>60d5dc2b-c915-460b-b722-c9e3485499ca</v>
    <v>536870912</v>
    <v>1</v>
    <v>1</v>
    <v>2</v>
    <v>3</v>
    <v>New York, often called New York City or simply NYC, is the most populous city in the United States, located at the southern tip of New York State on one of the world's largest natural harbors. The city comprises five boroughs, each coextensive ...</v>
    <v>4</v>
    <v>5</v>
    <v>7</v>
    <v>8</v>
    <v>9</v>
    <v>New York City</v>
    <v>10</v>
    <v>11</v>
    <v>New York City</v>
    <v>mdp/vdpid/5487505297524129794</v>
  </rv>
  <rv s="1">
    <fb>0.44369067999501505</fb>
    <v>29</v>
  </rv>
  <rv s="1">
    <fb>9826675</fb>
    <v>8</v>
  </rv>
  <rv s="1">
    <fb>1359000</fb>
    <v>8</v>
  </rv>
  <rv s="1">
    <fb>11.6</fb>
    <v>30</v>
  </rv>
  <rv s="1">
    <fb>1</fb>
    <v>31</v>
  </rv>
  <rv s="0">
    <v>536870912</v>
    <v>Washington, D.C.</v>
    <v>216726d1-8987-06d3-5eff-823da05c3d3c</v>
    <v>en-US</v>
    <v>Map</v>
  </rv>
  <rv s="1">
    <fb>5006302.0769999996</fb>
    <v>8</v>
  </rv>
  <rv s="1">
    <fb>117.244195476228</fb>
    <v>32</v>
  </rv>
  <rv s="1">
    <fb>7.4999999999999997E-2</fb>
    <v>29</v>
  </rv>
  <rv s="1">
    <fb>12993.961824772699</fb>
    <v>8</v>
  </rv>
  <rv s="1">
    <fb>1.7295</fb>
    <v>30</v>
  </rv>
  <rv s="1">
    <fb>0.339297856663409</fb>
    <v>29</v>
  </rv>
  <rv s="1">
    <fb>82.427828245269197</fb>
    <v>33</v>
  </rv>
  <rv s="1">
    <fb>0.71</fb>
    <v>34</v>
  </rv>
  <rv s="1">
    <fb>21427700000000</fb>
    <v>35</v>
  </rv>
  <rv s="1">
    <fb>1.0182144</fb>
    <v>29</v>
  </rv>
  <rv s="1">
    <fb>0.88167390000000001</fb>
    <v>29</v>
  </rv>
  <rv s="2">
    <v>1</v>
    <v>6</v>
    <v>12</v>
    <v>7</v>
    <v>0</v>
    <v>Image of United States</v>
  </rv>
  <rv s="1">
    <fb>5.6</fb>
    <v>33</v>
  </rv>
  <rv s="0">
    <v>805306368</v>
    <v>Donald Trump (President)</v>
    <v>1a466af2-ed23-25bd-794d-1ca925e4681b</v>
    <v>en-US</v>
    <v>Generic</v>
  </rv>
  <rv s="0">
    <v>805306368</v>
    <v>JD Vance (Vice president)</v>
    <v>cf52f4b6-e15c-553b-c991-5fd07410b914</v>
    <v>en-US</v>
    <v>Generic</v>
  </rv>
  <rv s="0">
    <v>805306368</v>
    <v>Mike Johnson (Speaker)</v>
    <v>0cdd8beb-6fa0-b09e-350a-8a9eef364ec7</v>
    <v>en-US</v>
    <v>Generic</v>
  </rv>
  <rv s="0">
    <v>805306368</v>
    <v>John Roberts (Chief justice)</v>
    <v>af7f7f4b-fd5b-867d-e108-4b6ecf118076</v>
    <v>en-US</v>
    <v>Generic</v>
  </rv>
  <rv s="3">
    <v>2</v>
  </rv>
  <rv s="4">
    <v>https://www.bing.com/search?q=united+states&amp;form=skydnc</v>
    <v>Learn more on Bing</v>
  </rv>
  <rv s="1">
    <fb>78.539024390243895</fb>
    <v>33</v>
  </rv>
  <rv s="1">
    <fb>30436313050000</fb>
    <v>35</v>
  </rv>
  <rv s="1">
    <fb>19</fb>
    <v>33</v>
  </rv>
  <rv s="1">
    <fb>7.25</fb>
    <v>34</v>
  </rv>
  <rv s="3">
    <v>3</v>
  </rv>
  <rv s="1">
    <fb>0.1108387988</fb>
    <v>29</v>
  </rv>
  <rv s="1">
    <fb>2.6120000000000001</fb>
    <v>30</v>
  </rv>
  <rv s="1">
    <fb>333287557</fb>
    <v>8</v>
  </rv>
  <rv s="1">
    <fb>0.22600000000000001</fb>
    <v>29</v>
  </rv>
  <rv s="1">
    <fb>0.30499999999999999</fb>
    <v>29</v>
  </rv>
  <rv s="1">
    <fb>0.46799999999999997</fb>
    <v>29</v>
  </rv>
  <rv s="1">
    <fb>1.7000000000000001E-2</fb>
    <v>29</v>
  </rv>
  <rv s="1">
    <fb>5.0999999999999997E-2</fb>
    <v>29</v>
  </rv>
  <rv s="1">
    <fb>0.10300000000000001</fb>
    <v>29</v>
  </rv>
  <rv s="1">
    <fb>0.153</fb>
    <v>29</v>
  </rv>
  <rv s="1">
    <fb>0.62048999786377002</fb>
    <v>29</v>
  </rv>
  <rv s="0">
    <v>536870912</v>
    <v>Alabama</v>
    <v>376f8b06-52f6-4e72-a31d-311a3563e645</v>
    <v>en-US</v>
    <v>Map</v>
  </rv>
  <rv s="0">
    <v>536870912</v>
    <v>Alaska</v>
    <v>31c4c7a1-54e7-4306-ac9b-f1b02e85bda5</v>
    <v>en-US</v>
    <v>Map</v>
  </rv>
  <rv s="0">
    <v>536870912</v>
    <v>Arizona</v>
    <v>bf973f46-5962-4997-a7ba-a05f1aa2a9f9</v>
    <v>en-US</v>
    <v>Map</v>
  </rv>
  <rv s="0">
    <v>536870912</v>
    <v>Arkansas</v>
    <v>b939db72-08f2-4ea6-a16a-a53bf32e6612</v>
    <v>en-US</v>
    <v>Map</v>
  </rv>
  <rv s="0">
    <v>536870912</v>
    <v>California</v>
    <v>3009d91d-d582-4c34-85ba-772ba09e5be1</v>
    <v>en-US</v>
    <v>Map</v>
  </rv>
  <rv s="0">
    <v>536870912</v>
    <v>Colorado</v>
    <v>a070c5c2-b22d-41d8-b869-f20e583c4f80</v>
    <v>en-US</v>
    <v>Map</v>
  </rv>
  <rv s="0">
    <v>536870912</v>
    <v>Connecticut</v>
    <v>b3ca6523-435e-4a3b-8f78-1ad900a52cf8</v>
    <v>en-US</v>
    <v>Map</v>
  </rv>
  <rv s="0">
    <v>536870912</v>
    <v>Delaware</v>
    <v>8ad617cc-3d7a-4b3c-a787-098de959ccc4</v>
    <v>en-US</v>
    <v>Map</v>
  </rv>
  <rv s="0">
    <v>536870912</v>
    <v>Florida</v>
    <v>5fece3f4-e8e8-4159-843e-f725a930ad50</v>
    <v>en-US</v>
    <v>Map</v>
  </rv>
  <rv s="0">
    <v>536870912</v>
    <v>Georgia</v>
    <v>84604bc7-2c47-4f8d-8ea5-b6ac8c018a20</v>
    <v>en-US</v>
    <v>Map</v>
  </rv>
  <rv s="0">
    <v>536870912</v>
    <v>Hawaii</v>
    <v>b6f01eaf-aecf-44f6-b64d-1f6e982365c3</v>
    <v>en-US</v>
    <v>Map</v>
  </rv>
  <rv s="0">
    <v>536870912</v>
    <v>Idaho</v>
    <v>ecd30387-20fa-4523-9045-e2860154b5e9</v>
    <v>en-US</v>
    <v>Map</v>
  </rv>
  <rv s="0">
    <v>536870912</v>
    <v>Illinois</v>
    <v>4131acb8-628a-4241-8920-ca79eab9dade</v>
    <v>en-US</v>
    <v>Map</v>
  </rv>
  <rv s="0">
    <v>536870912</v>
    <v>Indiana</v>
    <v>109f7e5a-efbb-4953-b4b8-cb812ce1ff5d</v>
    <v>en-US</v>
    <v>Map</v>
  </rv>
  <rv s="0">
    <v>536870912</v>
    <v>Iowa</v>
    <v>77850824-b07a-487a-af58-37f9949afc27</v>
    <v>en-US</v>
    <v>Map</v>
  </rv>
  <rv s="0">
    <v>536870912</v>
    <v>Kansas</v>
    <v>6e527b71-bd3e-4bc1-b1c0-59d288b4fd5e</v>
    <v>en-US</v>
    <v>Map</v>
  </rv>
  <rv s="0">
    <v>536870912</v>
    <v>Kentucky</v>
    <v>108dfd18-4626-481a-8dfa-18f64e6eac84</v>
    <v>en-US</v>
    <v>Map</v>
  </rv>
  <rv s="0">
    <v>536870912</v>
    <v>Louisiana</v>
    <v>0ca1e87f-e2f6-43fb-8deb-d22bd09a9cae</v>
    <v>en-US</v>
    <v>Map</v>
  </rv>
  <rv s="0">
    <v>536870912</v>
    <v>Maine</v>
    <v>d62dd683-9cf9-4db9-a497-d810d529592b</v>
    <v>en-US</v>
    <v>Map</v>
  </rv>
  <rv s="0">
    <v>536870912</v>
    <v>Maryland</v>
    <v>4c472f4d-06a8-4d90-8bb8-da4d168c73fe</v>
    <v>en-US</v>
    <v>Map</v>
  </rv>
  <rv s="0">
    <v>536870912</v>
    <v>Massachusetts</v>
    <v>845219d5-3650-4199-b926-964ca27c863c</v>
    <v>en-US</v>
    <v>Map</v>
  </rv>
  <rv s="0">
    <v>536870912</v>
    <v>Michigan</v>
    <v>162411c2-b757-495d-aa81-93942fae2f7e</v>
    <v>en-US</v>
    <v>Map</v>
  </rv>
  <rv s="0">
    <v>536870912</v>
    <v>Minnesota</v>
    <v>77f97f6f-7e93-46e5-b486-6198effe8dea</v>
    <v>en-US</v>
    <v>Map</v>
  </rv>
  <rv s="0">
    <v>536870912</v>
    <v>Mississippi</v>
    <v>6af619ca-217d-49c0-9a86-153fc7fbcd78</v>
    <v>en-US</v>
    <v>Map</v>
  </rv>
  <rv s="0">
    <v>536870912</v>
    <v>Missouri</v>
    <v>6185f8cb-44e1-4da6-9bf0-b75286aeb591</v>
    <v>en-US</v>
    <v>Map</v>
  </rv>
  <rv s="0">
    <v>536870912</v>
    <v>Montana</v>
    <v>447d6cd5-53f6-4c8f-bf6c-9ff228415c3b</v>
    <v>en-US</v>
    <v>Map</v>
  </rv>
  <rv s="0">
    <v>536870912</v>
    <v>Nebraska</v>
    <v>3e64ff5d-6b40-4dbe-91b1-0e554e892496</v>
    <v>en-US</v>
    <v>Map</v>
  </rv>
  <rv s="0">
    <v>536870912</v>
    <v>Nevada</v>
    <v>c2157d7e-617e-4517-80f8-1b08113afc14</v>
    <v>en-US</v>
    <v>Map</v>
  </rv>
  <rv s="0">
    <v>536870912</v>
    <v>New Hampshire</v>
    <v>9ca71997-cc97-46eb-8911-fac32f80b0b1</v>
    <v>en-US</v>
    <v>Map</v>
  </rv>
  <rv s="0">
    <v>536870912</v>
    <v>New Jersey</v>
    <v>05277898-b62b-4878-8632-09d29756a2ff</v>
    <v>en-US</v>
    <v>Map</v>
  </rv>
  <rv s="0">
    <v>536870912</v>
    <v>New Mexico</v>
    <v>a16d3636-4349-41c7-a77e-89e34b26a8ad</v>
    <v>en-US</v>
    <v>Map</v>
  </rv>
  <rv s="0">
    <v>536870912</v>
    <v>North Dakota</v>
    <v>77fbc744-3efe-4aa9-9e8e-f8034f06b941</v>
    <v>en-US</v>
    <v>Map</v>
  </rv>
  <rv s="0">
    <v>536870912</v>
    <v>North Carolina</v>
    <v>9e2bf053-dd80-4646-8f26-65075e7085c0</v>
    <v>en-US</v>
    <v>Map</v>
  </rv>
  <rv s="0">
    <v>536870912</v>
    <v>Ohio</v>
    <v>6f3df7da-1ef6-48e3-b2b3-b5b5fce3e846</v>
    <v>en-US</v>
    <v>Map</v>
  </rv>
  <rv s="0">
    <v>536870912</v>
    <v>Oklahoma</v>
    <v>cbcf556f-952a-4665-bb95-0500b27f9976</v>
    <v>en-US</v>
    <v>Map</v>
  </rv>
  <rv s="0">
    <v>536870912</v>
    <v>Oregon</v>
    <v>cacd36fd-7c62-43e2-a632-64a2a1811933</v>
    <v>en-US</v>
    <v>Map</v>
  </rv>
  <rv s="0">
    <v>536870912</v>
    <v>Pennsylvania</v>
    <v>6304580e-c803-4266-818a-971619176547</v>
    <v>en-US</v>
    <v>Map</v>
  </rv>
  <rv s="0">
    <v>536870912</v>
    <v>Rhode Island</v>
    <v>65a08f52-b469-4f7c-8353-9b3c0b2a5752</v>
    <v>en-US</v>
    <v>Map</v>
  </rv>
  <rv s="0">
    <v>536870912</v>
    <v>South Dakota</v>
    <v>9cee0b65-d357-479e-a066-31c634648f47</v>
    <v>en-US</v>
    <v>Map</v>
  </rv>
  <rv s="0">
    <v>536870912</v>
    <v>South Carolina</v>
    <v>810015e8-b10b-4232-9e2c-de87a67bd26e</v>
    <v>en-US</v>
    <v>Map</v>
  </rv>
  <rv s="0">
    <v>536870912</v>
    <v>Tennessee</v>
    <v>9bbc9c72-1bf1-4ef6-b66d-a6cdef70f4f3</v>
    <v>en-US</v>
    <v>Map</v>
  </rv>
  <rv s="0">
    <v>536870912</v>
    <v>Texas</v>
    <v>00a23ccd-3344-461c-8b9f-c2bb55be5815</v>
    <v>en-US</v>
    <v>Map</v>
  </rv>
  <rv s="0">
    <v>536870912</v>
    <v>Utah</v>
    <v>c6705e44-d27f-4240-95a2-54e802e3b524</v>
    <v>en-US</v>
    <v>Map</v>
  </rv>
  <rv s="0">
    <v>536870912</v>
    <v>Vermont</v>
    <v>221864cc-447e-4e78-847c-59e485d73bff</v>
    <v>en-US</v>
    <v>Map</v>
  </rv>
  <rv s="0">
    <v>536870912</v>
    <v>Virginia</v>
    <v>7eee9976-e8a7-472c-ada1-007208abd678</v>
    <v>en-US</v>
    <v>Map</v>
  </rv>
  <rv s="0">
    <v>536870912</v>
    <v>Washington</v>
    <v>982ad551-fd5d-45df-bd70-bf704dd576e4</v>
    <v>en-US</v>
    <v>Map</v>
  </rv>
  <rv s="0">
    <v>536870912</v>
    <v>West Virginia</v>
    <v>8a47255a-fae3-4faa-aa32-c6f384cb6c1d</v>
    <v>en-US</v>
    <v>Map</v>
  </rv>
  <rv s="0">
    <v>536870912</v>
    <v>Wisconsin</v>
    <v>cb4d2853-06f4-4467-8e7c-4e31cbb35cb2</v>
    <v>en-US</v>
    <v>Map</v>
  </rv>
  <rv s="0">
    <v>536870912</v>
    <v>Wyoming</v>
    <v>bff03ad6-2b7f-400b-a76e-eb9fc4a93961</v>
    <v>en-US</v>
    <v>Map</v>
  </rv>
  <rv s="0">
    <v>536870912</v>
    <v>American Samoa</v>
    <v>12d04d63-b9b5-855b-0821-b32474a729a4</v>
    <v>en-US</v>
    <v>Map</v>
  </rv>
  <rv s="0">
    <v>536870912</v>
    <v>United States Virgin Islands</v>
    <v>38bd827b-bc00-140e-85be-46a96078429c</v>
    <v>en-US</v>
    <v>Map</v>
  </rv>
  <rv s="0">
    <v>536870912</v>
    <v>Guam</v>
    <v>f842c067-b461-3084-6a3b-6c6c7431fc9a</v>
    <v>en-US</v>
    <v>Map</v>
  </rv>
  <rv s="0">
    <v>536870912</v>
    <v>Northern Mariana Islands</v>
    <v>f4475436-adda-9ff0-b5fe-6c3dff0e26be</v>
    <v>en-US</v>
    <v>Map</v>
  </rv>
  <rv s="0">
    <v>536870912</v>
    <v>Puerto Rico</v>
    <v>72752f4d-11d3-5470-b64e-b9e012b0520f</v>
    <v>en-US</v>
    <v>Map</v>
  </rv>
  <rv s="3">
    <v>4</v>
  </rv>
  <rv s="1">
    <fb>9.5866513904898809E-2</fb>
    <v>29</v>
  </rv>
  <rv s="3">
    <v>5</v>
  </rv>
  <rv s="1">
    <fb>0.36599999999999999</fb>
    <v>29</v>
  </rv>
  <rv s="1">
    <fb>0.14699999999999999</fb>
    <v>36</v>
  </rv>
  <rv s="1">
    <fb>270663028</fb>
    <v>8</v>
  </rv>
  <rv s="6">
    <v>#VALUE!</v>
    <v>26</v>
    <v>27</v>
    <v>United States</v>
    <v>4</v>
    <v>5</v>
    <v>Map</v>
    <v>6</v>
    <v>28</v>
    <v>en-US</v>
    <v>5232ed96-85b1-2edb-12c6-63e6c597a1de</v>
    <v>536870912</v>
    <v>1</v>
    <v>US</v>
    <v>13</v>
    <v>14</v>
    <v>15</v>
    <v>16</v>
    <v>17</v>
    <v>18</v>
    <v>19</v>
    <v>20</v>
    <v>21</v>
    <v>USD</v>
    <v>The United States of America, also known as the United States or America, is a country primarily located in North America. It is a federal republic of 50 states and Washington, D.C. as its federal capital district. The 48 contiguous states ...</v>
    <v>22</v>
    <v>23</v>
    <v>24</v>
    <v>25</v>
    <v>26</v>
    <v>27</v>
    <v>28</v>
    <v>29</v>
    <v>30</v>
    <v>31</v>
    <v>0</v>
    <v>36</v>
    <v>37</v>
    <v>38</v>
    <v>39</v>
    <v>40</v>
    <v>41</v>
    <v>United States</v>
    <v>The Star-Spangled Banner</v>
    <v>42</v>
    <v>the United States of America</v>
    <v>43</v>
    <v>44</v>
    <v>45</v>
    <v>46</v>
    <v>47</v>
    <v>48</v>
    <v>49</v>
    <v>50</v>
    <v>51</v>
    <v>52</v>
    <v>53</v>
    <v>108</v>
    <v>109</v>
    <v>110</v>
    <v>111</v>
    <v>112</v>
    <v>United States</v>
    <v>113</v>
    <v>mdp/vdpid/244</v>
  </rv>
  <rv s="1">
    <fb>177</fb>
    <v>8</v>
  </rv>
  <rv s="1">
    <fb>4690</fb>
    <v>8</v>
  </rv>
  <rv s="1">
    <fb>273390</fb>
    <v>8</v>
  </rv>
  <rv s="1">
    <fb>313718</fb>
    <v>8</v>
  </rv>
  <rv s="2">
    <v>2</v>
    <v>6</v>
    <v>37</v>
    <v>7</v>
    <v>0</v>
    <v>Image of Washington, D.C.</v>
  </rv>
  <rv s="0">
    <v>805306368</v>
    <v>Muriel Bowser (Mayor)</v>
    <v>ba0efeff-89d3-9653-396a-5cc380b1d241</v>
    <v>en-US</v>
    <v>Generic</v>
  </rv>
  <rv s="3">
    <v>6</v>
  </rv>
  <rv s="4">
    <v>https://www.bing.com/search?q=washington%2c+d.c.&amp;form=skydnc</v>
    <v>Learn more on Bing</v>
  </rv>
  <rv s="1">
    <fb>1327</fb>
    <v>35</v>
  </rv>
  <rv s="1">
    <fb>70848</fb>
    <v>35</v>
  </rv>
  <rv s="1">
    <fb>475800</fb>
    <v>35</v>
  </rv>
  <rv s="1">
    <fb>2.2200000000000002</fb>
    <v>30</v>
  </rv>
  <rv s="1">
    <fb>689545</fb>
    <v>8</v>
  </rv>
  <rv s="1">
    <fb>0.13200000000000001</fb>
    <v>29</v>
  </rv>
  <rv s="1">
    <fb>0.115</fb>
    <v>29</v>
  </rv>
  <rv s="1">
    <fb>6.0000000000000001E-3</fb>
    <v>43</v>
  </rv>
  <rv s="1">
    <fb>4.2000000000000003E-2</fb>
    <v>29</v>
  </rv>
  <rv s="1">
    <fb>0.54600000000000004</fb>
    <v>29</v>
  </rv>
  <rv s="1">
    <fb>0.48299999999999998</fb>
    <v>29</v>
  </rv>
  <rv s="1">
    <fb>0.14099999999999999</fb>
    <v>29</v>
  </rv>
  <rv s="1">
    <fb>0.89300000000000002</fb>
    <v>29</v>
  </rv>
  <rv s="1">
    <fb>0.106</fb>
    <v>29</v>
  </rv>
  <rv s="1">
    <fb>0.68299999999999994</fb>
    <v>29</v>
  </rv>
  <rv s="1">
    <fb>2E-3</fb>
    <v>29</v>
  </rv>
  <rv s="1">
    <fb>8.3000000000000004E-2</fb>
    <v>29</v>
  </rv>
  <rv s="1">
    <fb>2.7000000000000003E-2</fb>
    <v>29</v>
  </rv>
  <rv s="1">
    <fb>0.17600000000000002</fb>
    <v>29</v>
  </rv>
  <rv s="1">
    <fb>6.4000000000000001E-2</fb>
    <v>29</v>
  </rv>
  <rv s="1">
    <fb>0.441</fb>
    <v>29</v>
  </rv>
  <rv s="7">
    <v>#VALUE!</v>
    <v>40</v>
    <v>41</v>
    <v>Washington, D.C.</v>
    <v>4</v>
    <v>5</v>
    <v>Map</v>
    <v>6</v>
    <v>42</v>
    <v>en-US</v>
    <v>216726d1-8987-06d3-5eff-823da05c3d3c</v>
    <v>536870912</v>
    <v>1</v>
    <v>US-DC</v>
    <v>115</v>
    <v>116</v>
    <v>3</v>
    <v>Washington, D.C., formally the District of Columbia and commonly called Washington or D.C., is the capital city and federal district of the United States. The city is on the Potomac River, across from Virginia, and shares land borders with ...</v>
    <v>117</v>
    <v>118</v>
    <v>119</v>
    <v>121</v>
    <v>122</v>
    <v>123</v>
    <v>124</v>
    <v>125</v>
    <v>Washington, D.C.</v>
    <v>126</v>
    <v>127</v>
    <v>128</v>
    <v>129</v>
    <v>130</v>
    <v>131</v>
    <v>132</v>
    <v>133</v>
    <v>134</v>
    <v>135</v>
    <v>136</v>
    <v>137</v>
    <v>138</v>
    <v>139</v>
    <v>140</v>
    <v>141</v>
    <v>142</v>
    <v>143</v>
    <v>11</v>
    <v>Washington, D.C.</v>
    <v>mdp/vdpid/9130</v>
  </rv>
  <rv s="1">
    <fb>423970</fb>
    <v>8</v>
  </rv>
  <rv s="1">
    <fb>102350</fb>
    <v>8</v>
  </rv>
  <rv s="0">
    <v>536870912</v>
    <v>Sacramento, California</v>
    <v>4a1a8070-cc3d-4060-af9c-08ccbbca73d7</v>
    <v>en-US</v>
    <v>Map</v>
  </rv>
  <rv s="0">
    <v>536870912</v>
    <v>United States</v>
    <v>5232ed96-85b1-2edb-12c6-63e6c597a1de</v>
    <v>en-US</v>
    <v>Map</v>
  </rv>
  <rv s="1">
    <fb>12717801</fb>
    <v>8</v>
  </rv>
  <rv s="1">
    <fb>14060525</fb>
    <v>8</v>
  </rv>
  <rv s="2">
    <v>3</v>
    <v>6</v>
    <v>44</v>
    <v>7</v>
    <v>0</v>
    <v>Image of California</v>
  </rv>
  <rv s="0">
    <v>536870912</v>
    <v>Los Angeles</v>
    <v>9958ca5c-ea31-4e71-8a17-bd1e7839c723</v>
    <v>en-US</v>
    <v>Map</v>
  </rv>
  <rv s="0">
    <v>805306368</v>
    <v>Gavin Newsom (Governor)</v>
    <v>ddd0ecbf-d7a9-4913-80c4-8eca3d95b4f2</v>
    <v>en-US</v>
    <v>Generic</v>
  </rv>
  <rv s="0">
    <v>805306368</v>
    <v>Eleni Kounalakis (Lieutenant governor)</v>
    <v>c8b4c34f-e58f-d4cc-2651-1b432d67c11a</v>
    <v>en-US</v>
    <v>Generic</v>
  </rv>
  <rv s="0">
    <v>805306368</v>
    <v>Alex Padilla (Senate)</v>
    <v>7f531c9a-64f3-c8e6-afb0-26647030a74e</v>
    <v>en-US</v>
    <v>Generic</v>
  </rv>
  <rv s="0">
    <v>805306368</v>
    <v>Adam Schiff (Senate)</v>
    <v>d5c1a692-eb25-8c7a-976b-c75a43f36513</v>
    <v>en-US</v>
    <v>Generic</v>
  </rv>
  <rv s="3">
    <v>7</v>
  </rv>
  <rv s="4">
    <v>https://www.bing.com/search?q=california&amp;form=skydnc</v>
    <v>Learn more on Bing</v>
  </rv>
  <rv s="1">
    <fb>1255</fb>
    <v>35</v>
  </rv>
  <rv s="1">
    <fb>61818</fb>
    <v>35</v>
  </rv>
  <rv s="1">
    <fb>385500</fb>
    <v>35</v>
  </rv>
  <rv s="3">
    <v>8</v>
  </rv>
  <rv s="1">
    <fb>2.96</fb>
    <v>30</v>
  </rv>
  <rv s="1">
    <fb>39431263</fb>
    <v>8</v>
  </rv>
  <rv s="1">
    <fb>5.4000000000000006E-2</fb>
    <v>29</v>
  </rv>
  <rv s="1">
    <fb>0.13300000000000001</fb>
    <v>29</v>
  </rv>
  <rv s="1">
    <fb>1.7000000000000001E-2</fb>
    <v>43</v>
  </rv>
  <rv s="1">
    <fb>0.14699999999999999</fb>
    <v>29</v>
  </rv>
  <rv s="1">
    <fb>0.314</fb>
    <v>29</v>
  </rv>
  <rv s="1">
    <fb>6.5000000000000002E-2</fb>
    <v>29</v>
  </rv>
  <rv s="1">
    <fb>0.27</fb>
    <v>29</v>
  </rv>
  <rv s="1">
    <fb>0.81799999999999995</fb>
    <v>29</v>
  </rv>
  <rv s="1">
    <fb>0.38799999999999996</fb>
    <v>29</v>
  </rv>
  <rv s="1">
    <fb>0.63100000000000001</fb>
    <v>29</v>
  </rv>
  <rv s="1">
    <fb>5.0000000000000001E-3</fb>
    <v>29</v>
  </rv>
  <rv s="1">
    <fb>6.8000000000000005E-2</fb>
    <v>29</v>
  </rv>
  <rv s="1">
    <fb>3.7999999999999999E-2</fb>
    <v>29</v>
  </rv>
  <rv s="1">
    <fb>0.23300000000000001</fb>
    <v>29</v>
  </rv>
  <rv s="1">
    <fb>0.72900000000000009</fb>
    <v>29</v>
  </rv>
  <rv s="3">
    <v>9</v>
  </rv>
  <rv s="8">
    <v>#VALUE!</v>
    <v>47</v>
    <v>48</v>
    <v>California</v>
    <v>4</v>
    <v>5</v>
    <v>Map</v>
    <v>6</v>
    <v>49</v>
    <v>en-US</v>
    <v>3009d91d-d582-4c34-85ba-772ba09e5be1</v>
    <v>536870912</v>
    <v>1</v>
    <v>US-CA</v>
    <v>145</v>
    <v>146</v>
    <v>147</v>
    <v>148</v>
    <v>California is a state in the Western region of the United States that lies on the Pacific Coast. It borders Oregon to the north, Nevada and Arizona to the east, and shares an international border with the Mexican state of Baja California to the ...</v>
    <v>149</v>
    <v>150</v>
    <v>151</v>
    <v>152</v>
    <v>157</v>
    <v>158</v>
    <v>159</v>
    <v>160</v>
    <v>161</v>
    <v>California</v>
    <v>162</v>
    <v>163</v>
    <v>164</v>
    <v>165</v>
    <v>166</v>
    <v>167</v>
    <v>168</v>
    <v>169</v>
    <v>170</v>
    <v>171</v>
    <v>172</v>
    <v>173</v>
    <v>174</v>
    <v>175</v>
    <v>176</v>
    <v>177</v>
    <v>178</v>
    <v>142</v>
    <v>179</v>
    <v>180</v>
    <v>California</v>
    <v>mdp/vdpid/5599</v>
  </rv>
  <rv s="1">
    <fb>269837</fb>
    <v>8</v>
  </rv>
  <rv s="1">
    <fb>38974</fb>
    <v>8</v>
  </rv>
  <rv s="0">
    <v>536870912</v>
    <v>Denver</v>
    <v>5a7229b6-72d3-4bfc-a95e-9c35e297c9ff</v>
    <v>en-US</v>
    <v>Map</v>
  </rv>
  <rv s="1">
    <fb>2024468</fb>
    <v>8</v>
  </rv>
  <rv s="1">
    <fb>2339118</fb>
    <v>8</v>
  </rv>
  <rv s="2">
    <v>4</v>
    <v>6</v>
    <v>50</v>
    <v>7</v>
    <v>0</v>
    <v>Image of Colorado</v>
  </rv>
  <rv s="0">
    <v>805306368</v>
    <v>Jared Polis (Governor)</v>
    <v>5a81ae6e-56e8-4cd2-95d3-f7a1b60eaa75</v>
    <v>en-US</v>
    <v>Generic</v>
  </rv>
  <rv s="0">
    <v>805306368</v>
    <v>Dianne Primavera (Lieutenant governor)</v>
    <v>f4e53c30-335f-00af-307f-4f95e90798de</v>
    <v>en-US</v>
    <v>Generic</v>
  </rv>
  <rv s="0">
    <v>805306368</v>
    <v>Michael Bennet (Senate)</v>
    <v>93548716-afc5-5fee-8c7d-c4b9489b4d26</v>
    <v>en-US</v>
    <v>Generic</v>
  </rv>
  <rv s="0">
    <v>805306368</v>
    <v>John Hickenlooper (Senate)</v>
    <v>a8a5bd30-12ce-eafc-0b7b-cc41fa0d798d</v>
    <v>en-US</v>
    <v>Generic</v>
  </rv>
  <rv s="3">
    <v>10</v>
  </rv>
  <rv s="4">
    <v>https://www.bing.com/search?q=colorado&amp;form=skydnc</v>
    <v>Learn more on Bing</v>
  </rv>
  <rv s="1">
    <fb>1002</fb>
    <v>35</v>
  </rv>
  <rv s="1">
    <fb>60629</fb>
    <v>35</v>
  </rv>
  <rv s="1">
    <fb>247800</fb>
    <v>35</v>
  </rv>
  <rv s="1">
    <fb>2.5499999999999998</fb>
    <v>30</v>
  </rv>
  <rv s="1">
    <fb>5957493</fb>
    <v>8</v>
  </rv>
  <rv s="1">
    <fb>0.10199999999999999</fb>
    <v>29</v>
  </rv>
  <rv s="1">
    <fb>0.13</fb>
    <v>29</v>
  </rv>
  <rv s="1">
    <fb>1.6E-2</fb>
    <v>43</v>
  </rv>
  <rv s="1">
    <fb>3.2000000000000001E-2</fb>
    <v>29</v>
  </rv>
  <rv s="1">
    <fb>0.38100000000000001</fb>
    <v>29</v>
  </rv>
  <rv s="1">
    <fb>4.4999999999999998E-2</fb>
    <v>29</v>
  </rv>
  <rv s="1">
    <fb>9.8000000000000004E-2</fb>
    <v>29</v>
  </rv>
  <rv s="1">
    <fb>0.90700000000000003</fb>
    <v>29</v>
  </rv>
  <rv s="1">
    <fb>0.21299999999999999</fb>
    <v>29</v>
  </rv>
  <rv s="1">
    <fb>0.67599999999999993</fb>
    <v>29</v>
  </rv>
  <rv s="1">
    <fb>7.2000000000000008E-2</fb>
    <v>29</v>
  </rv>
  <rv s="1">
    <fb>2.8999999999999998E-2</fb>
    <v>29</v>
  </rv>
  <rv s="1">
    <fb>0.23</fb>
    <v>29</v>
  </rv>
  <rv s="1">
    <fb>6.2E-2</fb>
    <v>29</v>
  </rv>
  <rv s="1">
    <fb>0.875</fb>
    <v>29</v>
  </rv>
  <rv s="3">
    <v>11</v>
  </rv>
  <rv s="8">
    <v>#VALUE!</v>
    <v>53</v>
    <v>48</v>
    <v>Colorado</v>
    <v>4</v>
    <v>5</v>
    <v>Map</v>
    <v>6</v>
    <v>49</v>
    <v>en-US</v>
    <v>a070c5c2-b22d-41d8-b869-f20e583c4f80</v>
    <v>536870912</v>
    <v>1</v>
    <v>US-CO</v>
    <v>182</v>
    <v>183</v>
    <v>184</v>
    <v>148</v>
    <v>Colorado is a state in the Western United States. It is one of the Mountain states, sharing the Four Corners region with Arizona, New Mexico, and Utah. It is also bordered by Wyoming to the north, Nebraska to the northeast, Kansas to the east, ...</v>
    <v>185</v>
    <v>186</v>
    <v>187</v>
    <v>184</v>
    <v>192</v>
    <v>193</v>
    <v>194</v>
    <v>195</v>
    <v>196</v>
    <v>Colorado</v>
    <v>162</v>
    <v>197</v>
    <v>198</v>
    <v>199</v>
    <v>200</v>
    <v>201</v>
    <v>202</v>
    <v>203</v>
    <v>204</v>
    <v>205</v>
    <v>206</v>
    <v>207</v>
    <v>208</v>
    <v>138</v>
    <v>209</v>
    <v>210</v>
    <v>211</v>
    <v>212</v>
    <v>213</v>
    <v>214</v>
    <v>Colorado</v>
    <v>mdp/vdpid/7636</v>
  </rv>
  <rv s="1">
    <fb>14357</fb>
    <v>8</v>
  </rv>
  <rv s="1">
    <fb>5504</fb>
    <v>8</v>
  </rv>
  <rv s="0">
    <v>536870912</v>
    <v>Hartford, Connecticut</v>
    <v>b8b8ebf2-e2da-483f-8643-880dd55aad13</v>
    <v>en-US</v>
    <v>Map</v>
  </rv>
  <rv s="1">
    <fb>1352583</fb>
    <v>8</v>
  </rv>
  <rv s="1">
    <fb>1499116</fb>
    <v>8</v>
  </rv>
  <rv s="2">
    <v>5</v>
    <v>6</v>
    <v>54</v>
    <v>7</v>
    <v>0</v>
    <v>Image of Connecticut</v>
  </rv>
  <rv s="0">
    <v>536870912</v>
    <v>Bridgeport, Connecticut</v>
    <v>a8869591-489d-40ba-b80b-b6d1e6c19391</v>
    <v>en-US</v>
    <v>Map</v>
  </rv>
  <rv s="0">
    <v>805306368</v>
    <v>Ned Lamont (Governor)</v>
    <v>3685f682-77d1-4823-3b8f-bcb46698ef70</v>
    <v>en-US</v>
    <v>Generic</v>
  </rv>
  <rv s="0">
    <v>805306368</v>
    <v>Susan Bysiewicz (Lieutenant governor)</v>
    <v>e8219547-8f75-e4f3-3f07-7b5df6eb7c4c</v>
    <v>en-US</v>
    <v>Generic</v>
  </rv>
  <rv s="0">
    <v>805306368</v>
    <v>Richard Blumenthal (Senate)</v>
    <v>4e6038a9-b7ca-bb9c-0d4b-a75013d4185b</v>
    <v>en-US</v>
    <v>Generic</v>
  </rv>
  <rv s="0">
    <v>805306368</v>
    <v>Chris Murphy (Senate)</v>
    <v>693665e4-3df7-8219-3f37-3d54910459d6</v>
    <v>en-US</v>
    <v>Generic</v>
  </rv>
  <rv s="3">
    <v>12</v>
  </rv>
  <rv s="4">
    <v>https://www.bing.com/search?q=connecticut&amp;form=skydnc</v>
    <v>Learn more on Bing</v>
  </rv>
  <rv s="1">
    <fb>1075</fb>
    <v>35</v>
  </rv>
  <rv s="1">
    <fb>70331</fb>
    <v>35</v>
  </rv>
  <rv s="1">
    <fb>270500</fb>
    <v>35</v>
  </rv>
  <rv s="1">
    <fb>2.57</fb>
    <v>30</v>
  </rv>
  <rv s="1">
    <fb>3675069</fb>
    <v>8</v>
  </rv>
  <rv s="1">
    <fb>1E-3</fb>
    <v>29</v>
  </rv>
  <rv s="1">
    <fb>0.158</fb>
    <v>29</v>
  </rv>
  <rv s="1">
    <fb>5.0000000000000001E-3</fb>
    <v>43</v>
  </rv>
  <rv s="1">
    <fb>4.5999999999999999E-2</fb>
    <v>29</v>
  </rv>
  <rv s="1">
    <fb>0.376</fb>
    <v>29</v>
  </rv>
  <rv s="1">
    <fb>0.11599999999999999</fb>
    <v>29</v>
  </rv>
  <rv s="1">
    <fb>0.13900000000000001</fb>
    <v>29</v>
  </rv>
  <rv s="1">
    <fb>0.89900000000000002</fb>
    <v>29</v>
  </rv>
  <rv s="1">
    <fb>0.154</fb>
    <v>29</v>
  </rv>
  <rv s="1">
    <fb>0.67200000000000004</fb>
    <v>29</v>
  </rv>
  <rv s="1">
    <fb>7.0999999999999994E-2</fb>
    <v>29</v>
  </rv>
  <rv s="1">
    <fb>2.2000000000000002E-2</fb>
    <v>29</v>
  </rv>
  <rv s="1">
    <fb>5.2000000000000005E-2</fb>
    <v>29</v>
  </rv>
  <rv s="1">
    <fb>0.80799999999999994</fb>
    <v>29</v>
  </rv>
  <rv s="9">
    <v>#VALUE!</v>
    <v>57</v>
    <v>58</v>
    <v>Connecticut</v>
    <v>4</v>
    <v>5</v>
    <v>Map</v>
    <v>6</v>
    <v>49</v>
    <v>en-US</v>
    <v>b3ca6523-435e-4a3b-8f78-1ad900a52cf8</v>
    <v>536870912</v>
    <v>1</v>
    <v>US-CT</v>
    <v>216</v>
    <v>217</v>
    <v>218</v>
    <v>148</v>
    <v>Connecticut is a state in the New England region of the Northeastern United States. It borders Rhode Island to the east, Massachusetts to the north, New York to the west, and Long Island Sound to the south. Its capital is Hartford, and its most ...</v>
    <v>219</v>
    <v>220</v>
    <v>221</v>
    <v>222</v>
    <v>227</v>
    <v>228</v>
    <v>229</v>
    <v>230</v>
    <v>231</v>
    <v>Connecticut</v>
    <v>232</v>
    <v>233</v>
    <v>234</v>
    <v>235</v>
    <v>236</v>
    <v>237</v>
    <v>238</v>
    <v>239</v>
    <v>240</v>
    <v>241</v>
    <v>242</v>
    <v>243</v>
    <v>234</v>
    <v>244</v>
    <v>245</v>
    <v>207</v>
    <v>246</v>
    <v>247</v>
    <v>11</v>
    <v>Connecticut</v>
    <v>mdp/vdpid/7798</v>
  </rv>
  <rv s="1">
    <fb>170304</fb>
    <v>8</v>
  </rv>
  <rv s="1">
    <fb>116240</fb>
    <v>8</v>
  </rv>
  <rv s="0">
    <v>536870912</v>
    <v>Tallahassee, Florida</v>
    <v>fe8036d9-2764-4483-9405-f07a59b69915</v>
    <v>en-US</v>
    <v>Map</v>
  </rv>
  <rv s="1">
    <fb>7300494</fb>
    <v>8</v>
  </rv>
  <rv s="1">
    <fb>9301642</fb>
    <v>8</v>
  </rv>
  <rv s="2">
    <v>6</v>
    <v>6</v>
    <v>59</v>
    <v>7</v>
    <v>0</v>
    <v>Image of Florida</v>
  </rv>
  <rv s="0">
    <v>536870912</v>
    <v>Jacksonville, Florida</v>
    <v>8bd6021b-ea7f-4470-a29b-042b1c82e07f</v>
    <v>en-US</v>
    <v>Map</v>
  </rv>
  <rv s="0">
    <v>805306368</v>
    <v>Ron DeSantis (Governor)</v>
    <v>1ed346c3-9ad7-8e78-ae55-5ed54b15749a</v>
    <v>en-US</v>
    <v>Generic</v>
  </rv>
  <rv s="0">
    <v>805306368</v>
    <v>Rick Scott (Senate)</v>
    <v>7a306d31-0926-baab-a271-b42913720a93</v>
    <v>en-US</v>
    <v>Generic</v>
  </rv>
  <rv s="0">
    <v>805306368</v>
    <v>Ashley Moody (Senate)</v>
    <v>65cb4204-9d4c-cb8d-a4f0-22efc12fd008</v>
    <v>en-US</v>
    <v>Generic</v>
  </rv>
  <rv s="3">
    <v>13</v>
  </rv>
  <rv s="4">
    <v>https://www.bing.com/search?q=florida&amp;form=skydnc</v>
    <v>Learn more on Bing</v>
  </rv>
  <rv s="1">
    <fb>47507</fb>
    <v>35</v>
  </rv>
  <rv s="1">
    <fb>159000</fb>
    <v>35</v>
  </rv>
  <rv s="1">
    <fb>2.63</fb>
    <v>30</v>
  </rv>
  <rv s="1">
    <fb>23372215</fb>
    <v>8</v>
  </rv>
  <rv s="1">
    <fb>9.6000000000000002E-2</fb>
    <v>29</v>
  </rv>
  <rv s="1">
    <fb>0.19399999999999998</fb>
    <v>29</v>
  </rv>
  <rv s="1">
    <fb>2.7999999999999997E-2</fb>
    <v>29</v>
  </rv>
  <rv s="1">
    <fb>0.27300000000000002</fb>
    <v>29</v>
  </rv>
  <rv s="1">
    <fb>0.16800000000000001</fb>
    <v>29</v>
  </rv>
  <rv s="1">
    <fb>0.19699999999999998</fb>
    <v>29</v>
  </rv>
  <rv s="1">
    <fb>0.86900000000000011</fb>
    <v>29</v>
  </rv>
  <rv s="1">
    <fb>0.245</fb>
    <v>29</v>
  </rv>
  <rv s="1">
    <fb>0.58799999999999997</fb>
    <v>29</v>
  </rv>
  <rv s="1">
    <fb>8.5000000000000006E-2</fb>
    <v>29</v>
  </rv>
  <rv s="1">
    <fb>0.02</fb>
    <v>29</v>
  </rv>
  <rv s="1">
    <fb>0.20300000000000001</fb>
    <v>29</v>
  </rv>
  <rv s="1">
    <fb>0.77700000000000002</fb>
    <v>29</v>
  </rv>
  <rv s="3">
    <v>14</v>
  </rv>
  <rv s="8">
    <v>#VALUE!</v>
    <v>62</v>
    <v>48</v>
    <v>Florida</v>
    <v>4</v>
    <v>5</v>
    <v>Map</v>
    <v>6</v>
    <v>49</v>
    <v>en-US</v>
    <v>5fece3f4-e8e8-4159-843e-f725a930ad50</v>
    <v>536870912</v>
    <v>1</v>
    <v>US-FL</v>
    <v>249</v>
    <v>250</v>
    <v>251</v>
    <v>148</v>
    <v>Florida is a state in the Southeastern region of the United States. It borders the Gulf of Mexico to the west, Alabama to the northwest, Georgia to the north, the Atlantic Ocean to the east, and the Straits of Florida and Cuba to the south. ...</v>
    <v>252</v>
    <v>253</v>
    <v>254</v>
    <v>255</v>
    <v>259</v>
    <v>260</v>
    <v>194</v>
    <v>261</v>
    <v>262</v>
    <v>Florida</v>
    <v>162</v>
    <v>263</v>
    <v>264</v>
    <v>265</v>
    <v>266</v>
    <v>236</v>
    <v>267</v>
    <v>268</v>
    <v>269</v>
    <v>270</v>
    <v>271</v>
    <v>272</v>
    <v>273</v>
    <v>234</v>
    <v>274</v>
    <v>275</v>
    <v>276</v>
    <v>165</v>
    <v>277</v>
    <v>278</v>
    <v>Florida</v>
    <v>mdp/vdpid/11032</v>
  </rv>
  <rv s="1">
    <fb>153909</fb>
    <v>8</v>
  </rv>
  <rv s="1">
    <fb>51675</fb>
    <v>8</v>
  </rv>
  <rv s="0">
    <v>536870912</v>
    <v>Atlanta</v>
    <v>1a92f3fa-61f9-4e89-b606-40c945cf18d1</v>
    <v>en-US</v>
    <v>Map</v>
  </rv>
  <rv s="1">
    <fb>3574362</fb>
    <v>8</v>
  </rv>
  <rv s="1">
    <fb>4218776</fb>
    <v>8</v>
  </rv>
  <rv s="2">
    <v>7</v>
    <v>6</v>
    <v>63</v>
    <v>7</v>
    <v>0</v>
    <v>Image of Georgia</v>
  </rv>
  <rv s="0">
    <v>805306368</v>
    <v>Brian Kemp (Governor)</v>
    <v>6dd4f848-98dc-60f8-90b2-87c7458743fa</v>
    <v>en-US</v>
    <v>Generic</v>
  </rv>
  <rv s="0">
    <v>805306368</v>
    <v>Burt Jones (Lieutenant governor)</v>
    <v>abaf10be-2391-4b78-4c82-8c17faa8bf28</v>
    <v>en-US</v>
    <v>Generic</v>
  </rv>
  <rv s="0">
    <v>805306368</v>
    <v>Jon Ossoff (Senate)</v>
    <v>9ae32dca-f3b6-c1bc-169f-72008326cb39</v>
    <v>en-US</v>
    <v>Generic</v>
  </rv>
  <rv s="0">
    <v>805306368</v>
    <v>Raphael Warnock (Senate)</v>
    <v>b1bcb7a9-0286-c285-5a23-52559dfc1b6a</v>
    <v>en-US</v>
    <v>Generic</v>
  </rv>
  <rv s="3">
    <v>15</v>
  </rv>
  <rv s="4">
    <v>https://www.bing.com/search?q=georgia+u+s+state&amp;form=skydnc</v>
    <v>Learn more on Bing</v>
  </rv>
  <rv s="1">
    <fb>879</fb>
    <v>35</v>
  </rv>
  <rv s="1">
    <fb>49620</fb>
    <v>35</v>
  </rv>
  <rv s="1">
    <fb>148100</fb>
    <v>35</v>
  </rv>
  <rv s="1">
    <fb>2.73</fb>
    <v>30</v>
  </rv>
  <rv s="1">
    <fb>11180878</fb>
    <v>8</v>
  </rv>
  <rv s="1">
    <fb>0.128</fb>
    <v>29</v>
  </rv>
  <rv s="1">
    <fb>0.04</fb>
    <v>29</v>
  </rv>
  <rv s="1">
    <fb>0.28800000000000003</fb>
    <v>29</v>
  </rv>
  <rv s="1">
    <fb>0.317</fb>
    <v>29</v>
  </rv>
  <rv s="1">
    <fb>0.85400000000000009</fb>
    <v>29</v>
  </rv>
  <rv s="1">
    <fb>9.4E-2</fb>
    <v>29</v>
  </rv>
  <rv s="1">
    <fb>0.623</fb>
    <v>29</v>
  </rv>
  <rv s="1">
    <fb>8.8000000000000009E-2</fb>
    <v>29</v>
  </rv>
  <rv s="1">
    <fb>0.61599999999999999</fb>
    <v>29</v>
  </rv>
  <rv s="8">
    <v>#VALUE!</v>
    <v>66</v>
    <v>48</v>
    <v>Georgia</v>
    <v>4</v>
    <v>5</v>
    <v>Map</v>
    <v>6</v>
    <v>49</v>
    <v>en-US</v>
    <v>84604bc7-2c47-4f8d-8ea5-b6ac8c018a20</v>
    <v>536870912</v>
    <v>1</v>
    <v>US-GA</v>
    <v>280</v>
    <v>281</v>
    <v>282</v>
    <v>148</v>
    <v>Georgia, officially the State of Georgia, is a state in the Southeastern region of the United States. It borders Tennessee and North Carolina to the north, South Carolina and the Atlantic Ocean to the east, Florida to the south, and Alabama to ...</v>
    <v>283</v>
    <v>284</v>
    <v>285</v>
    <v>282</v>
    <v>290</v>
    <v>291</v>
    <v>292</v>
    <v>293</v>
    <v>294</v>
    <v>Georgia</v>
    <v>162</v>
    <v>295</v>
    <v>296</v>
    <v>142</v>
    <v>297</v>
    <v>236</v>
    <v>298</v>
    <v>299</v>
    <v>300</v>
    <v>205</v>
    <v>301</v>
    <v>302</v>
    <v>303</v>
    <v>234</v>
    <v>304</v>
    <v>275</v>
    <v>272</v>
    <v>170</v>
    <v>305</v>
    <v>11</v>
    <v>Georgia</v>
    <v>mdp/vdpid/12004</v>
  </rv>
  <rv s="1">
    <fb>145746</fb>
    <v>8</v>
  </rv>
  <rv s="1">
    <fb>14317</fb>
    <v>8</v>
  </rv>
  <rv s="0">
    <v>536870912</v>
    <v>Des Moines, Iowa</v>
    <v>a4592975-b658-4874-8c06-906edcde2841</v>
    <v>en-US</v>
    <v>Map</v>
  </rv>
  <rv s="1">
    <fb>1236409</fb>
    <v>8</v>
  </rv>
  <rv s="1">
    <fb>1380162</fb>
    <v>8</v>
  </rv>
  <rv s="2">
    <v>8</v>
    <v>6</v>
    <v>67</v>
    <v>7</v>
    <v>0</v>
    <v>Image of Iowa</v>
  </rv>
  <rv s="0">
    <v>805306368</v>
    <v>Kim Reynolds (Governor)</v>
    <v>5a53cf17-9d69-0115-9fad-e65c96b79e58</v>
    <v>en-US</v>
    <v>Generic</v>
  </rv>
  <rv s="0">
    <v>805306368</v>
    <v>Chris Cournoyer (Lieutenant governor)</v>
    <v>d2566884-653d-afdb-e4d1-04b498ecb005</v>
    <v>en-US</v>
    <v>Generic</v>
  </rv>
  <rv s="0">
    <v>805306368</v>
    <v>Chuck Grassley (Senate)</v>
    <v>f108a253-5d62-c018-e5c0-3962d9ca0a9b</v>
    <v>en-US</v>
    <v>Generic</v>
  </rv>
  <rv s="0">
    <v>805306368</v>
    <v>Joni Ernst (Senate)</v>
    <v>6b45ca38-e2ee-e00e-7985-25132e676665</v>
    <v>en-US</v>
    <v>Generic</v>
  </rv>
  <rv s="3">
    <v>16</v>
  </rv>
  <rv s="4">
    <v>https://www.bing.com/search?q=iowa&amp;form=skydnc</v>
    <v>Learn more on Bing</v>
  </rv>
  <rv s="1">
    <fb>697</fb>
    <v>35</v>
  </rv>
  <rv s="1">
    <fb>53183</fb>
    <v>35</v>
  </rv>
  <rv s="1">
    <fb>129200</fb>
    <v>35</v>
  </rv>
  <rv s="1">
    <fb>2.42</fb>
    <v>30</v>
  </rv>
  <rv s="1">
    <fb>3241488</fb>
    <v>8</v>
  </rv>
  <rv s="1">
    <fb>0.161</fb>
    <v>29</v>
  </rv>
  <rv s="1">
    <fb>2.4E-2</fb>
    <v>29</v>
  </rv>
  <rv s="1">
    <fb>0.26700000000000002</fb>
    <v>29</v>
  </rv>
  <rv s="1">
    <fb>3.5000000000000003E-2</fb>
    <v>29</v>
  </rv>
  <rv s="1">
    <fb>4.7E-2</fb>
    <v>29</v>
  </rv>
  <rv s="1">
    <fb>0.91500000000000004</fb>
    <v>29</v>
  </rv>
  <rv s="1">
    <fb>5.7000000000000002E-2</fb>
    <v>29</v>
  </rv>
  <rv s="1">
    <fb>7.9000000000000001E-2</fb>
    <v>29</v>
  </rv>
  <rv s="1">
    <fb>1.8000000000000002E-2</fb>
    <v>29</v>
  </rv>
  <rv s="1">
    <fb>6.3E-2</fb>
    <v>29</v>
  </rv>
  <rv s="1">
    <fb>0.91799999999999993</fb>
    <v>29</v>
  </rv>
  <rv s="3">
    <v>17</v>
  </rv>
  <rv s="8">
    <v>#VALUE!</v>
    <v>70</v>
    <v>48</v>
    <v>Iowa</v>
    <v>4</v>
    <v>5</v>
    <v>Map</v>
    <v>6</v>
    <v>49</v>
    <v>en-US</v>
    <v>77850824-b07a-487a-af58-37f9949afc27</v>
    <v>536870912</v>
    <v>1</v>
    <v>US-IA</v>
    <v>307</v>
    <v>308</v>
    <v>309</v>
    <v>148</v>
    <v>Iowa is a state in the upper Midwestern region of the United States. It borders the Mississippi River to the east and the Missouri River and Big Sioux River to the west; Wisconsin to the northeast, Illinois to the east and southeast, Missouri to ...</v>
    <v>310</v>
    <v>311</v>
    <v>312</v>
    <v>309</v>
    <v>317</v>
    <v>318</v>
    <v>319</v>
    <v>320</v>
    <v>321</v>
    <v>Iowa</v>
    <v>162</v>
    <v>322</v>
    <v>323</v>
    <v>210</v>
    <v>324</v>
    <v>236</v>
    <v>325</v>
    <v>326</v>
    <v>327</v>
    <v>328</v>
    <v>329</v>
    <v>330</v>
    <v>208</v>
    <v>234</v>
    <v>331</v>
    <v>332</v>
    <v>178</v>
    <v>333</v>
    <v>334</v>
    <v>335</v>
    <v>Iowa</v>
    <v>mdp/vdpid/14987</v>
  </rv>
  <rv s="1">
    <fb>225163</fb>
    <v>8</v>
  </rv>
  <rv s="1">
    <fb>21449</fb>
    <v>8</v>
  </rv>
  <rv s="0">
    <v>536870912</v>
    <v>Saint Paul, Minnesota</v>
    <v>1cc78952-7fdf-3532-7f33-51048c23af61</v>
    <v>en-US</v>
    <v>Map</v>
  </rv>
  <rv s="1">
    <fb>2124745</fb>
    <v>8</v>
  </rv>
  <rv s="1">
    <fb>2409935</fb>
    <v>8</v>
  </rv>
  <rv s="2">
    <v>9</v>
    <v>6</v>
    <v>71</v>
    <v>7</v>
    <v>0</v>
    <v>Image of Minnesota</v>
  </rv>
  <rv s="0">
    <v>536870912</v>
    <v>Minneapolis</v>
    <v>def03125-42ba-47cd-8061-ee55f5c63e67</v>
    <v>en-US</v>
    <v>Map</v>
  </rv>
  <rv s="0">
    <v>805306368</v>
    <v>Tim Walz (Governor)</v>
    <v>f38cda49-b64f-17fd-7bee-8b4b8615e92e</v>
    <v>en-US</v>
    <v>Generic</v>
  </rv>
  <rv s="0">
    <v>805306368</v>
    <v>Peggy Flanagan (Lieutenant governor)</v>
    <v>cf730391-3139-9782-b8cc-c66b64347b03</v>
    <v>en-US</v>
    <v>Generic</v>
  </rv>
  <rv s="0">
    <v>805306368</v>
    <v>Amy Klobuchar (Senate)</v>
    <v>a294ff47-10a7-8131-50f3-95c593398b45</v>
    <v>en-US</v>
    <v>Generic</v>
  </rv>
  <rv s="0">
    <v>805306368</v>
    <v>Tina Smith (Senate)</v>
    <v>44d231cd-8a99-36a8-9eca-f8421ec955dd</v>
    <v>en-US</v>
    <v>Generic</v>
  </rv>
  <rv s="3">
    <v>18</v>
  </rv>
  <rv s="4">
    <v>https://www.bing.com/search?q=minnesota&amp;form=skydnc</v>
    <v>Learn more on Bing</v>
  </rv>
  <rv s="1">
    <fb>848</fb>
    <v>35</v>
  </rv>
  <rv s="1">
    <fb>61492</fb>
    <v>35</v>
  </rv>
  <rv s="1">
    <fb>186200</fb>
    <v>35</v>
  </rv>
  <rv s="1">
    <fb>2.4900000000000002</fb>
    <v>30</v>
  </rv>
  <rv s="1">
    <fb>5793151</fb>
    <v>8</v>
  </rv>
  <rv s="1">
    <fb>4.0999999999999995E-2</fb>
    <v>29</v>
  </rv>
  <rv s="1">
    <fb>1.3000000000000001E-2</fb>
    <v>43</v>
  </rv>
  <rv s="1">
    <fb>4.9000000000000002E-2</fb>
    <v>29</v>
  </rv>
  <rv s="1">
    <fb>0.33700000000000002</fb>
    <v>29</v>
  </rv>
  <rv s="1">
    <fb>0.06</fb>
    <v>29</v>
  </rv>
  <rv s="1">
    <fb>7.6999999999999999E-2</fb>
    <v>29</v>
  </rv>
  <rv s="1">
    <fb>0.92400000000000004</fb>
    <v>29</v>
  </rv>
  <rv s="1">
    <fb>0.7</fb>
    <v>29</v>
  </rv>
  <rv s="1">
    <fb>0.23399999999999999</fb>
    <v>29</v>
  </rv>
  <rv s="9">
    <v>#VALUE!</v>
    <v>74</v>
    <v>58</v>
    <v>Minnesota</v>
    <v>4</v>
    <v>5</v>
    <v>Map</v>
    <v>6</v>
    <v>49</v>
    <v>en-US</v>
    <v>77f97f6f-7e93-46e5-b486-6198effe8dea</v>
    <v>536870912</v>
    <v>1</v>
    <v>US-MN</v>
    <v>337</v>
    <v>338</v>
    <v>339</v>
    <v>148</v>
    <v>Minnesota is a state in the Upper Midwestern region of the United States. It is bordered by the Canadian provinces of Manitoba and Ontario to the north and east and by the U.S. states of Wisconsin to the east, Iowa to the south, and North Dakota ...</v>
    <v>340</v>
    <v>341</v>
    <v>342</v>
    <v>343</v>
    <v>348</v>
    <v>349</v>
    <v>350</v>
    <v>351</v>
    <v>352</v>
    <v>Minnesota</v>
    <v>353</v>
    <v>354</v>
    <v>355</v>
    <v>168</v>
    <v>356</v>
    <v>357</v>
    <v>358</v>
    <v>359</v>
    <v>360</v>
    <v>361</v>
    <v>246</v>
    <v>362</v>
    <v>234</v>
    <v>244</v>
    <v>325</v>
    <v>363</v>
    <v>142</v>
    <v>301</v>
    <v>335</v>
    <v>Minnesota</v>
    <v>mdp/vdpid/21412</v>
  </rv>
  <rv s="1">
    <fb>200520</fb>
    <v>8</v>
  </rv>
  <rv s="1">
    <fb>8078</fb>
    <v>8</v>
  </rv>
  <rv s="0">
    <v>536870912</v>
    <v>Lincoln, Nebraska</v>
    <v>38974d3e-7769-4d06-b772-31a57932a126</v>
    <v>en-US</v>
    <v>Map</v>
  </rv>
  <rv s="1">
    <fb>736613</fb>
    <v>8</v>
  </rv>
  <rv s="1">
    <fb>827156</fb>
    <v>8</v>
  </rv>
  <rv s="2">
    <v>10</v>
    <v>6</v>
    <v>75</v>
    <v>7</v>
    <v>0</v>
    <v>Image of Nebraska</v>
  </rv>
  <rv s="0">
    <v>536870912</v>
    <v>Omaha, Nebraska</v>
    <v>3e9b5a28-f96c-420a-8065-6b1bd5aba459</v>
    <v>en-US</v>
    <v>Map</v>
  </rv>
  <rv s="0">
    <v>805306368</v>
    <v>Jim Pillen (Governor)</v>
    <v>d609858d-2007-ee0a-defb-14ae1c2ab4d3</v>
    <v>en-US</v>
    <v>Generic</v>
  </rv>
  <rv s="0">
    <v>805306368</v>
    <v>Joe Kelly (Lieutenant governor)</v>
    <v>f92108f4-90b9-9d3b-9c97-08750cd4d3ee</v>
    <v>en-US</v>
    <v>Generic</v>
  </rv>
  <rv s="0">
    <v>805306368</v>
    <v>Deb Fischer (Senate)</v>
    <v>f5e75ca0-d749-2530-45f3-da6ea135796e</v>
    <v>en-US</v>
    <v>Generic</v>
  </rv>
  <rv s="0">
    <v>805306368</v>
    <v>Pete Ricketts (Senate)</v>
    <v>97fb5bd9-8ab3-b066-54d6-344dc18b656e</v>
    <v>en-US</v>
    <v>Generic</v>
  </rv>
  <rv s="3">
    <v>19</v>
  </rv>
  <rv s="4">
    <v>https://www.bing.com/search?q=nebraska&amp;form=skydnc</v>
    <v>Learn more on Bing</v>
  </rv>
  <rv s="1">
    <fb>726</fb>
    <v>35</v>
  </rv>
  <rv s="1">
    <fb>52997</fb>
    <v>35</v>
  </rv>
  <rv s="1">
    <fb>133200</fb>
    <v>35</v>
  </rv>
  <rv s="1">
    <fb>2.4700000000000002</fb>
    <v>30</v>
  </rv>
  <rv s="1">
    <fb>2005465</fb>
    <v>8</v>
  </rv>
  <rv s="1">
    <fb>4.4000000000000004E-2</fb>
    <v>29</v>
  </rv>
  <rv s="1">
    <fb>1.3999999999999999E-2</fb>
    <v>43</v>
  </rv>
  <rv s="1">
    <fb>2.3E-2</fb>
    <v>29</v>
  </rv>
  <rv s="1">
    <fb>0.29299999999999998</fb>
    <v>29</v>
  </rv>
  <rv s="1">
    <fb>0.05</fb>
    <v>29</v>
  </rv>
  <rv s="1">
    <fb>6.6000000000000003E-2</fb>
    <v>29</v>
  </rv>
  <rv s="1">
    <fb>0.10400000000000001</fb>
    <v>29</v>
  </rv>
  <rv s="1">
    <fb>0.69900000000000007</fb>
    <v>29</v>
  </rv>
  <rv s="1">
    <fb>7.2999999999999995E-2</fb>
    <v>29</v>
  </rv>
  <rv s="1">
    <fb>2.1000000000000001E-2</fb>
    <v>29</v>
  </rv>
  <rv s="1">
    <fb>0.248</fb>
    <v>29</v>
  </rv>
  <rv s="1">
    <fb>6.9000000000000006E-2</fb>
    <v>29</v>
  </rv>
  <rv s="1">
    <fb>0.8909999999999999</fb>
    <v>29</v>
  </rv>
  <rv s="8">
    <v>#VALUE!</v>
    <v>78</v>
    <v>48</v>
    <v>Nebraska</v>
    <v>4</v>
    <v>5</v>
    <v>Map</v>
    <v>6</v>
    <v>49</v>
    <v>en-US</v>
    <v>3e64ff5d-6b40-4dbe-91b1-0e554e892496</v>
    <v>536870912</v>
    <v>1</v>
    <v>US-NE</v>
    <v>365</v>
    <v>366</v>
    <v>367</v>
    <v>148</v>
    <v>Nebraska is a landlocked state in the Midwestern region of the United States. It borders South Dakota to the north; Iowa to the east and Missouri to the southeast, both across the Missouri River; Kansas to the south; Colorado to the southwest; ...</v>
    <v>368</v>
    <v>369</v>
    <v>370</v>
    <v>371</v>
    <v>376</v>
    <v>377</v>
    <v>378</v>
    <v>379</v>
    <v>380</v>
    <v>Nebraska</v>
    <v>162</v>
    <v>381</v>
    <v>382</v>
    <v>383</v>
    <v>168</v>
    <v>384</v>
    <v>385</v>
    <v>386</v>
    <v>387</v>
    <v>388</v>
    <v>206</v>
    <v>389</v>
    <v>390</v>
    <v>234</v>
    <v>391</v>
    <v>392</v>
    <v>393</v>
    <v>394</v>
    <v>395</v>
    <v>214</v>
    <v>Nebraska</v>
    <v>mdp/vdpid/22869</v>
  </rv>
  <rv s="1">
    <fb>181195</fb>
    <v>8</v>
  </rv>
  <rv s="1">
    <fb>12092</fb>
    <v>8</v>
  </rv>
  <rv s="0">
    <v>536870912</v>
    <v>Oklahoma City</v>
    <v>59d212a0-2f5f-4681-a7a0-a8a6e25853e1</v>
    <v>en-US</v>
    <v>Map</v>
  </rv>
  <rv s="1">
    <fb>1455321</fb>
    <v>8</v>
  </rv>
  <rv s="1">
    <fb>1721045</fb>
    <v>8</v>
  </rv>
  <rv s="2">
    <v>11</v>
    <v>6</v>
    <v>79</v>
    <v>7</v>
    <v>0</v>
    <v>Image of Oklahoma</v>
  </rv>
  <rv s="0">
    <v>805306368</v>
    <v>Kevin Stitt (Governor)</v>
    <v>50460cc8-b10e-ddcd-8554-9a0e8a8aa526</v>
    <v>en-US</v>
    <v>Generic</v>
  </rv>
  <rv s="0">
    <v>805306368</v>
    <v>Matt Pinnell (Lieutenant governor)</v>
    <v>189caae5-49b2-e53b-db23-b10a7ec5d36b</v>
    <v>en-US</v>
    <v>Generic</v>
  </rv>
  <rv s="0">
    <v>805306368</v>
    <v>James Lankford (Senate)</v>
    <v>9bfa929f-1dbf-4884-2bbc-ecde4793ee48</v>
    <v>en-US</v>
    <v>Generic</v>
  </rv>
  <rv s="0">
    <v>805306368</v>
    <v>Markwayne Mullin (Senate)</v>
    <v>05fad978-d35b-4dc0-b57e-e3afb8372ed3</v>
    <v>en-US</v>
    <v>Generic</v>
  </rv>
  <rv s="3">
    <v>20</v>
  </rv>
  <rv s="4">
    <v>https://www.bing.com/search?q=oklahoma&amp;form=skydnc</v>
    <v>Learn more on Bing</v>
  </rv>
  <rv s="1">
    <fb>727</fb>
    <v>35</v>
  </rv>
  <rv s="1">
    <fb>46879</fb>
    <v>35</v>
  </rv>
  <rv s="1">
    <fb>117900</fb>
    <v>35</v>
  </rv>
  <rv s="1">
    <fb>3959353</fb>
    <v>8</v>
  </rv>
  <rv s="1">
    <fb>9.0999999999999998E-2</fb>
    <v>43</v>
  </rv>
  <rv s="1">
    <fb>0.24100000000000002</fb>
    <v>29</v>
  </rv>
  <rv s="1">
    <fb>7.8E-2</fb>
    <v>29</v>
  </rv>
  <rv s="1">
    <fb>5.7999999999999996E-2</fb>
    <v>29</v>
  </rv>
  <rv s="1">
    <fb>0.10099999999999999</fb>
    <v>29</v>
  </rv>
  <rv s="1">
    <fb>0.61099999999999999</fb>
    <v>29</v>
  </rv>
  <rv s="1">
    <fb>0.113</fb>
    <v>29</v>
  </rv>
  <rv s="1">
    <fb>0.24600000000000002</fb>
    <v>29</v>
  </rv>
  <rv s="1">
    <fb>0.748</fb>
    <v>29</v>
  </rv>
  <rv s="10">
    <v>#VALUE!</v>
    <v>82</v>
    <v>83</v>
    <v>Oklahoma</v>
    <v>4</v>
    <v>5</v>
    <v>Map</v>
    <v>6</v>
    <v>42</v>
    <v>en-US</v>
    <v>cbcf556f-952a-4665-bb95-0500b27f9976</v>
    <v>536870912</v>
    <v>1</v>
    <v>US-OK</v>
    <v>397</v>
    <v>398</v>
    <v>399</v>
    <v>3</v>
    <v>Oklahoma is a state in the South Central region of the United States. It borders Texas to the south and west, Kansas to the north, Missouri to the northeast, Arkansas to the east, New Mexico to the west, and Colorado to the northwest. Partially ...</v>
    <v>400</v>
    <v>401</v>
    <v>402</v>
    <v>399</v>
    <v>407</v>
    <v>408</v>
    <v>409</v>
    <v>410</v>
    <v>411</v>
    <v>Oklahoma</v>
    <v>42</v>
    <v>232</v>
    <v>412</v>
    <v>237</v>
    <v>168</v>
    <v>413</v>
    <v>245</v>
    <v>414</v>
    <v>415</v>
    <v>416</v>
    <v>271</v>
    <v>417</v>
    <v>418</v>
    <v>138</v>
    <v>419</v>
    <v>359</v>
    <v>420</v>
    <v>394</v>
    <v>421</v>
    <v>Oklahoma</v>
    <v>mdp/vdpid/24293</v>
  </rv>
  <rv s="1">
    <fb>119283</fb>
    <v>8</v>
  </rv>
  <rv s="1">
    <fb>23303</fb>
    <v>8</v>
  </rv>
  <rv s="0">
    <v>536870912</v>
    <v>Harrisburg, Pennsylvania</v>
    <v>c0411c8e-89cf-5f47-d2f3-d5e52d320fff</v>
    <v>en-US</v>
    <v>Map</v>
  </rv>
  <rv s="1">
    <fb>4958859</fb>
    <v>8</v>
  </rv>
  <rv s="1">
    <fb>5612002</fb>
    <v>8</v>
  </rv>
  <rv s="2">
    <v>12</v>
    <v>6</v>
    <v>84</v>
    <v>7</v>
    <v>0</v>
    <v>Image of Pennsylvania</v>
  </rv>
  <rv s="0">
    <v>536870912</v>
    <v>Philadelphia</v>
    <v>020d4bbf-2971-4236-b87d-c3ec1d7f851c</v>
    <v>en-US</v>
    <v>Map</v>
  </rv>
  <rv s="0">
    <v>805306368</v>
    <v>Josh Shapiro (Governor)</v>
    <v>53262225-ea14-3f9e-bd31-7e9b978d5e27</v>
    <v>en-US</v>
    <v>Generic</v>
  </rv>
  <rv s="0">
    <v>805306368</v>
    <v>Austin Davis (Lieutenant governor)</v>
    <v>9d043ecc-c40b-67e4-0b39-b0df6bdd7dec</v>
    <v>en-US</v>
    <v>Generic</v>
  </rv>
  <rv s="0">
    <v>805306368</v>
    <v>John Fetterman (Senate)</v>
    <v>0def1c22-1608-cc63-a1a2-07cb8272777b</v>
    <v>en-US</v>
    <v>Generic</v>
  </rv>
  <rv s="0">
    <v>805306368</v>
    <v>Dave McCormick (Senate)</v>
    <v>a00de8fd-32df-41f2-a4f1-02d9e795bc19</v>
    <v>en-US</v>
    <v>Generic</v>
  </rv>
  <rv s="3">
    <v>21</v>
  </rv>
  <rv s="4">
    <v>https://www.bing.com/search?q=pennsylvania&amp;form=skydnc</v>
    <v>Learn more on Bing</v>
  </rv>
  <rv s="1">
    <fb>840</fb>
    <v>35</v>
  </rv>
  <rv s="1">
    <fb>53599</fb>
    <v>35</v>
  </rv>
  <rv s="1">
    <fb>166000</fb>
    <v>35</v>
  </rv>
  <rv s="1">
    <fb>13078751</fb>
    <v>8</v>
  </rv>
  <rv s="1">
    <fb>6.0000000000000001E-3</fb>
    <v>29</v>
  </rv>
  <rv s="1">
    <fb>0.17</fb>
    <v>29</v>
  </rv>
  <rv s="1">
    <fb>4.0000000000000001E-3</fb>
    <v>43</v>
  </rv>
  <rv s="1">
    <fb>3.4000000000000002E-2</fb>
    <v>29</v>
  </rv>
  <rv s="1">
    <fb>0.28600000000000003</fb>
    <v>29</v>
  </rv>
  <rv s="1">
    <fb>0.11699999999999999</fb>
    <v>29</v>
  </rv>
  <rv s="1">
    <fb>0.89200000000000002</fb>
    <v>29</v>
  </rv>
  <rv s="1">
    <fb>0.628</fb>
    <v>29</v>
  </rv>
  <rv s="1">
    <fb>9.5000000000000001E-2</fb>
    <v>29</v>
  </rv>
  <rv s="1">
    <fb>1.9E-2</fb>
    <v>29</v>
  </rv>
  <rv s="1">
    <fb>0.21</fb>
    <v>29</v>
  </rv>
  <rv s="1">
    <fb>5.5999999999999994E-2</fb>
    <v>29</v>
  </rv>
  <rv s="1">
    <fb>0.82599999999999996</fb>
    <v>29</v>
  </rv>
  <rv s="8">
    <v>#VALUE!</v>
    <v>87</v>
    <v>48</v>
    <v>Pennsylvania</v>
    <v>4</v>
    <v>5</v>
    <v>Map</v>
    <v>6</v>
    <v>49</v>
    <v>en-US</v>
    <v>6304580e-c803-4266-818a-971619176547</v>
    <v>536870912</v>
    <v>1</v>
    <v>US-PA</v>
    <v>423</v>
    <v>424</v>
    <v>425</v>
    <v>148</v>
    <v>Pennsylvania, officially the Commonwealth of Pennsylvania, is a state spanning the Mid-Atlantic, Northeastern, Appalachian, and Great Lakes regions of the United States. It borders Delaware to its southeast, Maryland to its south, West Virginia ...</v>
    <v>426</v>
    <v>427</v>
    <v>428</v>
    <v>429</v>
    <v>434</v>
    <v>435</v>
    <v>436</v>
    <v>437</v>
    <v>438</v>
    <v>Pennsylvania</v>
    <v>42</v>
    <v>353</v>
    <v>439</v>
    <v>440</v>
    <v>441</v>
    <v>442</v>
    <v>443</v>
    <v>444</v>
    <v>445</v>
    <v>333</v>
    <v>446</v>
    <v>176</v>
    <v>447</v>
    <v>234</v>
    <v>448</v>
    <v>449</v>
    <v>450</v>
    <v>451</v>
    <v>452</v>
    <v>11</v>
    <v>Pennsylvania</v>
    <v>mdp/vdpid/25623</v>
  </rv>
  <rv s="1">
    <fb>82931</fb>
    <v>8</v>
  </rv>
  <rv s="1">
    <fb>32165</fb>
    <v>8</v>
  </rv>
  <rv s="0">
    <v>536870912</v>
    <v>Columbia, South Carolina</v>
    <v>0c8f6663-0a97-4263-b3e1-3cfe0b623552</v>
    <v>en-US</v>
    <v>Map</v>
  </rv>
  <rv s="1">
    <fb>1815094</fb>
    <v>8</v>
  </rv>
  <rv s="1">
    <fb>2236153</fb>
    <v>8</v>
  </rv>
  <rv s="2">
    <v>13</v>
    <v>6</v>
    <v>88</v>
    <v>7</v>
    <v>0</v>
    <v>Image of South Carolina</v>
  </rv>
  <rv s="0">
    <v>536870912</v>
    <v>Charleston, South Carolina</v>
    <v>cebb4aca-ea5b-40ca-99c1-dba28163d54a</v>
    <v>en-US</v>
    <v>Map</v>
  </rv>
  <rv s="0">
    <v>805306368</v>
    <v>Henry McMaster (Governor)</v>
    <v>1ee8a17e-7bdf-e76f-f39e-5653239f88dd</v>
    <v>en-US</v>
    <v>Generic</v>
  </rv>
  <rv s="0">
    <v>805306368</v>
    <v>Pamela Evette (Lieutenant governor)</v>
    <v>1aea5f86-6de3-0add-dabd-d5ae03afe8a6</v>
    <v>en-US</v>
    <v>Generic</v>
  </rv>
  <rv s="0">
    <v>805306368</v>
    <v>Lindsey Graham (Senate)</v>
    <v>9ba65851-7a4a-18c2-c979-0daf5d69d46b</v>
    <v>en-US</v>
    <v>Generic</v>
  </rv>
  <rv s="0">
    <v>805306368</v>
    <v>Tim Scott (Senate)</v>
    <v>e4a3380d-becb-dbf5-bdc0-7b5993eff931</v>
    <v>en-US</v>
    <v>Generic</v>
  </rv>
  <rv s="3">
    <v>22</v>
  </rv>
  <rv s="4">
    <v>https://www.bing.com/search?q=south+carolina&amp;form=skydnc</v>
    <v>Learn more on Bing</v>
  </rv>
  <rv s="1">
    <fb>790</fb>
    <v>35</v>
  </rv>
  <rv s="1">
    <fb>45483</fb>
    <v>35</v>
  </rv>
  <rv s="1">
    <fb>139900</fb>
    <v>35</v>
  </rv>
  <rv s="1">
    <fb>2.56</fb>
    <v>30</v>
  </rv>
  <rv s="1">
    <fb>5478831</fb>
    <v>8</v>
  </rv>
  <rv s="1">
    <fb>0.16200000000000001</fb>
    <v>29</v>
  </rv>
  <rv s="1">
    <fb>1.6E-2</fb>
    <v>29</v>
  </rv>
  <rv s="1">
    <fb>0.25800000000000001</fb>
    <v>29</v>
  </rv>
  <rv s="1">
    <fb>0.27600000000000002</fb>
    <v>29</v>
  </rv>
  <rv s="1">
    <fb>4.8000000000000001E-2</fb>
    <v>29</v>
  </rv>
  <rv s="1">
    <fb>0.85599999999999998</fb>
    <v>29</v>
  </rv>
  <rv s="1">
    <fb>5.5E-2</fb>
    <v>29</v>
  </rv>
  <rv s="1">
    <fb>0.60099999999999998</fb>
    <v>29</v>
  </rv>
  <rv s="1">
    <fb>0.223</fb>
    <v>29</v>
  </rv>
  <rv s="1">
    <fb>5.9000000000000004E-2</fb>
    <v>29</v>
  </rv>
  <rv s="1">
    <fb>0.68400000000000005</fb>
    <v>29</v>
  </rv>
  <rv s="8">
    <v>#VALUE!</v>
    <v>91</v>
    <v>48</v>
    <v>South Carolina</v>
    <v>4</v>
    <v>5</v>
    <v>Map</v>
    <v>6</v>
    <v>49</v>
    <v>en-US</v>
    <v>810015e8-b10b-4232-9e2c-de87a67bd26e</v>
    <v>536870912</v>
    <v>1</v>
    <v>US-SC</v>
    <v>454</v>
    <v>455</v>
    <v>456</v>
    <v>148</v>
    <v>South Carolina is a state in the Southeastern region of the United States. It borders North Carolina to the north and northeast, the Atlantic Ocean to the southeast, and Georgia to the west and south across the Savannah River. Along with North ...</v>
    <v>457</v>
    <v>458</v>
    <v>459</v>
    <v>460</v>
    <v>465</v>
    <v>466</v>
    <v>467</v>
    <v>468</v>
    <v>469</v>
    <v>South Carolina</v>
    <v>42</v>
    <v>470</v>
    <v>471</v>
    <v>391</v>
    <v>472</v>
    <v>236</v>
    <v>473</v>
    <v>474</v>
    <v>475</v>
    <v>476</v>
    <v>477</v>
    <v>478</v>
    <v>479</v>
    <v>234</v>
    <v>51</v>
    <v>332</v>
    <v>480</v>
    <v>481</v>
    <v>482</v>
    <v>11</v>
    <v>South Carolina</v>
    <v>mdp/vdpid/31410</v>
  </rv>
  <rv s="1">
    <fb>696241</fb>
    <v>8</v>
  </rv>
  <rv s="1">
    <fb>165853</fb>
    <v>8</v>
  </rv>
  <rv s="0">
    <v>536870912</v>
    <v>Austin, Texas</v>
    <v>afd7d7f6-01a2-401c-bb4d-59f7e34d585c</v>
    <v>en-US</v>
    <v>Map</v>
  </rv>
  <rv s="1">
    <fb>9149196</fb>
    <v>8</v>
  </rv>
  <rv s="1">
    <fb>10753629</fb>
    <v>8</v>
  </rv>
  <rv s="2">
    <v>14</v>
    <v>6</v>
    <v>92</v>
    <v>7</v>
    <v>0</v>
    <v>Image of Texas</v>
  </rv>
  <rv s="0">
    <v>536870912</v>
    <v>Houston</v>
    <v>ad99c262-d92e-4e88-87f7-5c66752fec36</v>
    <v>en-US</v>
    <v>Map</v>
  </rv>
  <rv s="0">
    <v>805306368</v>
    <v>Greg Abbott (Governor)</v>
    <v>3ecc1598-f192-4041-68bd-7ee531040fb8</v>
    <v>en-US</v>
    <v>Generic</v>
  </rv>
  <rv s="0">
    <v>805306368</v>
    <v>Dan Patrick (Lieutenant governor)</v>
    <v>81fa6492-e02a-5fd9-98ea-c00f95546796</v>
    <v>en-US</v>
    <v>Generic</v>
  </rv>
  <rv s="0">
    <v>805306368</v>
    <v>John Cornyn (Senate)</v>
    <v>ff5fa806-c9b4-2565-81e0-5b28e9202f84</v>
    <v>en-US</v>
    <v>Generic</v>
  </rv>
  <rv s="0">
    <v>805306368</v>
    <v>Ted Cruz (Senate)</v>
    <v>aa4efb26-8956-237f-ce58-b8bea991d9d1</v>
    <v>en-US</v>
    <v>Generic</v>
  </rv>
  <rv s="3">
    <v>23</v>
  </rv>
  <rv s="4">
    <v>https://www.bing.com/search?q=texas&amp;form=skydnc</v>
    <v>Learn more on Bing</v>
  </rv>
  <rv s="1">
    <fb>882</fb>
    <v>35</v>
  </rv>
  <rv s="1">
    <fb>53207</fb>
    <v>35</v>
  </rv>
  <rv s="1">
    <fb>136000</fb>
    <v>35</v>
  </rv>
  <rv s="1">
    <fb>2.84</fb>
    <v>30</v>
  </rv>
  <rv s="1">
    <fb>31290831</fb>
    <v>8</v>
  </rv>
  <rv s="1">
    <fb>0.10800000000000001</fb>
    <v>29</v>
  </rv>
  <rv s="1">
    <fb>0.01</fb>
    <v>43</v>
  </rv>
  <rv s="1">
    <fb>0.125</fb>
    <v>29</v>
  </rv>
  <rv s="1">
    <fb>0.16600000000000001</fb>
    <v>29</v>
  </rv>
  <rv s="1">
    <fb>0.81900000000000006</fb>
    <v>29</v>
  </rv>
  <rv s="1">
    <fb>0.64300000000000002</fb>
    <v>29</v>
  </rv>
  <rv s="1">
    <fb>8.1000000000000003E-2</fb>
    <v>29</v>
  </rv>
  <rv s="1">
    <fb>0.26300000000000001</fb>
    <v>29</v>
  </rv>
  <rv s="1">
    <fb>0.79700000000000004</fb>
    <v>29</v>
  </rv>
  <rv s="9">
    <v>#VALUE!</v>
    <v>95</v>
    <v>58</v>
    <v>Texas</v>
    <v>4</v>
    <v>5</v>
    <v>Map</v>
    <v>6</v>
    <v>49</v>
    <v>en-US</v>
    <v>00a23ccd-3344-461c-8b9f-c2bb55be5815</v>
    <v>536870912</v>
    <v>1</v>
    <v>US-TX</v>
    <v>484</v>
    <v>485</v>
    <v>486</v>
    <v>148</v>
    <v>Texas is the most populous state in the South Central region of the United States. It borders Louisiana to the east, Arkansas to the northeast, Oklahoma to the north, New Mexico to the west, and has an international border with the Mexican ...</v>
    <v>487</v>
    <v>488</v>
    <v>489</v>
    <v>490</v>
    <v>495</v>
    <v>496</v>
    <v>497</v>
    <v>498</v>
    <v>499</v>
    <v>Texas</v>
    <v>500</v>
    <v>501</v>
    <v>502</v>
    <v>445</v>
    <v>503</v>
    <v>328</v>
    <v>475</v>
    <v>504</v>
    <v>505</v>
    <v>506</v>
    <v>173</v>
    <v>507</v>
    <v>234</v>
    <v>508</v>
    <v>449</v>
    <v>509</v>
    <v>209</v>
    <v>510</v>
    <v>335</v>
    <v>Texas</v>
    <v>mdp/vdpid/33145</v>
  </rv>
  <rv s="1">
    <fb>219653</fb>
    <v>8</v>
  </rv>
  <rv s="1">
    <fb>22662</fb>
    <v>8</v>
  </rv>
  <rv s="0">
    <v>536870912</v>
    <v>Salt Lake City</v>
    <v>520b8048-39fe-4c55-8cbf-a52f9d8756fd</v>
    <v>en-US</v>
    <v>Map</v>
  </rv>
  <rv s="1">
    <fb>906292</fb>
    <v>8</v>
  </rv>
  <rv s="1">
    <fb>1054164</fb>
    <v>8</v>
  </rv>
  <rv s="2">
    <v>15</v>
    <v>6</v>
    <v>96</v>
    <v>7</v>
    <v>0</v>
    <v>Image of Utah</v>
  </rv>
  <rv s="0">
    <v>805306368</v>
    <v>Spencer Cox (Governor)</v>
    <v>b8df5066-fb62-3092-d3d5-fa1d766c0409</v>
    <v>en-US</v>
    <v>Generic</v>
  </rv>
  <rv s="0">
    <v>805306368</v>
    <v>Deidre Henderson (Lieutenant governor)</v>
    <v>644c1a0f-9cad-8cd7-ecd2-aa31b63f12c0</v>
    <v>en-US</v>
    <v>Generic</v>
  </rv>
  <rv s="0">
    <v>805306368</v>
    <v>Mike Lee (Senate)</v>
    <v>f5c85f74-0fbe-5ce1-327f-195c4ef26152</v>
    <v>en-US</v>
    <v>Generic</v>
  </rv>
  <rv s="0">
    <v>805306368</v>
    <v>John Curtis (Senate)</v>
    <v>9fcdc54d-156a-8cde-8ee6-0614a68038b7</v>
    <v>en-US</v>
    <v>Generic</v>
  </rv>
  <rv s="3">
    <v>24</v>
  </rv>
  <rv s="4">
    <v>https://www.bing.com/search?q=utah&amp;form=skydnc</v>
    <v>Learn more on Bing</v>
  </rv>
  <rv s="1">
    <fb>887</fb>
    <v>35</v>
  </rv>
  <rv s="1">
    <fb>60727</fb>
    <v>35</v>
  </rv>
  <rv s="1">
    <fb>215900</fb>
    <v>35</v>
  </rv>
  <rv s="1">
    <fb>3.15</fb>
    <v>30</v>
  </rv>
  <rv s="1">
    <fb>3503613</fb>
    <v>8</v>
  </rv>
  <rv s="1">
    <fb>1.4999999999999999E-2</fb>
    <v>43</v>
  </rv>
  <rv s="1">
    <fb>2.5000000000000001E-2</fb>
    <v>29</v>
  </rv>
  <rv s="1">
    <fb>0.311</fb>
    <v>29</v>
  </rv>
  <rv s="1">
    <fb>1.3000000000000001E-2</fb>
    <v>29</v>
  </rv>
  <rv s="1">
    <fb>8.4000000000000005E-2</fb>
    <v>29</v>
  </rv>
  <rv s="1">
    <fb>0.91200000000000003</fb>
    <v>29</v>
  </rv>
  <rv s="1">
    <fb>0.13699999999999998</fb>
    <v>29</v>
  </rv>
  <rv s="1">
    <fb>0.67700000000000005</fb>
    <v>29</v>
  </rv>
  <rv s="1">
    <fb>0.01</fb>
    <v>29</v>
  </rv>
  <rv s="3">
    <v>25</v>
  </rv>
  <rv s="8">
    <v>#VALUE!</v>
    <v>99</v>
    <v>48</v>
    <v>Utah</v>
    <v>4</v>
    <v>5</v>
    <v>Map</v>
    <v>6</v>
    <v>49</v>
    <v>en-US</v>
    <v>c6705e44-d27f-4240-95a2-54e802e3b524</v>
    <v>536870912</v>
    <v>1</v>
    <v>US-UT</v>
    <v>512</v>
    <v>513</v>
    <v>514</v>
    <v>148</v>
    <v>Utah is a state in the western United States. It is one of the Mountain States, sharing the Four Corners region with Arizona, Colorado, and New Mexico. It also borders Wyoming to the northeast, Idaho to the north, and Nevada to the west. In ...</v>
    <v>515</v>
    <v>516</v>
    <v>517</v>
    <v>514</v>
    <v>522</v>
    <v>523</v>
    <v>524</v>
    <v>525</v>
    <v>526</v>
    <v>Utah</v>
    <v>162</v>
    <v>527</v>
    <v>528</v>
    <v>389</v>
    <v>51</v>
    <v>529</v>
    <v>530</v>
    <v>531</v>
    <v>532</v>
    <v>533</v>
    <v>534</v>
    <v>535</v>
    <v>536</v>
    <v>537</v>
    <v>388</v>
    <v>325</v>
    <v>47</v>
    <v>533</v>
    <v>534</v>
    <v>538</v>
    <v>Utah</v>
    <v>mdp/vdpid/34626</v>
  </rv>
  <rv s="1">
    <fb>110862</fb>
    <v>8</v>
  </rv>
  <rv s="1">
    <fb>31132</fb>
    <v>8</v>
  </rv>
  <rv s="0">
    <v>536870912</v>
    <v>Richmond, Virginia</v>
    <v>59263810-6a82-4930-943c-1fa0693b17b0</v>
    <v>en-US</v>
    <v>Map</v>
  </rv>
  <rv s="1">
    <fb>3062783</fb>
    <v>8</v>
  </rv>
  <rv s="1">
    <fb>3491054</fb>
    <v>8</v>
  </rv>
  <rv s="2">
    <v>16</v>
    <v>6</v>
    <v>100</v>
    <v>7</v>
    <v>0</v>
    <v>Image of Virginia</v>
  </rv>
  <rv s="0">
    <v>536870912</v>
    <v>Virginia Beach, Virginia</v>
    <v>6f1fd4dd-40ef-4ec3-989c-108c9b444996</v>
    <v>en-US</v>
    <v>Map</v>
  </rv>
  <rv s="0">
    <v>805306368</v>
    <v>Glenn Youngkin (Governor)</v>
    <v>b2cd9b8a-2e1b-ec73-3904-5c2f449bdf27</v>
    <v>en-US</v>
    <v>Generic</v>
  </rv>
  <rv s="0">
    <v>805306368</v>
    <v>Winsome Earle-Sears (Lieutenant governor)</v>
    <v>a590d049-99df-2c4d-8b48-583d259e49b9</v>
    <v>en-US</v>
    <v>Generic</v>
  </rv>
  <rv s="0">
    <v>805306368</v>
    <v>Mark Warner (Senate)</v>
    <v>bafe4c69-4773-f0a1-de77-fad6715b4e46</v>
    <v>en-US</v>
    <v>Generic</v>
  </rv>
  <rv s="0">
    <v>805306368</v>
    <v>Tim Kaine (Senate)</v>
    <v>9aab4faa-6ba2-9199-1171-b656b550d012</v>
    <v>en-US</v>
    <v>Generic</v>
  </rv>
  <rv s="3">
    <v>26</v>
  </rv>
  <rv s="4">
    <v>https://www.bing.com/search?q=virginia&amp;form=skydnc</v>
    <v>Learn more on Bing</v>
  </rv>
  <rv s="1">
    <fb>1116</fb>
    <v>35</v>
  </rv>
  <rv s="1">
    <fb>65015</fb>
    <v>35</v>
  </rv>
  <rv s="1">
    <fb>245000</fb>
    <v>35</v>
  </rv>
  <rv s="1">
    <fb>2.62</fb>
    <v>30</v>
  </rv>
  <rv s="1">
    <fb>8811195</fb>
    <v>8</v>
  </rv>
  <rv s="1">
    <fb>0.14199999999999999</fb>
    <v>29</v>
  </rv>
  <rv s="1">
    <fb>0.36299999999999999</fb>
    <v>29</v>
  </rv>
  <rv s="1">
    <fb>0.88300000000000001</fb>
    <v>29</v>
  </rv>
  <rv s="1">
    <fb>0.09</fb>
    <v>29</v>
  </rv>
  <rv s="1">
    <fb>0.64700000000000002</fb>
    <v>29</v>
  </rv>
  <rv s="1">
    <fb>6.0999999999999999E-2</fb>
    <v>29</v>
  </rv>
  <rv s="1">
    <fb>0.70200000000000007</fb>
    <v>29</v>
  </rv>
  <rv s="8">
    <v>#VALUE!</v>
    <v>103</v>
    <v>48</v>
    <v>Virginia</v>
    <v>4</v>
    <v>5</v>
    <v>Map</v>
    <v>6</v>
    <v>49</v>
    <v>en-US</v>
    <v>7eee9976-e8a7-472c-ada1-007208abd678</v>
    <v>536870912</v>
    <v>1</v>
    <v>US-VA</v>
    <v>540</v>
    <v>541</v>
    <v>542</v>
    <v>148</v>
    <v>Virginia, officially the Commonwealth of Virginia, is a state in the Southeastern and Mid-Atlantic regions of the United States between the Atlantic Coast and the Appalachian Mountains. The state's capital is Richmond and its most populous city ...</v>
    <v>543</v>
    <v>544</v>
    <v>545</v>
    <v>546</v>
    <v>551</v>
    <v>552</v>
    <v>553</v>
    <v>554</v>
    <v>555</v>
    <v>Virginia</v>
    <v>162</v>
    <v>556</v>
    <v>557</v>
    <v>50</v>
    <v>558</v>
    <v>236</v>
    <v>170</v>
    <v>559</v>
    <v>270</v>
    <v>445</v>
    <v>560</v>
    <v>561</v>
    <v>562</v>
    <v>234</v>
    <v>360</v>
    <v>210</v>
    <v>480</v>
    <v>563</v>
    <v>564</v>
    <v>11</v>
    <v>Virginia</v>
    <v>mdp/vdpid/35364</v>
  </rv>
  <rv s="1">
    <fb>169640</fb>
    <v>8</v>
  </rv>
  <rv s="1">
    <fb>19274</fb>
    <v>8</v>
  </rv>
  <rv s="0">
    <v>536870912</v>
    <v>Madison, Wisconsin</v>
    <v>65426cc9-93eb-4569-8c2e-3b7c1b070278</v>
    <v>en-US</v>
    <v>Map</v>
  </rv>
  <rv s="1">
    <fb>2299107</fb>
    <v>8</v>
  </rv>
  <rv s="1">
    <fb>2668444</fb>
    <v>8</v>
  </rv>
  <rv s="2">
    <v>17</v>
    <v>6</v>
    <v>104</v>
    <v>7</v>
    <v>0</v>
    <v>Image of Wisconsin</v>
  </rv>
  <rv s="0">
    <v>536870912</v>
    <v>Milwaukee</v>
    <v>9fdb4bdb-6dd4-4dd1-9159-1e8abc73ab65</v>
    <v>en-US</v>
    <v>Map</v>
  </rv>
  <rv s="0">
    <v>805306368</v>
    <v>Tony Evers (Governor)</v>
    <v>a4d4fdcd-e9ac-4b23-8636-43a292c35b66</v>
    <v>en-US</v>
    <v>Generic</v>
  </rv>
  <rv s="0">
    <v>805306368</v>
    <v>Sara Rodriguez (Lieutenant governor)</v>
    <v>4d4d413b-6899-5243-5ea1-275db9b91d6a</v>
    <v>en-US</v>
    <v>Generic</v>
  </rv>
  <rv s="0">
    <v>805306368</v>
    <v>Ron Johnson (Senate)</v>
    <v>9451b73e-ab4e-c84d-6362-8ff17c286608</v>
    <v>en-US</v>
    <v>Generic</v>
  </rv>
  <rv s="0">
    <v>805306368</v>
    <v>Tammy Baldwin (Senate)</v>
    <v>df4c81b2-fcc2-4576-db39-5b0b27c09625</v>
    <v>en-US</v>
    <v>Generic</v>
  </rv>
  <rv s="3">
    <v>27</v>
  </rv>
  <rv s="4">
    <v>https://www.bing.com/search?q=wisconsin&amp;form=skydnc</v>
    <v>Learn more on Bing</v>
  </rv>
  <rv s="1">
    <fb>776</fb>
    <v>35</v>
  </rv>
  <rv s="1">
    <fb>53357</fb>
    <v>35</v>
  </rv>
  <rv s="1">
    <fb>165800</fb>
    <v>35</v>
  </rv>
  <rv s="1">
    <fb>2.4300000000000002</fb>
    <v>30</v>
  </rv>
  <rv s="1">
    <fb>5960975</fb>
    <v>8</v>
  </rv>
  <rv s="1">
    <fb>0.156</fb>
    <v>29</v>
  </rv>
  <rv s="1">
    <fb>1.1000000000000001E-2</fb>
    <v>43</v>
  </rv>
  <rv s="1">
    <fb>0.27800000000000002</fb>
    <v>29</v>
  </rv>
  <rv s="1">
    <fb>0.91</fb>
    <v>29</v>
  </rv>
  <rv s="1">
    <fb>0.67099999999999993</fb>
    <v>29</v>
  </rv>
  <rv s="1">
    <fb>8.199999999999999E-2</fb>
    <v>29</v>
  </rv>
  <rv s="1">
    <fb>0.22399999999999998</fb>
    <v>29</v>
  </rv>
  <rv s="1">
    <fb>0.87599999999999989</fb>
    <v>29</v>
  </rv>
  <rv s="9">
    <v>#VALUE!</v>
    <v>107</v>
    <v>58</v>
    <v>Wisconsin</v>
    <v>4</v>
    <v>5</v>
    <v>Map</v>
    <v>6</v>
    <v>49</v>
    <v>en-US</v>
    <v>cb4d2853-06f4-4467-8e7c-4e31cbb35cb2</v>
    <v>536870912</v>
    <v>1</v>
    <v>US-WI</v>
    <v>566</v>
    <v>567</v>
    <v>568</v>
    <v>148</v>
    <v>Wisconsin is a state in the Great Lakes region of the Upper Midwest of the United States. It borders Minnesota to the west, Iowa to the southwest, Illinois to the south, Lake Michigan to the east, Michigan to the northeast, and Lake Superior to ...</v>
    <v>569</v>
    <v>570</v>
    <v>571</v>
    <v>572</v>
    <v>577</v>
    <v>578</v>
    <v>579</v>
    <v>580</v>
    <v>581</v>
    <v>Wisconsin</v>
    <v>582</v>
    <v>583</v>
    <v>473</v>
    <v>584</v>
    <v>585</v>
    <v>267</v>
    <v>586</v>
    <v>388</v>
    <v>476</v>
    <v>587</v>
    <v>388</v>
    <v>588</v>
    <v>234</v>
    <v>589</v>
    <v>332</v>
    <v>590</v>
    <v>481</v>
    <v>591</v>
    <v>335</v>
    <v>Wisconsin</v>
    <v>mdp/vdpid/36684</v>
  </rv>
  <rv s="1">
    <fb>161.82191399999999</fb>
    <v>8</v>
  </rv>
  <rv s="0">
    <v>536870912</v>
    <v>United States</v>
    <v>e3ef53f2-d302-b22a-64a7-6e0ce65be769</v>
    <v>en-US</v>
    <v>Map</v>
  </rv>
  <rv s="2">
    <v>18</v>
    <v>6</v>
    <v>108</v>
    <v>7</v>
    <v>0</v>
    <v>Image of Richmond, Virginia</v>
  </rv>
  <rv s="1">
    <fb>37.540833333333303</fb>
    <v>9</v>
  </rv>
  <rv s="0">
    <v>805306368</v>
    <v>Danny Avula (Mayor)</v>
    <v>132de1f0-e810-27b5-3081-6c6eaf3da372</v>
    <v>en-US</v>
    <v>Generic</v>
  </rv>
  <rv s="3">
    <v>28</v>
  </rv>
  <rv s="4">
    <v>https://www.bing.com/search?q=richmond+virginia&amp;form=skydnc</v>
    <v>Learn more on Bing</v>
  </rv>
  <rv s="1">
    <fb>-77.436666666666696</fb>
    <v>9</v>
  </rv>
  <rv s="1">
    <fb>226610</fb>
    <v>8</v>
  </rv>
  <rv s="5">
    <v>#VALUE!</v>
    <v>109</v>
    <v>2</v>
    <v>Richmond, Virginia</v>
    <v>4</v>
    <v>5</v>
    <v>Map</v>
    <v>6</v>
    <v>7</v>
    <v>en-US</v>
    <v>59263810-6a82-4930-943c-1fa0693b17b0</v>
    <v>536870912</v>
    <v>1</v>
    <v>98</v>
    <v>593</v>
    <v>594</v>
    <v>Richmond is the capital city of the U.S. commonwealth of Virginia. Incorporated in 1742, Richmond has been an independent city since 1871. The city's population in the 2020 United States census was 226,610, up from 204,214 in 2010, making it ...</v>
    <v>595</v>
    <v>596</v>
    <v>598</v>
    <v>599</v>
    <v>600</v>
    <v>Richmond, Virginia</v>
    <v>601</v>
    <v>11</v>
    <v>Richmond, Virginia</v>
    <v>mdp/vdpid/10037721</v>
  </rv>
  <rv s="0">
    <v>536870912</v>
    <v>Burnaby</v>
    <v>459ea431-9eb1-865e-bc96-1ec1e155ee9e</v>
    <v>en-US</v>
    <v>Map</v>
  </rv>
  <rv s="0">
    <v>536870912</v>
    <v>British Columbia</v>
    <v>32a8fd1c-cd9d-0da9-35fb-f952ed824d4f</v>
    <v>en-US</v>
    <v>Map</v>
  </rv>
  <rv s="0">
    <v>536870912</v>
    <v>Metro Vancouver Regional District</v>
    <v>b31526f7-e7da-ece2-8722-ac71bfe24ef9</v>
    <v>en-US</v>
    <v>Map</v>
  </rv>
  <rv s="1">
    <fb>90.61</fb>
    <v>8</v>
  </rv>
  <rv s="0">
    <v>536870912</v>
    <v>Canada</v>
    <v>370ed614-32e1-4326-a356-dc0a7dd56aaa</v>
    <v>en-US</v>
    <v>Map</v>
  </rv>
  <rv s="2">
    <v>19</v>
    <v>6</v>
    <v>111</v>
    <v>7</v>
    <v>0</v>
    <v>Image of Burnaby</v>
  </rv>
  <rv s="1">
    <fb>49.25</fb>
    <v>9</v>
  </rv>
  <rv s="0">
    <v>805306368</v>
    <v>Mike Hurley (Mayor)</v>
    <v>96783d57-12bc-1a0e-1dce-b0d44acfc7a7</v>
    <v>en-US</v>
    <v>Generic</v>
  </rv>
  <rv s="3">
    <v>29</v>
  </rv>
  <rv s="4">
    <v>https://www.bing.com/search?q=burnaby&amp;form=skydnc</v>
    <v>Learn more on Bing</v>
  </rv>
  <rv s="1">
    <fb>-122.949167</fb>
    <v>9</v>
  </rv>
  <rv s="1">
    <fb>249125</fb>
    <v>8</v>
  </rv>
  <rv s="11">
    <v>#VALUE!</v>
    <v>112</v>
    <v>113</v>
    <v>Burnaby</v>
    <v>4</v>
    <v>5</v>
    <v>Map</v>
    <v>6</v>
    <v>114</v>
    <v>en-US</v>
    <v>459ea431-9eb1-865e-bc96-1ec1e155ee9e</v>
    <v>536870912</v>
    <v>1</v>
    <v>604</v>
    <v>605</v>
    <v>606</v>
    <v>607</v>
    <v>Burnaby is a city in the Lower Mainland region of British Columbia, Canada. Located in the centre of the Burrard Peninsula, it neighbours the City of Vancouver to the west, the District of North Vancouver across the confluence of the Burrard ...</v>
    <v>608</v>
    <v>609</v>
    <v>611</v>
    <v>612</v>
    <v>613</v>
    <v>Burnaby</v>
    <v>614</v>
    <v>180</v>
    <v>Burnaby</v>
    <v>mdp/vdpid/4859512808464711681</v>
  </rv>
  <rv s="1">
    <fb>6.8918382450780802E-2</fb>
    <v>29</v>
  </rv>
  <rv s="1">
    <fb>9984670</fb>
    <v>8</v>
  </rv>
  <rv s="1">
    <fb>72000</fb>
    <v>8</v>
  </rv>
  <rv s="1">
    <fb>10.1</fb>
    <v>30</v>
  </rv>
  <rv s="0">
    <v>536870912</v>
    <v>Ottawa</v>
    <v>3f2544d2-4937-9101-2f53-621199e253e5</v>
    <v>en-US</v>
    <v>Map</v>
  </rv>
  <rv s="1">
    <fb>544894.19799999997</fb>
    <v>8</v>
  </rv>
  <rv s="1">
    <fb>116.75729822552999</fb>
    <v>32</v>
  </rv>
  <rv s="1">
    <fb>1.9492690241159599E-2</fb>
    <v>29</v>
  </rv>
  <rv s="1">
    <fb>15588.4871464315</fb>
    <v>8</v>
  </rv>
  <rv s="1">
    <fb>1.4987999999999999</fb>
    <v>30</v>
  </rv>
  <rv s="1">
    <fb>0.38161546668997998</fb>
    <v>29</v>
  </rv>
  <rv s="1">
    <fb>74.089062024805997</fb>
    <v>33</v>
  </rv>
  <rv s="1">
    <fb>0.81</fb>
    <v>34</v>
  </rv>
  <rv s="1">
    <fb>1736425629519.96</fb>
    <v>35</v>
  </rv>
  <rv s="1">
    <fb>1.0094368</fb>
    <v>29</v>
  </rv>
  <rv s="1">
    <fb>0.68922510000000003</fb>
    <v>29</v>
  </rv>
  <rv s="2">
    <v>20</v>
    <v>6</v>
    <v>116</v>
    <v>7</v>
    <v>0</v>
    <v>Image of Canada</v>
  </rv>
  <rv s="1">
    <fb>4.3</fb>
    <v>33</v>
  </rv>
  <rv s="0">
    <v>536870912</v>
    <v>Toronto</v>
    <v>e9c1d78f-effd-4cbf-af56-ce709763b200</v>
    <v>en-US</v>
    <v>Map</v>
  </rv>
  <rv s="0">
    <v>805306368</v>
    <v>Charles III (Monarch)</v>
    <v>afc6f6a9-5b55-9178-3e6f-2c8b6d16ee9c</v>
    <v>en-US</v>
    <v>Generic</v>
  </rv>
  <rv s="0">
    <v>805306368</v>
    <v>Justin Trudeau (Prime minister)</v>
    <v>d37aba31-28d1-b943-f0c6-dbddeb460528</v>
    <v>en-US</v>
    <v>Generic</v>
  </rv>
  <rv s="3">
    <v>30</v>
  </rv>
  <rv s="4">
    <v>https://www.bing.com/search?q=canada+country&amp;form=skydnc</v>
    <v>Learn more on Bing</v>
  </rv>
  <rv s="1">
    <fb>81.948780487804896</fb>
    <v>33</v>
  </rv>
  <rv s="1">
    <fb>1937902710000</fb>
    <v>35</v>
  </rv>
  <rv s="1">
    <fb>10</fb>
    <v>33</v>
  </rv>
  <rv s="1">
    <fb>9.51</fb>
    <v>34</v>
  </rv>
  <rv s="3">
    <v>31</v>
  </rv>
  <rv s="1">
    <fb>0.1458492763</fb>
    <v>29</v>
  </rv>
  <rv s="1">
    <fb>2.6101999999999999</fb>
    <v>30</v>
  </rv>
  <rv s="1">
    <fb>38929902</fb>
    <v>8</v>
  </rv>
  <rv s="1">
    <fb>0.251</fb>
    <v>29</v>
  </rv>
  <rv s="1">
    <fb>0.40600000000000003</fb>
    <v>29</v>
  </rv>
  <rv s="1">
    <fb>6.7000000000000004E-2</fb>
    <v>29</v>
  </rv>
  <rv s="1">
    <fb>0.124</fb>
    <v>29</v>
  </rv>
  <rv s="1">
    <fb>0.65070999145507802</fb>
    <v>29</v>
  </rv>
  <rv s="0">
    <v>536870912</v>
    <v>Ontario</v>
    <v>070ad921-224a-9ed5-6fe1-8eab57b4b2e7</v>
    <v>en-US</v>
    <v>Map</v>
  </rv>
  <rv s="0">
    <v>536870912</v>
    <v>Quebec</v>
    <v>32da1fe8-6bb5-f40e-e008-82becf7ef390</v>
    <v>en-US</v>
    <v>Map</v>
  </rv>
  <rv s="0">
    <v>536870912</v>
    <v>Nova Scotia</v>
    <v>baa4aedd-bbb6-989e-cba4-ec2c9bdd906a</v>
    <v>en-US</v>
    <v>Map</v>
  </rv>
  <rv s="0">
    <v>536870912</v>
    <v>New Brunswick</v>
    <v>ed967bed-da27-9206-2407-d4e698015192</v>
    <v>en-US</v>
    <v>Map</v>
  </rv>
  <rv s="0">
    <v>536870912</v>
    <v>Manitoba</v>
    <v>21c9c883-dcc4-1490-a815-79c6eb525369</v>
    <v>en-US</v>
    <v>Map</v>
  </rv>
  <rv s="0">
    <v>536870912</v>
    <v>Newfoundland and Labrador</v>
    <v>895215e2-2c65-6494-fa6a-1f441a39ac4f</v>
    <v>en-US</v>
    <v>Map</v>
  </rv>
  <rv s="0">
    <v>536870912</v>
    <v>Prince Edward Island</v>
    <v>4e4aadcb-4928-0762-e307-bc01ba8f3dfb</v>
    <v>en-US</v>
    <v>Map</v>
  </rv>
  <rv s="0">
    <v>536870912</v>
    <v>Saskatchewan</v>
    <v>ec7108bb-bd34-c969-f3f2-2a9eed70102e</v>
    <v>en-US</v>
    <v>Map</v>
  </rv>
  <rv s="0">
    <v>536870912</v>
    <v>Alberta</v>
    <v>ac4b7d59-c4be-889f-9a45-7e7c524794ec</v>
    <v>en-US</v>
    <v>Map</v>
  </rv>
  <rv s="0">
    <v>536870912</v>
    <v>Yukon</v>
    <v>68d0a1b9-92a8-857c-53f4-9150cd050ece</v>
    <v>en-US</v>
    <v>Map</v>
  </rv>
  <rv s="0">
    <v>536870912</v>
    <v>Northwest Territories</v>
    <v>2e2284ce-2cc1-0b16-10e6-0783ada7c95b</v>
    <v>en-US</v>
    <v>Map</v>
  </rv>
  <rv s="0">
    <v>536870912</v>
    <v>Nunavut</v>
    <v>5220a5b2-1244-23fe-9851-d4b0373ac92e</v>
    <v>en-US</v>
    <v>Map</v>
  </rv>
  <rv s="3">
    <v>32</v>
  </rv>
  <rv s="1">
    <fb>0.12844017475747799</fb>
    <v>29</v>
  </rv>
  <rv s="3">
    <v>33</v>
  </rv>
  <rv s="1">
    <fb>5.5640001296997095E-2</fb>
    <v>36</v>
  </rv>
  <rv s="1">
    <fb>30628482</fb>
    <v>8</v>
  </rv>
  <rv s="6">
    <v>#VALUE!</v>
    <v>119</v>
    <v>27</v>
    <v>Canada</v>
    <v>4</v>
    <v>5</v>
    <v>Map</v>
    <v>6</v>
    <v>120</v>
    <v>en-US</v>
    <v>370ed614-32e1-4326-a356-dc0a7dd56aaa</v>
    <v>536870912</v>
    <v>1</v>
    <v>CA</v>
    <v>616</v>
    <v>617</v>
    <v>618</v>
    <v>619</v>
    <v>17</v>
    <v>620</v>
    <v>621</v>
    <v>622</v>
    <v>623</v>
    <v>CAD</v>
    <v>Canada is a country in North America. Its ten provinces and three territories extend from the Atlantic Ocean to the Pacific Ocean and northward into the Arctic Ocean, making it the world's second-largest country by total area, with the world's ...</v>
    <v>624</v>
    <v>625</v>
    <v>626</v>
    <v>627</v>
    <v>628</v>
    <v>629</v>
    <v>630</v>
    <v>631</v>
    <v>632</v>
    <v>633</v>
    <v>634</v>
    <v>637</v>
    <v>638</v>
    <v>639</v>
    <v>640</v>
    <v>641</v>
    <v>642</v>
    <v>Canada</v>
    <v>O Canada</v>
    <v>643</v>
    <v>Canada</v>
    <v>644</v>
    <v>645</v>
    <v>646</v>
    <v>178</v>
    <v>647</v>
    <v>648</v>
    <v>325</v>
    <v>649</v>
    <v>650</v>
    <v>441</v>
    <v>651</v>
    <v>664</v>
    <v>665</v>
    <v>666</v>
    <v>272</v>
    <v>667</v>
    <v>Canada</v>
    <v>668</v>
    <v>mdp/vdpid/39</v>
  </rv>
  <rv s="1">
    <fb>1076395</fb>
    <v>8</v>
  </rv>
  <rv s="1">
    <fb>2498691</fb>
    <v>8</v>
  </rv>
  <rv s="1">
    <fb>5169175</fb>
    <v>8</v>
  </rv>
  <rv s="1">
    <fb>5169174</fb>
    <v>8</v>
  </rv>
  <rv s="2">
    <v>21</v>
    <v>6</v>
    <v>121</v>
    <v>7</v>
    <v>0</v>
    <v>Image of Ontario</v>
  </rv>
  <rv s="0">
    <v>805306368</v>
    <v>Elizabeth Dowdeswell (Lieutenant governor)</v>
    <v>6b312e0c-679a-9523-3920-dd9fb0590e19</v>
    <v>en-US</v>
    <v>Generic</v>
  </rv>
  <rv s="0">
    <v>805306368</v>
    <v>Doug Ford (Premier)</v>
    <v>a00bb1b1-ce9d-bf65-c540-5e730be40cb9</v>
    <v>en-US</v>
    <v>Generic</v>
  </rv>
  <rv s="3">
    <v>34</v>
  </rv>
  <rv s="4">
    <v>https://www.bing.com/search?q=ontario+canada&amp;form=skydnc</v>
    <v>Learn more on Bing</v>
  </rv>
  <rv s="1">
    <fb>83160</fb>
    <v>128</v>
  </rv>
  <rv s="3">
    <v>35</v>
  </rv>
  <rv s="1">
    <fb>2.6</fb>
    <v>30</v>
  </rv>
  <rv s="1">
    <fb>14733119</fb>
    <v>8</v>
  </rv>
  <rv s="12">
    <v>#VALUE!</v>
    <v>125</v>
    <v>126</v>
    <v>Ontario</v>
    <v>4</v>
    <v>5</v>
    <v>Map</v>
    <v>6</v>
    <v>127</v>
    <v>en-US</v>
    <v>070ad921-224a-9ed5-6fe1-8eab57b4b2e7</v>
    <v>536870912</v>
    <v>1</v>
    <v>CA-ON</v>
    <v>670</v>
    <v>671</v>
    <v>634</v>
    <v>607</v>
    <v>Ontario is the southernmost province of Canada. Located in Central Canada, Ontario is the country's most populous province. As of the 2021 Canadian census, it is home to 38.5 per cent of the country's population, and is the second-largest ...</v>
    <v>672</v>
    <v>673</v>
    <v>674</v>
    <v>634</v>
    <v>677</v>
    <v>678</v>
    <v>679</v>
    <v>Ontario</v>
    <v>680</v>
    <v>681</v>
    <v>682</v>
    <v>278</v>
    <v>Ontario</v>
    <v>mdp/vdpid/24465</v>
  </rv>
  <rv s="0">
    <v>536870912</v>
    <v>Hamilton, Ontario</v>
    <v>87c4ee59-c759-1660-3cef-413c50c5f7b8</v>
    <v>en-US</v>
    <v>Map</v>
  </rv>
  <rv s="1">
    <fb>1138</fb>
    <v>8</v>
  </rv>
  <rv s="0">
    <v>536870912</v>
    <v>Canada</v>
    <v>7b335d44-d55c-47de-6f99-333df6b0c2a7</v>
    <v>en-US</v>
    <v>Map</v>
  </rv>
  <rv s="2">
    <v>22</v>
    <v>6</v>
    <v>130</v>
    <v>7</v>
    <v>0</v>
    <v>Image of Hamilton, Ontario</v>
  </rv>
  <rv s="1">
    <fb>43.256666666667002</fb>
    <v>9</v>
  </rv>
  <rv s="0">
    <v>805306368</v>
    <v>Andrea Horwath (Mayor)</v>
    <v>ced56583-9be1-ad65-2c09-1dfda26d83a6</v>
    <v>en-US</v>
    <v>Generic</v>
  </rv>
  <rv s="3">
    <v>36</v>
  </rv>
  <rv s="4">
    <v>https://www.bing.com/search?q=hamilton+ontario&amp;form=skydnc</v>
    <v>Learn more on Bing</v>
  </rv>
  <rv s="1">
    <fb>-79.869166666666999</fb>
    <v>9</v>
  </rv>
  <rv s="1">
    <fb>569353</fb>
    <v>8</v>
  </rv>
  <rv s="5">
    <v>#VALUE!</v>
    <v>131</v>
    <v>2</v>
    <v>Hamilton, Ontario</v>
    <v>4</v>
    <v>5</v>
    <v>Map</v>
    <v>6</v>
    <v>114</v>
    <v>en-US</v>
    <v>87c4ee59-c759-1660-3cef-413c50c5f7b8</v>
    <v>536870912</v>
    <v>1</v>
    <v>652</v>
    <v>685</v>
    <v>686</v>
    <v>Hamilton is a port city in the Canadian province of Ontario. Hamilton has a population of 569,353, and its census metropolitan area, which encompasses Burlington and Grimsby, has a population of 785,184. The city is situated approximately 45 ...</v>
    <v>687</v>
    <v>688</v>
    <v>690</v>
    <v>691</v>
    <v>692</v>
    <v>Hamilton, Ontario</v>
    <v>693</v>
    <v>11</v>
    <v>Hamilton, Ontario</v>
    <v>mdp/vdpid/5479628493698367489</v>
  </rv>
  <rv s="0">
    <v>536870912</v>
    <v>Japan</v>
    <v>130d0438-fafb-cd2d-1a9e-1dd9c5aa87a9</v>
    <v>en-US</v>
    <v>Map</v>
  </rv>
  <rv s="1">
    <fb>0.122640991880623</fb>
    <v>29</v>
  </rv>
  <rv s="1">
    <fb>377972.28</fb>
    <v>8</v>
  </rv>
  <rv s="1">
    <fb>261000</fb>
    <v>8</v>
  </rv>
  <rv s="1">
    <fb>7.4</fb>
    <v>30</v>
  </rv>
  <rv s="1">
    <fb>81</fb>
    <v>31</v>
  </rv>
  <rv s="0">
    <v>536870912</v>
    <v>Tokyo</v>
    <v>cb44a92f-6c6f-99c4-2ae3-51601fdc919a</v>
    <v>en-US</v>
    <v>Map</v>
  </rv>
  <rv s="1">
    <fb>1135886.253</fb>
    <v>8</v>
  </rv>
  <rv s="1">
    <fb>105.482172148839</fb>
    <v>32</v>
  </rv>
  <rv s="1">
    <fb>4.7697368421052103E-3</fb>
    <v>29</v>
  </rv>
  <rv s="1">
    <fb>7819.7146359093604</fb>
    <v>8</v>
  </rv>
  <rv s="1">
    <fb>1.42</fb>
    <v>30</v>
  </rv>
  <rv s="1">
    <fb>0.68456222269653788</fb>
    <v>29</v>
  </rv>
  <rv s="1">
    <fb>93.026455107462894</fb>
    <v>33</v>
  </rv>
  <rv s="1">
    <fb>1.06</fb>
    <v>34</v>
  </rv>
  <rv s="1">
    <fb>5081769542379.7695</fb>
    <v>35</v>
  </rv>
  <rv s="1">
    <fb>0.98799942016601605</fb>
    <v>29</v>
  </rv>
  <rv s="1">
    <fb>0.63237579345703099</fb>
    <v>29</v>
  </rv>
  <rv s="2">
    <v>23</v>
    <v>6</v>
    <v>133</v>
    <v>7</v>
    <v>0</v>
    <v>Image of Japan</v>
  </rv>
  <rv s="1">
    <fb>1.8</fb>
    <v>33</v>
  </rv>
  <rv s="0">
    <v>805306368</v>
    <v>Naruhito (Emperor)</v>
    <v>35e4e13c-2b05-0c5c-8b77-bb62a3da4162</v>
    <v>en-US</v>
    <v>Generic</v>
  </rv>
  <rv s="0">
    <v>805306368</v>
    <v>Shigeru Ishiba (Prime minister)</v>
    <v>dddb9483-d8cc-cc64-0dc3-9b8261eb78ec</v>
    <v>en-US</v>
    <v>Generic</v>
  </rv>
  <rv s="3">
    <v>37</v>
  </rv>
  <rv s="4">
    <v>https://www.bing.com/search?q=japan&amp;form=skydnc</v>
    <v>Learn more on Bing</v>
  </rv>
  <rv s="1">
    <fb>84.210975609756105</fb>
    <v>33</v>
  </rv>
  <rv s="1">
    <fb>6191073290000</fb>
    <v>35</v>
  </rv>
  <rv s="1">
    <fb>5</fb>
    <v>33</v>
  </rv>
  <rv s="1">
    <fb>6.77</fb>
    <v>34</v>
  </rv>
  <rv s="3">
    <v>38</v>
  </rv>
  <rv s="1">
    <fb>0.13097521000000001</fb>
    <v>29</v>
  </rv>
  <rv s="1">
    <fb>2.4115000000000002</fb>
    <v>30</v>
  </rv>
  <rv s="1">
    <fb>125124989</fb>
    <v>8</v>
  </rv>
  <rv s="1">
    <fb>0.217</fb>
    <v>29</v>
  </rv>
  <rv s="1">
    <fb>0.26400000000000001</fb>
    <v>29</v>
  </rv>
  <rv s="1">
    <fb>0.41100000000000003</fb>
    <v>29</v>
  </rv>
  <rv s="1">
    <fb>0.61726001739502001</fb>
    <v>29</v>
  </rv>
  <rv s="0">
    <v>536870912</v>
    <v>Aichi Prefecture</v>
    <v>404b15c4-d9ae-5896-6d50-b1481f5dd5cd</v>
    <v>en-US</v>
    <v>Map</v>
  </rv>
  <rv s="0">
    <v>536870912</v>
    <v>Akita Prefecture</v>
    <v>23901f9e-0010-b10e-217f-76889688c150</v>
    <v>en-US</v>
    <v>Map</v>
  </rv>
  <rv s="0">
    <v>536870912</v>
    <v>Aomori Prefecture</v>
    <v>bdd4a43f-5a1f-1483-b74b-1c2e2d564a31</v>
    <v>en-US</v>
    <v>Map</v>
  </rv>
  <rv s="0">
    <v>536870912</v>
    <v>Chiba Prefecture</v>
    <v>0d6c59a9-daa8-57c7-3846-568b398d3c41</v>
    <v>en-US</v>
    <v>Map</v>
  </rv>
  <rv s="0">
    <v>536870912</v>
    <v>Fukui Prefecture</v>
    <v>e859104b-0d73-b8bf-c4f4-56888a2281cd</v>
    <v>en-US</v>
    <v>Map</v>
  </rv>
  <rv s="0">
    <v>536870912</v>
    <v>Fukushima Prefecture</v>
    <v>73791ec1-3b90-e21b-3cc7-0e8444934877</v>
    <v>en-US</v>
    <v>Map</v>
  </rv>
  <rv s="0">
    <v>536870912</v>
    <v>Gunma Prefecture</v>
    <v>b64077a0-378d-c23f-b45c-2b3a03cba119</v>
    <v>en-US</v>
    <v>Map</v>
  </rv>
  <rv s="0">
    <v>536870912</v>
    <v>Ibaraki Prefecture</v>
    <v>d16517c8-96b5-094f-f4ce-4aa391d6c7a2</v>
    <v>en-US</v>
    <v>Map</v>
  </rv>
  <rv s="0">
    <v>536870912</v>
    <v>Iwate Prefecture</v>
    <v>02eea5a7-6ae7-8bf6-a17a-c242b4162121</v>
    <v>en-US</v>
    <v>Map</v>
  </rv>
  <rv s="0">
    <v>536870912</v>
    <v>Miyagi Prefecture</v>
    <v>2df5e06d-7fb5-6da7-5d3b-29b4ff80395e</v>
    <v>en-US</v>
    <v>Map</v>
  </rv>
  <rv s="0">
    <v>536870912</v>
    <v>Saitama Prefecture</v>
    <v>03a81bc6-6fd0-fac9-0958-cd81fcf07a35</v>
    <v>en-US</v>
    <v>Map</v>
  </rv>
  <rv s="0">
    <v>536870912</v>
    <v>Tochigi Prefecture</v>
    <v>faae3362-0727-4ec5-6d01-3048e7e1526c</v>
    <v>en-US</v>
    <v>Map</v>
  </rv>
  <rv s="0">
    <v>536870912</v>
    <v>Kanagawa Prefecture</v>
    <v>d5976989-847c-bcca-3cb3-11bfacc55c5d</v>
    <v>en-US</v>
    <v>Map</v>
  </rv>
  <rv s="0">
    <v>536870912</v>
    <v>Niigata Prefecture</v>
    <v>d88c2b16-14cc-3861-9ddc-31ebd94b17d9</v>
    <v>en-US</v>
    <v>Map</v>
  </rv>
  <rv s="0">
    <v>536870912</v>
    <v>Toyama Prefecture</v>
    <v>3fd9a341-4706-cc8a-3953-779219c2cc10</v>
    <v>en-US</v>
    <v>Map</v>
  </rv>
  <rv s="0">
    <v>536870912</v>
    <v>Ishikawa Prefecture</v>
    <v>db2b14c2-e9db-32f7-5d44-025637689af0</v>
    <v>en-US</v>
    <v>Map</v>
  </rv>
  <rv s="0">
    <v>536870912</v>
    <v>Yamagata Prefecture</v>
    <v>74d18529-a623-a2f9-9e38-40891e57c7d8</v>
    <v>en-US</v>
    <v>Map</v>
  </rv>
  <rv s="0">
    <v>536870912</v>
    <v>Yamanashi Prefecture</v>
    <v>3e9e0d88-33e9-a04d-7fd7-a1679da279b5</v>
    <v>en-US</v>
    <v>Map</v>
  </rv>
  <rv s="0">
    <v>536870912</v>
    <v>Nagano Prefecture</v>
    <v>7afcd7d0-3729-6e2f-d60f-ace5cc191bd0</v>
    <v>en-US</v>
    <v>Map</v>
  </rv>
  <rv s="0">
    <v>536870912</v>
    <v>Gifu Prefecture</v>
    <v>2c82ed6b-33c4-4355-bd09-71939ba5ff4a</v>
    <v>en-US</v>
    <v>Map</v>
  </rv>
  <rv s="0">
    <v>536870912</v>
    <v>Shizuoka Prefecture</v>
    <v>ca8ec756-8a3c-20a2-7e11-d24e284b7258</v>
    <v>en-US</v>
    <v>Map</v>
  </rv>
  <rv s="0">
    <v>536870912</v>
    <v>Mie Prefecture</v>
    <v>36b5c190-9782-f717-071c-66ee3f0eab90</v>
    <v>en-US</v>
    <v>Map</v>
  </rv>
  <rv s="0">
    <v>536870912</v>
    <v>Shiga Prefecture</v>
    <v>a778bb7c-b03b-d571-1839-962c4dea2bb2</v>
    <v>en-US</v>
    <v>Map</v>
  </rv>
  <rv s="0">
    <v>536870912</v>
    <v>Kyoto Prefecture</v>
    <v>699d1960-1267-7c97-6c62-e139537430a0</v>
    <v>en-US</v>
    <v>Map</v>
  </rv>
  <rv s="0">
    <v>536870912</v>
    <v>Osaka Prefecture</v>
    <v>a583e9fe-2d16-b004-281e-4c6841471145</v>
    <v>en-US</v>
    <v>Map</v>
  </rv>
  <rv s="0">
    <v>536870912</v>
    <v>Hyōgo Prefecture</v>
    <v>018712db-aec7-3894-1042-cbf5df14fac5</v>
    <v>en-US</v>
    <v>Map</v>
  </rv>
  <rv s="0">
    <v>536870912</v>
    <v>Nara Prefecture</v>
    <v>99c4ba8c-9fb8-efe8-6368-0eb648372fb2</v>
    <v>en-US</v>
    <v>Map</v>
  </rv>
  <rv s="0">
    <v>536870912</v>
    <v>Wakayama Prefecture</v>
    <v>fa064941-15ba-eb91-63a1-7e13f0aaa879</v>
    <v>en-US</v>
    <v>Map</v>
  </rv>
  <rv s="0">
    <v>536870912</v>
    <v>Tottori Prefecture</v>
    <v>5bfbddb8-df0b-1d9c-3772-363d9be5878a</v>
    <v>en-US</v>
    <v>Map</v>
  </rv>
  <rv s="0">
    <v>536870912</v>
    <v>Shimane Prefecture</v>
    <v>580cd2e8-a550-7297-21b8-252fe27c1650</v>
    <v>en-US</v>
    <v>Map</v>
  </rv>
  <rv s="0">
    <v>536870912</v>
    <v>Okayama Prefecture</v>
    <v>e9792cdf-f004-a2bf-db55-28eabec2a7c0</v>
    <v>en-US</v>
    <v>Map</v>
  </rv>
  <rv s="0">
    <v>536870912</v>
    <v>Hiroshima Prefecture</v>
    <v>75de6a1b-763c-40ed-8e98-60dc318775fc</v>
    <v>en-US</v>
    <v>Map</v>
  </rv>
  <rv s="0">
    <v>536870912</v>
    <v>Yamaguchi Prefecture</v>
    <v>8a70f93f-b3cb-6430-8962-9b62c21575f3</v>
    <v>en-US</v>
    <v>Map</v>
  </rv>
  <rv s="0">
    <v>536870912</v>
    <v>Tokushima Prefecture</v>
    <v>90ca77f2-2c01-cf7e-fb1e-58a68f9fc0bf</v>
    <v>en-US</v>
    <v>Map</v>
  </rv>
  <rv s="0">
    <v>536870912</v>
    <v>Kagawa Prefecture</v>
    <v>bdd9ba22-f775-2984-6115-5438af268070</v>
    <v>en-US</v>
    <v>Map</v>
  </rv>
  <rv s="0">
    <v>536870912</v>
    <v>Ehime Prefecture</v>
    <v>0e0b1bbf-5926-d5dc-0e10-24f8c566ca8c</v>
    <v>en-US</v>
    <v>Map</v>
  </rv>
  <rv s="0">
    <v>536870912</v>
    <v>Kōchi Prefecture</v>
    <v>3fcb8073-d695-79de-cd11-91dc78fb0481</v>
    <v>en-US</v>
    <v>Map</v>
  </rv>
  <rv s="0">
    <v>536870912</v>
    <v>Fukuoka Prefecture</v>
    <v>a58bcb0e-97b3-0ac9-f0c0-e119441e5cba</v>
    <v>en-US</v>
    <v>Map</v>
  </rv>
  <rv s="0">
    <v>536870912</v>
    <v>Nagasaki Prefecture</v>
    <v>8caf62a2-006c-dde2-9c4d-e19d90ff2f0e</v>
    <v>en-US</v>
    <v>Map</v>
  </rv>
  <rv s="0">
    <v>536870912</v>
    <v>Kumamoto Prefecture</v>
    <v>52bcf337-792b-3880-8875-847fe25699df</v>
    <v>en-US</v>
    <v>Map</v>
  </rv>
  <rv s="0">
    <v>536870912</v>
    <v>Ōita Prefecture</v>
    <v>c81f03fa-05e5-d708-3db6-3b6d5ed92f67</v>
    <v>en-US</v>
    <v>Map</v>
  </rv>
  <rv s="0">
    <v>536870912</v>
    <v>Miyazaki Prefecture</v>
    <v>3bb91686-f345-53cf-6fb8-97d98890dc7d</v>
    <v>en-US</v>
    <v>Map</v>
  </rv>
  <rv s="0">
    <v>536870912</v>
    <v>Kagoshima Prefecture</v>
    <v>c3e1f2d9-0225-9e77-d77d-952bbf72ceb7</v>
    <v>en-US</v>
    <v>Map</v>
  </rv>
  <rv s="0">
    <v>536870912</v>
    <v>Okinawa Prefecture</v>
    <v>e26094bf-30f4-9d5e-ed21-f166be1cfad3</v>
    <v>en-US</v>
    <v>Map</v>
  </rv>
  <rv s="0">
    <v>536870912</v>
    <v>Saga Prefecture</v>
    <v>171c9320-6b1a-2ebc-2002-85b3d707f979</v>
    <v>en-US</v>
    <v>Map</v>
  </rv>
  <rv s="3">
    <v>39</v>
  </rv>
  <rv s="1">
    <fb>0.11905933830538</fb>
    <v>29</v>
  </rv>
  <rv s="3">
    <v>40</v>
  </rv>
  <rv s="1">
    <fb>0.46700000000000003</fb>
    <v>29</v>
  </rv>
  <rv s="1">
    <fb>2.2909998893737803E-2</fb>
    <v>36</v>
  </rv>
  <rv s="1">
    <fb>115782416</fb>
    <v>8</v>
  </rv>
  <rv s="6">
    <v>#VALUE!</v>
    <v>136</v>
    <v>27</v>
    <v>Japan</v>
    <v>4</v>
    <v>5</v>
    <v>Map</v>
    <v>6</v>
    <v>137</v>
    <v>en-US</v>
    <v>130d0438-fafb-cd2d-1a9e-1dd9c5aa87a9</v>
    <v>536870912</v>
    <v>1</v>
    <v>JP</v>
    <v>696</v>
    <v>697</v>
    <v>698</v>
    <v>699</v>
    <v>700</v>
    <v>701</v>
    <v>702</v>
    <v>703</v>
    <v>704</v>
    <v>JPY</v>
    <v>Japan is an island country in East Asia. Located in the Pacific Ocean off the northeast coast of the Asian mainland, it is bordered on the west by the Sea of Japan and extends from the Sea of Okhotsk in the north to the East China Sea in the ...</v>
    <v>705</v>
    <v>706</v>
    <v>707</v>
    <v>708</v>
    <v>709</v>
    <v>710</v>
    <v>711</v>
    <v>712</v>
    <v>713</v>
    <v>714</v>
    <v>701</v>
    <v>717</v>
    <v>718</v>
    <v>719</v>
    <v>720</v>
    <v>721</v>
    <v>722</v>
    <v>Japan</v>
    <v>Kimigayo</v>
    <v>723</v>
    <v>日本国</v>
    <v>724</v>
    <v>725</v>
    <v>726</v>
    <v>727</v>
    <v>728</v>
    <v>729</v>
    <v>210</v>
    <v>360</v>
    <v>297</v>
    <v>505</v>
    <v>730</v>
    <v>776</v>
    <v>777</v>
    <v>778</v>
    <v>779</v>
    <v>780</v>
    <v>Japan</v>
    <v>781</v>
    <v>mdp/vdpid/122</v>
  </rv>
  <rv s="1">
    <fb>2194.0500000000002</fb>
    <v>8</v>
  </rv>
  <rv s="0">
    <v>536870912</v>
    <v>Special wards of Tokyo</v>
    <v>991a398b-acba-89c9-84b8-4eb77b3886d7</v>
    <v>en-US</v>
    <v>Map</v>
  </rv>
  <rv s="2">
    <v>24</v>
    <v>6</v>
    <v>138</v>
    <v>7</v>
    <v>0</v>
    <v>Image of Tokyo</v>
  </rv>
  <rv s="0">
    <v>536870912</v>
    <v>Shinjuku</v>
    <v>5632a22f-8419-6fb3-4f39-59c7c6326f8c</v>
    <v>en-US</v>
    <v>Map</v>
  </rv>
  <rv s="0">
    <v>805306368</v>
    <v>Yuriko Koike (Governor)</v>
    <v>3529b845-857d-a726-e527-f3385928e06a</v>
    <v>en-US</v>
    <v>Generic</v>
  </rv>
  <rv s="3">
    <v>41</v>
  </rv>
  <rv s="4">
    <v>https://www.bing.com/search?q=tokyo&amp;form=skydnc</v>
    <v>Learn more on Bing</v>
  </rv>
  <rv s="1">
    <fb>14187176</fb>
    <v>8</v>
  </rv>
  <rv s="13">
    <v>#VALUE!</v>
    <v>140</v>
    <v>141</v>
    <v>Tokyo</v>
    <v>4</v>
    <v>5</v>
    <v>Map</v>
    <v>6</v>
    <v>142</v>
    <v>en-US</v>
    <v>cb44a92f-6c6f-99c4-2ae3-51601fdc919a</v>
    <v>536870912</v>
    <v>1</v>
    <v>JP-13</v>
    <v>783</v>
    <v>784</v>
    <v>695</v>
    <v>Tokyo, officially the Tokyo Metropolis, is the capital city of Japan. With a population of over 14 million in the city proper in 2023, it is one of the most populous urban areas in the world. The Greater Tokyo Area, which includes Tokyo and ...</v>
    <v>785</v>
    <v>786</v>
    <v>788</v>
    <v>789</v>
    <v>Tokyo</v>
    <v>790</v>
    <v>778</v>
    <v>Tokyo</v>
    <v>mdp/vdpid/7932754762162765825</v>
  </rv>
  <rv s="0">
    <v>536870912</v>
    <v>Reus</v>
    <v>0181989b-7e0f-a43a-e082-88b2aa6fbc39</v>
    <v>en-US</v>
    <v>Map</v>
  </rv>
  <rv s="0">
    <v>536870912</v>
    <v>Province of Tarragona</v>
    <v>4597b0ff-134e-9771-b6c8-e4f0139c0068</v>
    <v>en-US</v>
    <v>Map</v>
  </rv>
  <rv s="0">
    <v>536870912</v>
    <v>Baix Camp</v>
    <v>9c114b6b-0d15-d370-d4e7-c6e450eebbf1</v>
    <v>en-US</v>
    <v>Map</v>
  </rv>
  <rv s="1">
    <fb>52.8</fb>
    <v>8</v>
  </rv>
  <rv s="0">
    <v>536870912</v>
    <v>Spain</v>
    <v>1baf9d59-f443-e9f4-6e49-de048a073e3f</v>
    <v>en-US</v>
    <v>Map</v>
  </rv>
  <rv s="2">
    <v>25</v>
    <v>6</v>
    <v>143</v>
    <v>7</v>
    <v>0</v>
    <v>Image of Reus</v>
  </rv>
  <rv s="1">
    <fb>41.154870000000003</fb>
    <v>9</v>
  </rv>
  <rv s="0">
    <v>805306368</v>
    <v>Sandra Guaita (Mayor)</v>
    <v>b28f650e-56fa-a4e1-c6f1-1f8c8e66f265</v>
    <v>en-US</v>
    <v>Generic</v>
  </rv>
  <rv s="3">
    <v>42</v>
  </rv>
  <rv s="4">
    <v>https://www.bing.com/search?q=reus+spain&amp;form=skydnc</v>
    <v>Learn more on Bing</v>
  </rv>
  <rv s="1">
    <fb>1.1087100000000001</fb>
    <v>9</v>
  </rv>
  <rv s="1">
    <fb>103477</fb>
    <v>8</v>
  </rv>
  <rv s="3">
    <v>43</v>
  </rv>
  <rv s="11">
    <v>#VALUE!</v>
    <v>144</v>
    <v>113</v>
    <v>Reus</v>
    <v>4</v>
    <v>5</v>
    <v>Map</v>
    <v>6</v>
    <v>145</v>
    <v>en-US</v>
    <v>0181989b-7e0f-a43a-e082-88b2aa6fbc39</v>
    <v>536870912</v>
    <v>1</v>
    <v>793</v>
    <v>794</v>
    <v>795</v>
    <v>796</v>
    <v>Reus is the capital of Baix Camp, in Camp de Tarragona, Catalonia, Spain. The area has always been an important producer of wines and spirits, and gained continental importance at the time of the Phylloxera plague. Currently it is known for its ...</v>
    <v>797</v>
    <v>798</v>
    <v>800</v>
    <v>801</v>
    <v>802</v>
    <v>Reus</v>
    <v>803</v>
    <v>804</v>
    <v>Reus</v>
    <v>mdp/vdpid/7207005625379717121</v>
  </rv>
  <rv s="1">
    <fb>0.52577247440306896</fb>
    <v>29</v>
  </rv>
  <rv s="1">
    <fb>505990</fb>
    <v>8</v>
  </rv>
  <rv s="1">
    <fb>196000</fb>
    <v>8</v>
  </rv>
  <rv s="1">
    <fb>7.9</fb>
    <v>30</v>
  </rv>
  <rv s="1">
    <fb>34</fb>
    <v>31</v>
  </rv>
  <rv s="0">
    <v>536870912</v>
    <v>Madrid</v>
    <v>a497c067-c4c6-4bf4-9a5d-34fd30589bda</v>
    <v>en-US</v>
    <v>Map</v>
  </rv>
  <rv s="1">
    <fb>244002.18</fb>
    <v>8</v>
  </rv>
  <rv s="1">
    <fb>110.96151904206</fb>
    <v>32</v>
  </rv>
  <rv s="1">
    <fb>6.9953624171701497E-3</fb>
    <v>29</v>
  </rv>
  <rv s="1">
    <fb>5355.9870055822103</fb>
    <v>8</v>
  </rv>
  <rv s="1">
    <fb>1.26</fb>
    <v>30</v>
  </rv>
  <rv s="1">
    <fb>0.36936209528965797</fb>
    <v>29</v>
  </rv>
  <rv s="1">
    <fb>72.955546118337793</fb>
    <v>33</v>
  </rv>
  <rv s="1">
    <fb>1.26</fb>
    <v>34</v>
  </rv>
  <rv s="1">
    <fb>1394116310768.6299</fb>
    <v>35</v>
  </rv>
  <rv s="1">
    <fb>1.0271029</fb>
    <v>29</v>
  </rv>
  <rv s="1">
    <fb>0.88853009999999999</fb>
    <v>29</v>
  </rv>
  <rv s="2">
    <v>26</v>
    <v>6</v>
    <v>147</v>
    <v>7</v>
    <v>0</v>
    <v>Image of Spain</v>
  </rv>
  <rv s="1">
    <fb>2.5</fb>
    <v>33</v>
  </rv>
  <rv s="0">
    <v>805306368</v>
    <v>Felipe VI (Monarch)</v>
    <v>ec86fb82-ddbc-286a-d1a7-3644682c1efc</v>
    <v>en-US</v>
    <v>Generic</v>
  </rv>
  <rv s="0">
    <v>805306368</v>
    <v>Pedro Sánchez (Prime minister)</v>
    <v>9e0d6cf3-f466-7b6f-0a92-aa23020fc120</v>
    <v>en-US</v>
    <v>Generic</v>
  </rv>
  <rv s="3">
    <v>44</v>
  </rv>
  <rv s="4">
    <v>https://www.bing.com/search?q=spain&amp;form=skydnc</v>
    <v>Learn more on Bing</v>
  </rv>
  <rv s="1">
    <fb>83.334146341463395</fb>
    <v>33</v>
  </rv>
  <rv s="1">
    <fb>797285840000</fb>
    <v>35</v>
  </rv>
  <rv s="1">
    <fb>4</fb>
    <v>33</v>
  </rv>
  <rv s="1">
    <fb>5.6</fb>
    <v>34</v>
  </rv>
  <rv s="3">
    <v>45</v>
  </rv>
  <rv s="1">
    <fb>0.24229018520000001</fb>
    <v>29</v>
  </rv>
  <rv s="1">
    <fb>3.8723000000000001</fb>
    <v>30</v>
  </rv>
  <rv s="1">
    <fb>47615034</fb>
    <v>8</v>
  </rv>
  <rv s="1">
    <fb>0.254</fb>
    <v>29</v>
  </rv>
  <rv s="1">
    <fb>0.41</fb>
    <v>29</v>
  </rv>
  <rv s="1">
    <fb>0.122</fb>
    <v>29</v>
  </rv>
  <rv s="1">
    <fb>0.17199999999999999</fb>
    <v>29</v>
  </rv>
  <rv s="1">
    <fb>0.57492000579834002</fb>
    <v>29</v>
  </rv>
  <rv s="0">
    <v>536870912</v>
    <v>Andalusia</v>
    <v>b009454b-b921-1477-fbf3-ea4c66d409b5</v>
    <v>en-US</v>
    <v>Map</v>
  </rv>
  <rv s="0">
    <v>536870912</v>
    <v>Catalonia</v>
    <v>54afd4ed-d6c4-c6c9-2f8d-10440795b196</v>
    <v>en-US</v>
    <v>Map</v>
  </rv>
  <rv s="0">
    <v>536870912</v>
    <v>Community of Madrid</v>
    <v>854c08ed-f6d7-c812-1a3f-46928ae0597e</v>
    <v>en-US</v>
    <v>Map</v>
  </rv>
  <rv s="0">
    <v>536870912</v>
    <v>Valencian Community</v>
    <v>d1a45f13-aca9-6854-cb23-92573a279216</v>
    <v>en-US</v>
    <v>Map</v>
  </rv>
  <rv s="0">
    <v>536870912</v>
    <v>Galicia</v>
    <v>70c91f08-f55c-f98a-047e-aa9228ed4253</v>
    <v>en-US</v>
    <v>Map</v>
  </rv>
  <rv s="0">
    <v>536870912</v>
    <v>Castile and León</v>
    <v>7fc8f34d-7f31-b8c6-34d4-545cb3920adf</v>
    <v>en-US</v>
    <v>Map</v>
  </rv>
  <rv s="0">
    <v>536870912</v>
    <v>Basque Country</v>
    <v>27cbb013-d521-0f66-7c87-67bad92e92f5</v>
    <v>en-US</v>
    <v>Map</v>
  </rv>
  <rv s="0">
    <v>536870912</v>
    <v>Canary Islands</v>
    <v>e5f4f633-d27e-9012-be27-a85d7ed21999</v>
    <v>en-US</v>
    <v>Map</v>
  </rv>
  <rv s="0">
    <v>536870912</v>
    <v>Castilla–La Mancha</v>
    <v>1e79c598-5619-e707-75d9-40410db3c0b2</v>
    <v>en-US</v>
    <v>Map</v>
  </rv>
  <rv s="0">
    <v>536870912</v>
    <v>Region of Murcia</v>
    <v>e697a468-5c9d-9a42-68ac-b04781a55abd</v>
    <v>en-US</v>
    <v>Map</v>
  </rv>
  <rv s="0">
    <v>536870912</v>
    <v>Aragon</v>
    <v>66482df7-7a8d-eb53-1b74-7702eb8f6ab7</v>
    <v>en-US</v>
    <v>Map</v>
  </rv>
  <rv s="0">
    <v>536870912</v>
    <v>Asturias</v>
    <v>6880b28a-27ed-46a3-3b3f-93553df34103</v>
    <v>en-US</v>
    <v>Map</v>
  </rv>
  <rv s="0">
    <v>536870912</v>
    <v>Extremadura</v>
    <v>60c245e4-f9c9-d637-1ff7-50148c20166f</v>
    <v>en-US</v>
    <v>Map</v>
  </rv>
  <rv s="0">
    <v>536870912</v>
    <v>Navarre</v>
    <v>bd2c46e0-0dec-2a95-cf06-e23728a2a0ed</v>
    <v>en-US</v>
    <v>Map</v>
  </rv>
  <rv s="0">
    <v>536870912</v>
    <v>Cantabria</v>
    <v>ff0ffbe3-172a-ecd8-17cd-6f2f89c9d0dd</v>
    <v>en-US</v>
    <v>Map</v>
  </rv>
  <rv s="0">
    <v>536870912</v>
    <v>La Rioja</v>
    <v>c27fd34e-d1ab-5145-cc6e-9d85b07f919e</v>
    <v>en-US</v>
    <v>Map</v>
  </rv>
  <rv s="0">
    <v>536870912</v>
    <v>Ceuta</v>
    <v>4575b2d9-4933-9d93-b84d-3080054b3dda</v>
    <v>en-US</v>
    <v>Map</v>
  </rv>
  <rv s="0">
    <v>536870912</v>
    <v>Melilla</v>
    <v>a67b3afb-47dd-d884-afd6-0794c4de12ba</v>
    <v>en-US</v>
    <v>Map</v>
  </rv>
  <rv s="3">
    <v>46</v>
  </rv>
  <rv s="1">
    <fb>0.14248211393678101</fb>
    <v>29</v>
  </rv>
  <rv s="1">
    <fb>0.47</fb>
    <v>29</v>
  </rv>
  <rv s="1">
    <fb>0.13958999633789099</fb>
    <v>36</v>
  </rv>
  <rv s="1">
    <fb>37927409</fb>
    <v>8</v>
  </rv>
  <rv s="6">
    <v>#VALUE!</v>
    <v>150</v>
    <v>27</v>
    <v>Spain</v>
    <v>4</v>
    <v>5</v>
    <v>Map</v>
    <v>6</v>
    <v>151</v>
    <v>en-US</v>
    <v>1baf9d59-f443-e9f4-6e49-de048a073e3f</v>
    <v>536870912</v>
    <v>1</v>
    <v>ES</v>
    <v>806</v>
    <v>807</v>
    <v>808</v>
    <v>809</v>
    <v>810</v>
    <v>811</v>
    <v>812</v>
    <v>813</v>
    <v>814</v>
    <v>EUR</v>
    <v>Spain, officially the Kingdom of Spain, is a country in Southwestern Europe with territories in North Africa. Featuring the southernmost point of continental Europe, it is the largest country in Southern Europe and the fourth-most populous ...</v>
    <v>815</v>
    <v>816</v>
    <v>817</v>
    <v>818</v>
    <v>819</v>
    <v>820</v>
    <v>821</v>
    <v>822</v>
    <v>823</v>
    <v>824</v>
    <v>811</v>
    <v>827</v>
    <v>828</v>
    <v>829</v>
    <v>830</v>
    <v>831</v>
    <v>832</v>
    <v>Spain</v>
    <v>Marcha Real</v>
    <v>833</v>
    <v>Reino de España</v>
    <v>834</v>
    <v>835</v>
    <v>836</v>
    <v>363</v>
    <v>837</v>
    <v>838</v>
    <v>392</v>
    <v>212</v>
    <v>839</v>
    <v>840</v>
    <v>841</v>
    <v>860</v>
    <v>861</v>
    <v>804</v>
    <v>862</v>
    <v>863</v>
    <v>Spain</v>
    <v>864</v>
    <v>mdp/vdpid/217</v>
  </rv>
  <rv s="1">
    <fb>604.45510000000002</fb>
    <v>8</v>
  </rv>
  <rv s="2">
    <v>27</v>
    <v>6</v>
    <v>152</v>
    <v>7</v>
    <v>0</v>
    <v>Image of Madrid</v>
  </rv>
  <rv s="1">
    <fb>40.416944444444397</fb>
    <v>9</v>
  </rv>
  <rv s="0">
    <v>805306368</v>
    <v>José Luis Martínez-Almeida (Mayor)</v>
    <v>d059f89e-9389-5fff-d365-894d7aefd20e</v>
    <v>en-US</v>
    <v>Generic</v>
  </rv>
  <rv s="3">
    <v>47</v>
  </rv>
  <rv s="4">
    <v>https://www.bing.com/search?q=madrid+spain&amp;form=skydnc</v>
    <v>Learn more on Bing</v>
  </rv>
  <rv s="1">
    <fb>-3.70333333333333</fb>
    <v>9</v>
  </rv>
  <rv s="1">
    <fb>3332035</fb>
    <v>8</v>
  </rv>
  <rv s="14">
    <v>#VALUE!</v>
    <v>153</v>
    <v>154</v>
    <v>Madrid</v>
    <v>4</v>
    <v>5</v>
    <v>Map</v>
    <v>6</v>
    <v>155</v>
    <v>en-US</v>
    <v>a497c067-c4c6-4bf4-9a5d-34fd30589bda</v>
    <v>536870912</v>
    <v>1</v>
    <v>844</v>
    <v>866</v>
    <v>796</v>
    <v>Madrid is the capital and most populous city of Spain. The city has almost 3.4 million inhabitants and a metropolitan area population of approximately 7 million. It is the second-largest city in the European Union, and its monocentric ...</v>
    <v>867</v>
    <v>868</v>
    <v>870</v>
    <v>871</v>
    <v>872</v>
    <v>Madrid</v>
    <v>873</v>
    <v>Madrid</v>
    <v>mdp/vdpid/5669357583933112321</v>
  </rv>
  <rv s="0">
    <v>536870912</v>
    <v>Wellesley, Massachusetts</v>
    <v>64a1715c-3b25-17da-f6b0-9bae3605f92e</v>
    <v>en-US</v>
    <v>Map</v>
  </rv>
  <rv s="0">
    <v>536870912</v>
    <v>Norfolk County, Massachusetts</v>
    <v>eaa431cd-02d9-4291-327a-6b359c950c9d</v>
    <v>en-US</v>
    <v>Map</v>
  </rv>
  <rv s="1">
    <fb>27.244046999999998</fb>
    <v>8</v>
  </rv>
  <rv s="2">
    <v>28</v>
    <v>6</v>
    <v>156</v>
    <v>7</v>
    <v>0</v>
    <v>Image of Wellesley, Massachusetts</v>
  </rv>
  <rv s="1">
    <fb>42.296388888888998</fb>
    <v>9</v>
  </rv>
  <rv s="4">
    <v>https://www.bing.com/search?q=wellesley+massachusetts&amp;form=skydnc</v>
    <v>Learn more on Bing</v>
  </rv>
  <rv s="1">
    <fb>-71.293055555555995</fb>
    <v>9</v>
  </rv>
  <rv s="1">
    <fb>29550</fb>
    <v>8</v>
  </rv>
  <rv s="15">
    <v>#VALUE!</v>
    <v>157</v>
    <v>158</v>
    <v>Wellesley, Massachusetts</v>
    <v>4</v>
    <v>5</v>
    <v>Map</v>
    <v>6</v>
    <v>7</v>
    <v>en-US</v>
    <v>64a1715c-3b25-17da-f6b0-9bae3605f92e</v>
    <v>536870912</v>
    <v>1</v>
    <v>74</v>
    <v>876</v>
    <v>877</v>
    <v>594</v>
    <v>Wellesley is a town in Norfolk County, Massachusetts, United States. Wellesley is part of Greater Boston. The population was 29,550 at the time of the 2020 census. Wellesley College, Babson College, and a campus of Massachusetts Bay Community ...</v>
    <v>878</v>
    <v>879</v>
    <v>880</v>
    <v>881</v>
    <v>Wellesley, Massachusetts</v>
    <v>882</v>
    <v>11</v>
    <v>Wellesley, Massachusetts</v>
    <v>mdp/vdpid/5488160508911550465</v>
  </rv>
  <rv s="0">
    <v>536870912</v>
    <v>Paris</v>
    <v>85584d24-2116-5b98-89f9-5714db931ac6</v>
    <v>en-US</v>
    <v>Map</v>
  </rv>
  <rv s="0">
    <v>536870912</v>
    <v>Metropolitan France</v>
    <v>a50a7b3c-58a6-b52d-98d1-10a1a763403b</v>
    <v>en-US</v>
    <v>Map</v>
  </rv>
  <rv s="0">
    <v>536870912</v>
    <v>Île-de-France</v>
    <v>ba200862-fc37-6d22-3434-c6e709faa507</v>
    <v>en-US</v>
    <v>Map</v>
  </rv>
  <rv s="1">
    <fb>105.4</fb>
    <v>8</v>
  </rv>
  <rv s="0">
    <v>536870912</v>
    <v>France</v>
    <v>c7bfe2de-4f82-e23c-ae42-8544b5b5c0ea</v>
    <v>en-US</v>
    <v>Map</v>
  </rv>
  <rv s="2">
    <v>29</v>
    <v>6</v>
    <v>159</v>
    <v>7</v>
    <v>0</v>
    <v>Image of Paris</v>
  </rv>
  <rv s="1">
    <fb>48.856666666666698</fb>
    <v>9</v>
  </rv>
  <rv s="0">
    <v>805306368</v>
    <v>Anne Hidalgo (Mayor)</v>
    <v>f26212ed-b25d-e4f8-ecf0-85777b9d38cf</v>
    <v>en-US</v>
    <v>Generic</v>
  </rv>
  <rv s="3">
    <v>48</v>
  </rv>
  <rv s="4">
    <v>https://www.bing.com/search?q=paris+france&amp;form=skydnc</v>
    <v>Learn more on Bing</v>
  </rv>
  <rv s="1">
    <fb>2.35222222222222</fb>
    <v>9</v>
  </rv>
  <rv s="1">
    <fb>2048472</fb>
    <v>8</v>
  </rv>
  <rv s="11">
    <v>#VALUE!</v>
    <v>160</v>
    <v>113</v>
    <v>Paris</v>
    <v>4</v>
    <v>5</v>
    <v>Map</v>
    <v>6</v>
    <v>161</v>
    <v>en-US</v>
    <v>85584d24-2116-5b98-89f9-5714db931ac6</v>
    <v>536870912</v>
    <v>1</v>
    <v>885</v>
    <v>886</v>
    <v>887</v>
    <v>888</v>
    <v>Paris is the capital and largest city of France. With an estimated population of 2,048,472 residents in January 2025 in an area of more than 105 km², Paris is the fourth-most populous city in the European Union, the ninth-most populous city in ...</v>
    <v>889</v>
    <v>890</v>
    <v>892</v>
    <v>893</v>
    <v>894</v>
    <v>Paris</v>
    <v>895</v>
    <v>804</v>
    <v>Paris</v>
    <v>mdp/vdpid/7012570570818584578</v>
  </rv>
  <rv s="1">
    <fb>0.524475441661716</fb>
    <v>29</v>
  </rv>
  <rv s="1">
    <fb>643801</fb>
    <v>8</v>
  </rv>
  <rv s="1">
    <fb>307000</fb>
    <v>8</v>
  </rv>
  <rv s="1">
    <fb>11.3</fb>
    <v>30</v>
  </rv>
  <rv s="1">
    <fb>33</fb>
    <v>31</v>
  </rv>
  <rv s="1">
    <fb>303275.56800000003</fb>
    <v>8</v>
  </rv>
  <rv s="1">
    <fb>110.04856675289</fb>
    <v>32</v>
  </rv>
  <rv s="1">
    <fb>1.1082549228829199E-2</fb>
    <v>29</v>
  </rv>
  <rv s="1">
    <fb>6939.5214736692897</fb>
    <v>8</v>
  </rv>
  <rv s="1">
    <fb>1.88</fb>
    <v>30</v>
  </rv>
  <rv s="1">
    <fb>0.31233278442262596</fb>
    <v>29</v>
  </rv>
  <rv s="1">
    <fb>46.487970872236403</fb>
    <v>33</v>
  </rv>
  <rv s="1">
    <fb>1.39</fb>
    <v>34</v>
  </rv>
  <rv s="1">
    <fb>2715518274227.4502</fb>
    <v>35</v>
  </rv>
  <rv s="1">
    <fb>1.0251076000000001</fb>
    <v>29</v>
  </rv>
  <rv s="1">
    <fb>0.65629000000000004</fb>
    <v>29</v>
  </rv>
  <rv s="2">
    <v>30</v>
    <v>6</v>
    <v>163</v>
    <v>7</v>
    <v>0</v>
    <v>Image of France</v>
  </rv>
  <rv s="1">
    <fb>3.4</fb>
    <v>33</v>
  </rv>
  <rv s="0">
    <v>805306368</v>
    <v>Emmanuel Macron (President)</v>
    <v>35be5a56-7a78-6352-b158-60da8f84c858</v>
    <v>en-US</v>
    <v>Generic</v>
  </rv>
  <rv s="0">
    <v>805306368</v>
    <v>François Bayrou (Prime minister)</v>
    <v>901a2dc7-aad0-c6da-f219-c2d7def8acba</v>
    <v>en-US</v>
    <v>Generic</v>
  </rv>
  <rv s="3">
    <v>49</v>
  </rv>
  <rv s="4">
    <v>https://www.bing.com/search?q=france&amp;form=skydnc</v>
    <v>Learn more on Bing</v>
  </rv>
  <rv s="1">
    <fb>82.526829268292701</fb>
    <v>33</v>
  </rv>
  <rv s="1">
    <fb>2365950236659.3599</fb>
    <v>35</v>
  </rv>
  <rv s="1">
    <fb>8</fb>
    <v>33</v>
  </rv>
  <rv s="1">
    <fb>11.16</fb>
    <v>34</v>
  </rv>
  <rv s="3">
    <v>50</v>
  </rv>
  <rv s="1">
    <fb>6.7968269799999995E-2</fb>
    <v>29</v>
  </rv>
  <rv s="1">
    <fb>3.2671999999999999</fb>
    <v>30</v>
  </rv>
  <rv s="1">
    <fb>67749632</fb>
    <v>8</v>
  </rv>
  <rv s="1">
    <fb>0.21899999999999997</fb>
    <v>29</v>
  </rv>
  <rv s="1">
    <fb>0.4</fb>
    <v>29</v>
  </rv>
  <rv s="1">
    <fb>0.16899999999999998</fb>
    <v>29</v>
  </rv>
  <rv s="1">
    <fb>0.55125999450683605</fb>
    <v>29</v>
  </rv>
  <rv s="0">
    <v>536870912</v>
    <v>Brittany</v>
    <v>809fb739-638d-2499-95bd-c8e5b10153ee</v>
    <v>en-US</v>
    <v>Map</v>
  </rv>
  <rv s="0">
    <v>536870912</v>
    <v>Centre-Val de Loire</v>
    <v>6aafd8c4-aba3-0388-62a3-d302e77f40c4</v>
    <v>en-US</v>
    <v>Map</v>
  </rv>
  <rv s="0">
    <v>536870912</v>
    <v>Corsica</v>
    <v>7dae6ff4-03ba-2162-da4b-d4cf544ad43f</v>
    <v>en-US</v>
    <v>Map</v>
  </rv>
  <rv s="0">
    <v>536870912</v>
    <v>Pays de la Loire</v>
    <v>a6129a88-a4cd-2b75-1a35-f5d0639f17ae</v>
    <v>en-US</v>
    <v>Map</v>
  </rv>
  <rv s="0">
    <v>536870912</v>
    <v>Provence-Alpes-Côte d'Azur</v>
    <v>66cd1ae3-f633-45f9-93bd-73ca67bffb25</v>
    <v>en-US</v>
    <v>Map</v>
  </rv>
  <rv s="0">
    <v>536870912</v>
    <v>Guadeloupe</v>
    <v>56b80aaa-d840-1a73-13ba-70eb9b61a642</v>
    <v>en-US</v>
    <v>Map</v>
  </rv>
  <rv s="0">
    <v>536870912</v>
    <v>French Guiana</v>
    <v>328feb88-20d1-8674-1574-3ce8cc0bc9e9</v>
    <v>en-US</v>
    <v>Map</v>
  </rv>
  <rv s="0">
    <v>536870912</v>
    <v>Martinique</v>
    <v>f245adef-ee09-9352-e265-2a287e5eadbe</v>
    <v>en-US</v>
    <v>Map</v>
  </rv>
  <rv s="0">
    <v>536870912</v>
    <v>Mayotte</v>
    <v>545cc8bc-c211-076d-ee26-d2ff955eb394</v>
    <v>en-US</v>
    <v>Map</v>
  </rv>
  <rv s="0">
    <v>536870912</v>
    <v>Réunion</v>
    <v>7d1fa0b0-e3d7-d903-d64d-489c03fd0a75</v>
    <v>en-US</v>
    <v>Map</v>
  </rv>
  <rv s="0">
    <v>536870912</v>
    <v>French Polynesia</v>
    <v>340e15d5-6b74-8497-bbfa-4c1f323f5483</v>
    <v>en-US</v>
    <v>Map</v>
  </rv>
  <rv s="0">
    <v>536870912</v>
    <v>French Southern and Antarctic Lands</v>
    <v>b9d52319-44ee-bf16-d95f-72397f26ce4a</v>
    <v>en-US</v>
    <v>Map</v>
  </rv>
  <rv s="0">
    <v>536870912</v>
    <v>New Caledonia</v>
    <v>25b2aeab-b390-d01e-1f7f-90be767bd899</v>
    <v>en-US</v>
    <v>Map</v>
  </rv>
  <rv s="0">
    <v>536870912</v>
    <v>Saint Barthélemy</v>
    <v>5c5081a9-306e-4f05-73a2-32b95a4b8600</v>
    <v>en-US</v>
    <v>Map</v>
  </rv>
  <rv s="0">
    <v>536870912</v>
    <v>Collectivity of Saint Martin</v>
    <v>281a8fb2-1b63-4320-5d31-8f0fb46c4f1a</v>
    <v>en-US</v>
    <v>Map</v>
  </rv>
  <rv s="0">
    <v>536870912</v>
    <v>Saint Pierre and Miquelon</v>
    <v>aa096cf4-a54e-cd44-7204-c28310ca40f4</v>
    <v>en-US</v>
    <v>Map</v>
  </rv>
  <rv s="0">
    <v>536870912</v>
    <v>Wallis and Futuna</v>
    <v>db8aa235-58e4-9e3d-8799-6839f3d35025</v>
    <v>en-US</v>
    <v>Map</v>
  </rv>
  <rv s="0">
    <v>536870912</v>
    <v>Grand Est</v>
    <v>e2f60e84-1701-6d84-e960-ba87138e3631</v>
    <v>en-US</v>
    <v>Map</v>
  </rv>
  <rv s="0">
    <v>536870912</v>
    <v>Nouvelle-Aquitaine</v>
    <v>7955f423-af31-d2e0-f045-b14668178865</v>
    <v>en-US</v>
    <v>Map</v>
  </rv>
  <rv s="0">
    <v>536870912</v>
    <v>Auvergne-Rhône-Alpes</v>
    <v>b53940d0-b739-faf5-78d1-93f189f878c9</v>
    <v>en-US</v>
    <v>Map</v>
  </rv>
  <rv s="0">
    <v>536870912</v>
    <v>Bourgogne-Franche-Comté</v>
    <v>4bc8dff1-8d72-5341-f405-63c7be8c6672</v>
    <v>en-US</v>
    <v>Map</v>
  </rv>
  <rv s="0">
    <v>536870912</v>
    <v>Occitania</v>
    <v>5105d172-dc70-689f-09ab-4163a747508a</v>
    <v>en-US</v>
    <v>Map</v>
  </rv>
  <rv s="0">
    <v>536870912</v>
    <v>Hauts-de-France</v>
    <v>4eb2d0b0-8845-48d0-9343-9ba3e7fe81a0</v>
    <v>en-US</v>
    <v>Map</v>
  </rv>
  <rv s="0">
    <v>536870912</v>
    <v>Clipperton Island</v>
    <v>15fb63fc-f501-7360-7d44-f26d1501209e</v>
    <v>en-US</v>
    <v>Map</v>
  </rv>
  <rv s="3">
    <v>51</v>
  </rv>
  <rv s="1">
    <fb>0.24229980509910898</fb>
    <v>29</v>
  </rv>
  <rv s="3">
    <v>52</v>
  </rv>
  <rv s="1">
    <fb>0.60699999999999998</fb>
    <v>29</v>
  </rv>
  <rv s="1">
    <fb>8.4270000457763714E-2</fb>
    <v>36</v>
  </rv>
  <rv s="1">
    <fb>54123364</fb>
    <v>8</v>
  </rv>
  <rv s="6">
    <v>#VALUE!</v>
    <v>166</v>
    <v>27</v>
    <v>France</v>
    <v>4</v>
    <v>5</v>
    <v>Map</v>
    <v>6</v>
    <v>167</v>
    <v>en-US</v>
    <v>c7bfe2de-4f82-e23c-ae42-8544b5b5c0ea</v>
    <v>536870912</v>
    <v>1</v>
    <v>FR</v>
    <v>897</v>
    <v>898</v>
    <v>899</v>
    <v>900</v>
    <v>901</v>
    <v>884</v>
    <v>902</v>
    <v>903</v>
    <v>904</v>
    <v>EUR</v>
    <v>France, officially the French Republic, is a country located primarily in Western Europe. Its overseas regions and territories include French Guiana in South America, Saint Pierre and Miquelon in the North Atlantic, the French West Indies, and ...</v>
    <v>905</v>
    <v>906</v>
    <v>907</v>
    <v>908</v>
    <v>909</v>
    <v>910</v>
    <v>911</v>
    <v>912</v>
    <v>913</v>
    <v>914</v>
    <v>884</v>
    <v>917</v>
    <v>918</v>
    <v>919</v>
    <v>920</v>
    <v>921</v>
    <v>922</v>
    <v>France</v>
    <v>La Marseillaise</v>
    <v>923</v>
    <v>République française</v>
    <v>924</v>
    <v>925</v>
    <v>926</v>
    <v>927</v>
    <v>474</v>
    <v>928</v>
    <v>202</v>
    <v>508</v>
    <v>200</v>
    <v>929</v>
    <v>930</v>
    <v>955</v>
    <v>956</v>
    <v>957</v>
    <v>958</v>
    <v>959</v>
    <v>France</v>
    <v>960</v>
    <v>mdp/vdpid/84</v>
  </rv>
  <rv s="0">
    <v>536870912</v>
    <v>Santiago</v>
    <v>190dd277-52dd-5feb-5523-200c59886f8e</v>
    <v>en-US</v>
    <v>Map</v>
  </rv>
  <rv s="0">
    <v>536870912</v>
    <v>Santiago Metropolitan Region</v>
    <v>593b7d08-69b9-06ed-9b5c-adea6868ff88</v>
    <v>en-US</v>
    <v>Map</v>
  </rv>
  <rv s="1">
    <fb>837.89</fb>
    <v>8</v>
  </rv>
  <rv s="0">
    <v>536870912</v>
    <v>Chile</v>
    <v>604665af-d1f4-5c64-9b93-1ef5f0471308</v>
    <v>en-US</v>
    <v>Map</v>
  </rv>
  <rv s="2">
    <v>31</v>
    <v>6</v>
    <v>168</v>
    <v>7</v>
    <v>0</v>
    <v>Image of Santiago</v>
  </rv>
  <rv s="1">
    <fb>-33.4375</fb>
    <v>9</v>
  </rv>
  <rv s="0">
    <v>805306368</v>
    <v>Claudio Orrego (Governor)</v>
    <v>8d69da3a-7203-a1bd-c4ba-cdb5b8619732</v>
    <v>en-US</v>
    <v>Generic</v>
  </rv>
  <rv s="3">
    <v>53</v>
  </rv>
  <rv s="4">
    <v>https://www.bing.com/search?q=santiago+chile&amp;form=skydnc</v>
    <v>Learn more on Bing</v>
  </rv>
  <rv s="1">
    <fb>-70.650000000000006</fb>
    <v>9</v>
  </rv>
  <rv s="1">
    <fb>6257516</fb>
    <v>8</v>
  </rv>
  <rv s="16">
    <v>#VALUE!</v>
    <v>169</v>
    <v>170</v>
    <v>Santiago</v>
    <v>4</v>
    <v>5</v>
    <v>Map</v>
    <v>6</v>
    <v>171</v>
    <v>en-US</v>
    <v>190dd277-52dd-5feb-5523-200c59886f8e</v>
    <v>536870912</v>
    <v>1</v>
    <v>963</v>
    <v>963</v>
    <v>964</v>
    <v>965</v>
    <v>Santiago, also known as Santiago de Chile, is the capital and largest city of Chile and one of the largest cities in the Americas. It is located in the country's central valley and is the center of the Santiago Metropolitan Region, which has a ...</v>
    <v>966</v>
    <v>967</v>
    <v>969</v>
    <v>970</v>
    <v>971</v>
    <v>Santiago</v>
    <v>972</v>
    <v>Santiago</v>
    <v>mdp/vdpid/6430568610371993606</v>
  </rv>
  <rv s="1">
    <fb>0.21171649832251302</fb>
    <v>29</v>
  </rv>
  <rv s="1">
    <fb>756102</fb>
    <v>8</v>
  </rv>
  <rv s="1">
    <fb>122000</fb>
    <v>8</v>
  </rv>
  <rv s="1">
    <fb>12.428000000000001</fb>
    <v>30</v>
  </rv>
  <rv s="1">
    <fb>56</fb>
    <v>31</v>
  </rv>
  <rv s="1">
    <fb>85822.467999999993</fb>
    <v>8</v>
  </rv>
  <rv s="1">
    <fb>131.913566974844</fb>
    <v>32</v>
  </rv>
  <rv s="1">
    <fb>2.55754475703323E-2</fb>
    <v>29</v>
  </rv>
  <rv s="1">
    <fb>3879.6756048594998</fb>
    <v>8</v>
  </rv>
  <rv s="1">
    <fb>1.649</fb>
    <v>30</v>
  </rv>
  <rv s="1">
    <fb>0.24256925086238501</fb>
    <v>29</v>
  </rv>
  <rv s="1">
    <fb>74.647212262567805</fb>
    <v>33</v>
  </rv>
  <rv s="1">
    <fb>1.03</fb>
    <v>34</v>
  </rv>
  <rv s="1">
    <fb>282318159744.65002</fb>
    <v>35</v>
  </rv>
  <rv s="1">
    <fb>1.0143016</fb>
    <v>29</v>
  </rv>
  <rv s="1">
    <fb>0.88464419999999999</fb>
    <v>29</v>
  </rv>
  <rv s="2">
    <v>32</v>
    <v>6</v>
    <v>173</v>
    <v>7</v>
    <v>0</v>
    <v>Image of Chile</v>
  </rv>
  <rv s="1">
    <fb>6.2</fb>
    <v>33</v>
  </rv>
  <rv s="0">
    <v>805306368</v>
    <v>Gabriel Boric (President)</v>
    <v>a5b9649e-0dda-ce69-dd77-b90d92799948</v>
    <v>en-US</v>
    <v>Generic</v>
  </rv>
  <rv s="3">
    <v>54</v>
  </rv>
  <rv s="4">
    <v>https://www.bing.com/search?q=chile&amp;form=skydnc</v>
    <v>Learn more on Bing</v>
  </rv>
  <rv s="1">
    <fb>80.042000000000002</fb>
    <v>33</v>
  </rv>
  <rv s="1">
    <fb>203791650000</fb>
    <v>35</v>
  </rv>
  <rv s="1">
    <fb>13</fb>
    <v>33</v>
  </rv>
  <rv s="1">
    <fb>2</fb>
    <v>34</v>
  </rv>
  <rv s="1">
    <fb>0.32240714050000002</fb>
    <v>29</v>
  </rv>
  <rv s="1">
    <fb>2.5912000000000002</fb>
    <v>30</v>
  </rv>
  <rv s="1">
    <fb>19603733</fb>
    <v>8</v>
  </rv>
  <rv s="1">
    <fb>0.51300000000000001</fb>
    <v>29</v>
  </rv>
  <rv s="1">
    <fb>9.6999999999999989E-2</fb>
    <v>29</v>
  </rv>
  <rv s="1">
    <fb>0.13600000000000001</fb>
    <v>29</v>
  </rv>
  <rv s="1">
    <fb>0.62644001007080097</fb>
    <v>29</v>
  </rv>
  <rv s="0">
    <v>536870912</v>
    <v>Arica y Parinacota Region</v>
    <v>e82edc74-d7d4-52a9-63c9-da07aa4c8d07</v>
    <v>en-US</v>
    <v>Map</v>
  </rv>
  <rv s="0">
    <v>536870912</v>
    <v>Tarapacá Region</v>
    <v>f71529e3-ca1d-662b-2695-7619691fe930</v>
    <v>en-US</v>
    <v>Map</v>
  </rv>
  <rv s="0">
    <v>536870912</v>
    <v>Antofagasta Region</v>
    <v>0e94e649-e291-382e-a367-acb53290d201</v>
    <v>en-US</v>
    <v>Map</v>
  </rv>
  <rv s="0">
    <v>536870912</v>
    <v>Atacama Region</v>
    <v>f345e54e-574a-13c9-92e8-8aee46fdab13</v>
    <v>en-US</v>
    <v>Map</v>
  </rv>
  <rv s="0">
    <v>536870912</v>
    <v>Coquimbo Region</v>
    <v>76048cc3-d603-9c38-a167-a7ca5b8cbbc2</v>
    <v>en-US</v>
    <v>Map</v>
  </rv>
  <rv s="0">
    <v>536870912</v>
    <v>Valparaíso Region</v>
    <v>16db3fa8-cd1b-2e46-c8fd-319a483e9f74</v>
    <v>en-US</v>
    <v>Map</v>
  </rv>
  <rv s="0">
    <v>536870912</v>
    <v>O'Higgins Region</v>
    <v>a69b3fd5-459d-0124-d048-5d97d3c59ccc</v>
    <v>en-US</v>
    <v>Map</v>
  </rv>
  <rv s="0">
    <v>536870912</v>
    <v>Maule Region</v>
    <v>1e2324a1-9cb4-35ae-b663-73c3f67a17d5</v>
    <v>en-US</v>
    <v>Map</v>
  </rv>
  <rv s="0">
    <v>536870912</v>
    <v>Biobío Region</v>
    <v>e7f0592f-2534-c4f2-c1d3-fdea2c39f853</v>
    <v>en-US</v>
    <v>Map</v>
  </rv>
  <rv s="0">
    <v>536870912</v>
    <v>Araucanía Region</v>
    <v>2d02ef0b-dd81-faa4-520b-0ec94f6d1f8e</v>
    <v>en-US</v>
    <v>Map</v>
  </rv>
  <rv s="0">
    <v>536870912</v>
    <v>Los Ríos Region</v>
    <v>d63a8dc4-6856-1b2f-c860-14be52df0d59</v>
    <v>en-US</v>
    <v>Map</v>
  </rv>
  <rv s="0">
    <v>536870912</v>
    <v>Los Lagos Region</v>
    <v>e02e6fdd-6c61-e5bb-60a2-e02511b76154</v>
    <v>en-US</v>
    <v>Map</v>
  </rv>
  <rv s="0">
    <v>536870912</v>
    <v>Aysén Region</v>
    <v>f1dfad18-7a71-c02b-6499-9d48079ad086</v>
    <v>en-US</v>
    <v>Map</v>
  </rv>
  <rv s="0">
    <v>536870912</v>
    <v>Magallanes Region</v>
    <v>bae16453-cc13-6536-3ecf-d010cdfe7779</v>
    <v>en-US</v>
    <v>Map</v>
  </rv>
  <rv s="3">
    <v>55</v>
  </rv>
  <rv s="1">
    <fb>0.182194149378896</fb>
    <v>29</v>
  </rv>
  <rv s="3">
    <v>56</v>
  </rv>
  <rv s="1">
    <fb>0.34</fb>
    <v>29</v>
  </rv>
  <rv s="1">
    <fb>7.09000015258789E-2</fb>
    <v>36</v>
  </rv>
  <rv s="1">
    <fb>16610135</fb>
    <v>8</v>
  </rv>
  <rv s="6">
    <v>#VALUE!</v>
    <v>176</v>
    <v>27</v>
    <v>Chile</v>
    <v>4</v>
    <v>5</v>
    <v>Map</v>
    <v>6</v>
    <v>177</v>
    <v>en-US</v>
    <v>604665af-d1f4-5c64-9b93-1ef5f0471308</v>
    <v>536870912</v>
    <v>1</v>
    <v>CL</v>
    <v>974</v>
    <v>975</v>
    <v>976</v>
    <v>977</v>
    <v>978</v>
    <v>962</v>
    <v>979</v>
    <v>980</v>
    <v>981</v>
    <v>CLF</v>
    <v>Chile, officially the Republic of Chile, is a country in western South America. It is the southernmost country in the world and the closest to Antarctica, stretching along a narrow strip of land between the Andes Mountains and the Pacific Ocean. ...</v>
    <v>982</v>
    <v>983</v>
    <v>984</v>
    <v>985</v>
    <v>986</v>
    <v>987</v>
    <v>988</v>
    <v>989</v>
    <v>990</v>
    <v>991</v>
    <v>962</v>
    <v>993</v>
    <v>994</v>
    <v>995</v>
    <v>996</v>
    <v>997</v>
    <v>998</v>
    <v>Chile</v>
    <v>National Anthem of Chile</v>
    <v>833</v>
    <v>Chile</v>
    <v>999</v>
    <v>1000</v>
    <v>1001</v>
    <v>270</v>
    <v>559</v>
    <v>1002</v>
    <v>385</v>
    <v>416</v>
    <v>1003</v>
    <v>1004</v>
    <v>1005</v>
    <v>1020</v>
    <v>1021</v>
    <v>1022</v>
    <v>1023</v>
    <v>1024</v>
    <v>Chile</v>
    <v>1025</v>
    <v>mdp/vdpid/46</v>
  </rv>
  <rv s="0">
    <v>536870912</v>
    <v>Poughkeepsie, New York</v>
    <v>2a4bc2e3-5cc2-1557-a5e7-b0e789fd18a3</v>
    <v>en-US</v>
    <v>Map</v>
  </rv>
  <rv s="0">
    <v>536870912</v>
    <v>Dutchess County, New York</v>
    <v>7bcb4d8c-9bd2-bcd5-14a6-b1159624d83f</v>
    <v>en-US</v>
    <v>Map</v>
  </rv>
  <rv s="1">
    <fb>14.811698</fb>
    <v>8</v>
  </rv>
  <rv s="2">
    <v>33</v>
    <v>6</v>
    <v>178</v>
    <v>7</v>
    <v>0</v>
    <v>Image of Poughkeepsie, New York</v>
  </rv>
  <rv s="1">
    <fb>41.705277777778001</fb>
    <v>9</v>
  </rv>
  <rv s="0">
    <v>805306368</v>
    <v>Yvonne Flowers (Mayor)</v>
    <v>7665faed-13c6-9f2e-5a00-a7d9a2570e34</v>
    <v>en-US</v>
    <v>Generic</v>
  </rv>
  <rv s="3">
    <v>57</v>
  </rv>
  <rv s="4">
    <v>https://www.bing.com/search?q=poughkeepsie+new+york&amp;form=skydnc</v>
    <v>Learn more on Bing</v>
  </rv>
  <rv s="1">
    <fb>-73.930555555555998</fb>
    <v>9</v>
  </rv>
  <rv s="1">
    <fb>31577</fb>
    <v>8</v>
  </rv>
  <rv s="11">
    <v>#VALUE!</v>
    <v>179</v>
    <v>113</v>
    <v>Poughkeepsie, New York</v>
    <v>4</v>
    <v>5</v>
    <v>Map</v>
    <v>6</v>
    <v>7</v>
    <v>en-US</v>
    <v>2a4bc2e3-5cc2-1557-a5e7-b0e789fd18a3</v>
    <v>536870912</v>
    <v>1</v>
    <v>1</v>
    <v>1028</v>
    <v>1029</v>
    <v>594</v>
    <v>Poughkeepsie, officially the City of Poughkeepsie, which is separate from the Town of Poughkeepsie around it, is a city in the U.S. state of New York. It is the county seat of Dutchess County, with a 2020 census population of 31,577. ...</v>
    <v>1030</v>
    <v>1031</v>
    <v>1033</v>
    <v>1034</v>
    <v>1035</v>
    <v>Poughkeepsie, New York</v>
    <v>1036</v>
    <v>11</v>
    <v>Poughkeepsie, New York</v>
    <v>mdp/vdpid/5487244055920246785</v>
  </rv>
  <rv s="0">
    <v>536870912</v>
    <v>Barcelona</v>
    <v>d5173d0d-188f-c557-d46a-fbf1f89f03ce</v>
    <v>en-US</v>
    <v>Map</v>
  </rv>
  <rv s="0">
    <v>536870912</v>
    <v>Barcelona Province</v>
    <v>b2a3ae51-9710-d8d5-f226-e01e09478534</v>
    <v>en-US</v>
    <v>Map</v>
  </rv>
  <rv s="1">
    <fb>101.3</fb>
    <v>8</v>
  </rv>
  <rv s="2">
    <v>34</v>
    <v>6</v>
    <v>180</v>
    <v>7</v>
    <v>0</v>
    <v>Image of Barcelona</v>
  </rv>
  <rv s="1">
    <fb>41.3825</fb>
    <v>9</v>
  </rv>
  <rv s="0">
    <v>805306368</v>
    <v>Jaume Collboni (Mayor)</v>
    <v>fb505805-3540-2bdd-59af-416cc66976e3</v>
    <v>en-US</v>
    <v>Generic</v>
  </rv>
  <rv s="3">
    <v>58</v>
  </rv>
  <rv s="4">
    <v>https://www.bing.com/search?q=barcelona&amp;form=skydnc</v>
    <v>Learn more on Bing</v>
  </rv>
  <rv s="1">
    <fb>2.1769444444444002</fb>
    <v>9</v>
  </rv>
  <rv s="1">
    <fb>1660122</fb>
    <v>8</v>
  </rv>
  <rv s="14">
    <v>#VALUE!</v>
    <v>181</v>
    <v>154</v>
    <v>Barcelona</v>
    <v>4</v>
    <v>5</v>
    <v>Map</v>
    <v>6</v>
    <v>155</v>
    <v>en-US</v>
    <v>d5173d0d-188f-c557-d46a-fbf1f89f03ce</v>
    <v>536870912</v>
    <v>1</v>
    <v>1039</v>
    <v>1040</v>
    <v>796</v>
    <v>Barcelona is a city on the northeastern coast of Spain. It is the capital and largest city of the autonomous community of Catalonia, as well as the second-most populous municipality of Spain. With a population of 1.6 million within city limits, ...</v>
    <v>1041</v>
    <v>1042</v>
    <v>1044</v>
    <v>1045</v>
    <v>1046</v>
    <v>Barcelona</v>
    <v>1047</v>
    <v>Barcelona</v>
    <v>mdp/vdpid/7207108388495294465</v>
  </rv>
  <rv s="0">
    <v>536870912</v>
    <v>Netherlands</v>
    <v>bf5c1a4b-df0b-09dc-dce0-e3fb0c898dd3</v>
    <v>en-US</v>
    <v>Map</v>
  </rv>
  <rv s="1">
    <fb>0.53309587414663095</fb>
    <v>29</v>
  </rv>
  <rv s="1">
    <fb>37378</fb>
    <v>8</v>
  </rv>
  <rv s="1">
    <fb>41000</fb>
    <v>8</v>
  </rv>
  <rv s="1">
    <fb>9.6999999999999993</fb>
    <v>30</v>
  </rv>
  <rv s="1">
    <fb>31</fb>
    <v>31</v>
  </rv>
  <rv s="0">
    <v>536870912</v>
    <v>Amsterdam</v>
    <v>0b840501-8599-9528-5b22-13589caf205a</v>
    <v>en-US</v>
    <v>Map</v>
  </rv>
  <rv s="1">
    <fb>170779.524</fb>
    <v>8</v>
  </rv>
  <rv s="1">
    <fb>115.907994941178</fb>
    <v>32</v>
  </rv>
  <rv s="1">
    <fb>2.6336991024959299E-2</fb>
    <v>29</v>
  </rv>
  <rv s="1">
    <fb>6712.7747582450002</fb>
    <v>8</v>
  </rv>
  <rv s="1">
    <fb>1.59</fb>
    <v>30</v>
  </rv>
  <rv s="1">
    <fb>0.11178391395177099</fb>
    <v>29</v>
  </rv>
  <rv s="1">
    <fb>93.461004609605595</fb>
    <v>33</v>
  </rv>
  <rv s="1">
    <fb>1.68</fb>
    <v>34</v>
  </rv>
  <rv s="1">
    <fb>909070395160.78296</fb>
    <v>35</v>
  </rv>
  <rv s="1">
    <fb>1.0422962</fb>
    <v>29</v>
  </rv>
  <rv s="1">
    <fb>0.84980450000000007</fb>
    <v>29</v>
  </rv>
  <rv s="2">
    <v>35</v>
    <v>6</v>
    <v>183</v>
    <v>7</v>
    <v>0</v>
    <v>Image of Netherlands</v>
  </rv>
  <rv s="1">
    <fb>3.3</fb>
    <v>33</v>
  </rv>
  <rv s="0">
    <v>805306368</v>
    <v>Willem-Alexander of the Netherlands (Monarch)</v>
    <v>70912573-f10f-4d1d-a8f8-220566451e74</v>
    <v>en-US</v>
    <v>Generic</v>
  </rv>
  <rv s="0">
    <v>805306368</v>
    <v>Dick Schoof (Prime minister)</v>
    <v>f233de31-7c15-bae6-4524-fea7e2b4af68</v>
    <v>en-US</v>
    <v>Generic</v>
  </rv>
  <rv s="3">
    <v>59</v>
  </rv>
  <rv s="4">
    <v>https://www.bing.com/search?q=netherlands&amp;form=skydnc</v>
    <v>Learn more on Bing</v>
  </rv>
  <rv s="1">
    <fb>81.760975609756102</fb>
    <v>33</v>
  </rv>
  <rv s="1">
    <fb>1100105440292.49</fb>
    <v>35</v>
  </rv>
  <rv s="1">
    <fb>10.29</fb>
    <v>34</v>
  </rv>
  <rv s="3">
    <v>60</v>
  </rv>
  <rv s="1">
    <fb>0.1225176999</fb>
    <v>29</v>
  </rv>
  <rv s="1">
    <fb>3.6053999999999999</fb>
    <v>30</v>
  </rv>
  <rv s="1">
    <fb>17942942</fb>
    <v>8</v>
  </rv>
  <rv s="1">
    <fb>0.13800000000000001</fb>
    <v>29</v>
  </rv>
  <rv s="1">
    <fb>0.17499999999999999</fb>
    <v>29</v>
  </rv>
  <rv s="1">
    <fb>0.63619998931884802</fb>
    <v>29</v>
  </rv>
  <rv s="0">
    <v>536870912</v>
    <v>Groningen</v>
    <v>d523b02d-2f28-981e-9282-8f6cddd23d80</v>
    <v>en-US</v>
    <v>Map</v>
  </rv>
  <rv s="0">
    <v>536870912</v>
    <v>Friesland</v>
    <v>d3c60b92-e27c-cc6a-6ef5-f0937e506af0</v>
    <v>en-US</v>
    <v>Map</v>
  </rv>
  <rv s="0">
    <v>536870912</v>
    <v>Gelderland</v>
    <v>47e59e29-1b92-c09c-0310-bba63a79744b</v>
    <v>en-US</v>
    <v>Map</v>
  </rv>
  <rv s="0">
    <v>536870912</v>
    <v>South Holland</v>
    <v>a189b2b4-4c8d-e909-49ed-1b6f571a33c2</v>
    <v>en-US</v>
    <v>Map</v>
  </rv>
  <rv s="0">
    <v>536870912</v>
    <v>North Holland</v>
    <v>1cbd1d08-fab6-2da6-0edd-41aa626502c2</v>
    <v>en-US</v>
    <v>Map</v>
  </rv>
  <rv s="0">
    <v>536870912</v>
    <v>Overijssel</v>
    <v>c80fa63b-8b0d-7117-09f7-f3b063ba8e8c</v>
    <v>en-US</v>
    <v>Map</v>
  </rv>
  <rv s="0">
    <v>536870912</v>
    <v>North Brabant</v>
    <v>67287e9d-748b-ece4-4770-99ec69c94b1a</v>
    <v>en-US</v>
    <v>Map</v>
  </rv>
  <rv s="0">
    <v>536870912</v>
    <v>Limburg</v>
    <v>ba5627ab-eb52-6b56-c39c-399bd1e23825</v>
    <v>en-US</v>
    <v>Map</v>
  </rv>
  <rv s="0">
    <v>536870912</v>
    <v>Flevoland</v>
    <v>994d48a1-a44d-0664-1089-99ddd4d7e63d</v>
    <v>en-US</v>
    <v>Map</v>
  </rv>
  <rv s="0">
    <v>536870912</v>
    <v>Zeeland</v>
    <v>b07124fd-c9f8-1712-1bd3-030b62afdd3d</v>
    <v>en-US</v>
    <v>Map</v>
  </rv>
  <rv s="0">
    <v>536870912</v>
    <v>Drenthe</v>
    <v>598e815b-602f-15c5-256e-a36860ffc830</v>
    <v>en-US</v>
    <v>Map</v>
  </rv>
  <rv s="0">
    <v>536870912</v>
    <v>Utrecht</v>
    <v>555963f7-e818-0e35-b5c8-1a97c8e78ed7</v>
    <v>en-US</v>
    <v>Map</v>
  </rv>
  <rv s="0">
    <v>536870912</v>
    <v>Bonaire</v>
    <v>07f27f8a-d073-328d-927f-a0db18eedf7c</v>
    <v>en-US</v>
    <v>Map</v>
  </rv>
  <rv s="0">
    <v>536870912</v>
    <v>Sint Eustatius</v>
    <v>bd1174e8-c3f5-aee0-f4bd-67475d9dfe98</v>
    <v>en-US</v>
    <v>Map</v>
  </rv>
  <rv s="3">
    <v>61</v>
  </rv>
  <rv s="1">
    <fb>0.230359193787393</fb>
    <v>29</v>
  </rv>
  <rv s="3">
    <v>62</v>
  </rv>
  <rv s="1">
    <fb>0.41200000000000003</fb>
    <v>29</v>
  </rv>
  <rv s="1">
    <fb>3.1960000991821301E-2</fb>
    <v>36</v>
  </rv>
  <rv s="1">
    <fb>15924729</fb>
    <v>8</v>
  </rv>
  <rv s="6">
    <v>#VALUE!</v>
    <v>186</v>
    <v>27</v>
    <v>Netherlands</v>
    <v>4</v>
    <v>5</v>
    <v>Map</v>
    <v>6</v>
    <v>187</v>
    <v>en-US</v>
    <v>bf5c1a4b-df0b-09dc-dce0-e3fb0c898dd3</v>
    <v>536870912</v>
    <v>1</v>
    <v>NL</v>
    <v>1050</v>
    <v>1051</v>
    <v>1052</v>
    <v>1053</v>
    <v>1054</v>
    <v>1055</v>
    <v>1056</v>
    <v>1057</v>
    <v>1058</v>
    <v>EUR</v>
    <v>The Netherlands, informally Holland, is a country in Northwestern Europe, with overseas territories in the Caribbean. It is the largest of the four constituent countries of the Kingdom of the Netherlands. The Netherlands consists of twelve ...</v>
    <v>1059</v>
    <v>1060</v>
    <v>1061</v>
    <v>1062</v>
    <v>1063</v>
    <v>1064</v>
    <v>1065</v>
    <v>1066</v>
    <v>1067</v>
    <v>1068</v>
    <v>1055</v>
    <v>1071</v>
    <v>1072</v>
    <v>1073</v>
    <v>1074</v>
    <v>721</v>
    <v>1075</v>
    <v>Netherlands</v>
    <v>Wilhelmus</v>
    <v>1076</v>
    <v>Nederland</v>
    <v>1077</v>
    <v>1078</v>
    <v>1079</v>
    <v>480</v>
    <v>178</v>
    <v>238</v>
    <v>327</v>
    <v>304</v>
    <v>1080</v>
    <v>1081</v>
    <v>1082</v>
    <v>1097</v>
    <v>1098</v>
    <v>1099</v>
    <v>1100</v>
    <v>1101</v>
    <v>Netherlands</v>
    <v>1102</v>
    <v>mdp/vdpid/176</v>
  </rv>
  <rv s="0">
    <v>536870912</v>
    <v>Boston</v>
    <v>f0f5899a-361f-4fe4-89d1-11130aa2c653</v>
    <v>en-US</v>
    <v>Map</v>
  </rv>
  <rv s="0">
    <v>536870912</v>
    <v>Suffolk County</v>
    <v>cc8426c8-f6bc-398c-aab9-d3baeeb8d2cd</v>
    <v>en-US</v>
    <v>Map</v>
  </rv>
  <rv s="1">
    <fb>232.16776100000001</fb>
    <v>8</v>
  </rv>
  <rv s="0">
    <v>536870912</v>
    <v>Province of Massachusetts Bay</v>
    <v>05c8a95b-0b0f-51d2-5794-107d56018d69</v>
    <v>en-US</v>
    <v>Map</v>
  </rv>
  <rv s="2">
    <v>36</v>
    <v>6</v>
    <v>188</v>
    <v>7</v>
    <v>0</v>
    <v>Image of Boston</v>
  </rv>
  <rv s="1">
    <fb>42.360277777777803</fb>
    <v>9</v>
  </rv>
  <rv s="0">
    <v>805306368</v>
    <v>Michelle Wu (Mayor)</v>
    <v>08af4efd-ebd0-46fe-8bf9-e695cde7c2b8</v>
    <v>en-US</v>
    <v>Generic</v>
  </rv>
  <rv s="3">
    <v>63</v>
  </rv>
  <rv s="4">
    <v>https://www.bing.com/search?q=boston+massachusetts&amp;form=skydnc</v>
    <v>Learn more on Bing</v>
  </rv>
  <rv s="1">
    <fb>-71.057777777777801</fb>
    <v>9</v>
  </rv>
  <rv s="1">
    <fb>675647</fb>
    <v>8</v>
  </rv>
  <rv s="11">
    <v>#VALUE!</v>
    <v>189</v>
    <v>113</v>
    <v>Boston</v>
    <v>4</v>
    <v>5</v>
    <v>Map</v>
    <v>6</v>
    <v>7</v>
    <v>en-US</v>
    <v>f0f5899a-361f-4fe4-89d1-11130aa2c653</v>
    <v>536870912</v>
    <v>1</v>
    <v>74</v>
    <v>1105</v>
    <v>1106</v>
    <v>1107</v>
    <v>Boston, officially the state of Boston, is the capital and most populous city in the Commonwealth of Massachusetts in the United States. The city serves as the cultural and financial center of the New England region of the Northeastern United ...</v>
    <v>1108</v>
    <v>1109</v>
    <v>1111</v>
    <v>1112</v>
    <v>1113</v>
    <v>Boston</v>
    <v>1114</v>
    <v>11</v>
    <v>Boston</v>
    <v>mdp/vdpid/5488162429013590018</v>
  </rv>
  <rv s="0">
    <v>536870912</v>
    <v>Hanover</v>
    <v>8cbec06b-1881-ae51-6d9c-230e82b37dd8</v>
    <v>en-US</v>
    <v>Map</v>
  </rv>
  <rv s="0">
    <v>536870912</v>
    <v>Lower Saxony</v>
    <v>c91589e2-9db8-e9f2-b60d-1000c3502bc2</v>
    <v>en-US</v>
    <v>Map</v>
  </rv>
  <rv s="0">
    <v>536870912</v>
    <v>Hanover Region</v>
    <v>72426456-eb5d-447a-a76c-c0a66928509f</v>
    <v>en-US</v>
    <v>Map</v>
  </rv>
  <rv s="1">
    <fb>204.15</fb>
    <v>8</v>
  </rv>
  <rv s="0">
    <v>536870912</v>
    <v>Germany</v>
    <v>75c62d8e-1449-4e4d-b188-d9e88f878dd9</v>
    <v>en-US</v>
    <v>Map</v>
  </rv>
  <rv s="2">
    <v>37</v>
    <v>6</v>
    <v>190</v>
    <v>7</v>
    <v>0</v>
    <v>Image of Hanover</v>
  </rv>
  <rv s="1">
    <fb>52.374444444444002</fb>
    <v>9</v>
  </rv>
  <rv s="0">
    <v>805306368</v>
    <v>Belit Onay (Mayor)</v>
    <v>badae67f-fa74-405c-8aad-0b862c2cb5bd</v>
    <v>en-US</v>
    <v>Generic</v>
  </rv>
  <rv s="3">
    <v>64</v>
  </rv>
  <rv s="4">
    <v>https://www.bing.com/search?q=hanover+germany&amp;form=skydnc</v>
    <v>Learn more on Bing</v>
  </rv>
  <rv s="1">
    <fb>9.7386111111110996</fb>
    <v>9</v>
  </rv>
  <rv s="1">
    <fb>545045</fb>
    <v>8</v>
  </rv>
  <rv s="11">
    <v>#VALUE!</v>
    <v>191</v>
    <v>113</v>
    <v>Hanover</v>
    <v>4</v>
    <v>5</v>
    <v>Map</v>
    <v>6</v>
    <v>192</v>
    <v>en-US</v>
    <v>8cbec06b-1881-ae51-6d9c-230e82b37dd8</v>
    <v>536870912</v>
    <v>1</v>
    <v>1117</v>
    <v>1118</v>
    <v>1119</v>
    <v>1120</v>
    <v>Hanover is the capital and largest city of the German state of Lower Saxony. Its population of 535,932 makes it the 13th-largest city in Germany as well as the fourth-largest in northern Germany after Berlin, Hamburg and Bremen. Hanover's urban ...</v>
    <v>1121</v>
    <v>1122</v>
    <v>1124</v>
    <v>1125</v>
    <v>1126</v>
    <v>Hanover</v>
    <v>1127</v>
    <v>804</v>
    <v>Hanover</v>
    <v>mdp/vdpid/7011770605024313347</v>
  </rv>
  <rv s="1">
    <fb>0.47678612319670299</fb>
    <v>29</v>
  </rv>
  <rv s="1">
    <fb>357587.77</fb>
    <v>8</v>
  </rv>
  <rv s="1">
    <fb>180000</fb>
    <v>8</v>
  </rv>
  <rv s="1">
    <fb>9.5</fb>
    <v>30</v>
  </rv>
  <rv s="1">
    <fb>49</fb>
    <v>31</v>
  </rv>
  <rv s="0">
    <v>536870912</v>
    <v>Berlin</v>
    <v>42784943-7c23-7672-5527-06f89b965cdf</v>
    <v>en-US</v>
    <v>Map</v>
  </rv>
  <rv s="1">
    <fb>727972.84</fb>
    <v>8</v>
  </rv>
  <rv s="1">
    <fb>112.854887342124</fb>
    <v>32</v>
  </rv>
  <rv s="1">
    <fb>1.4456670146976E-2</fb>
    <v>29</v>
  </rv>
  <rv s="1">
    <fb>7035.4829747167596</fb>
    <v>8</v>
  </rv>
  <rv s="1">
    <fb>1.56</fb>
    <v>30</v>
  </rv>
  <rv s="1">
    <fb>0.326912067781085</fb>
    <v>29</v>
  </rv>
  <rv s="1">
    <fb>78.862551056754995</fb>
    <v>33</v>
  </rv>
  <rv s="1">
    <fb>3845630030823.52</fb>
    <v>35</v>
  </rv>
  <rv s="1">
    <fb>1.0402236</fb>
    <v>29</v>
  </rv>
  <rv s="1">
    <fb>0.70246649999999999</fb>
    <v>29</v>
  </rv>
  <rv s="2">
    <v>38</v>
    <v>6</v>
    <v>194</v>
    <v>7</v>
    <v>0</v>
    <v>Image of Germany</v>
  </rv>
  <rv s="1">
    <fb>3.1</fb>
    <v>33</v>
  </rv>
  <rv s="0">
    <v>805306368</v>
    <v>Frank-Walter Steinmeier (President)</v>
    <v>a6d595f9-116c-57de-2b35-48e9bde9f83d</v>
    <v>en-US</v>
    <v>Generic</v>
  </rv>
  <rv s="0">
    <v>805306368</v>
    <v>Olaf Scholz (Chancellor)</v>
    <v>d327207b-5560-1fae-17a8-4bc95203ea8e</v>
    <v>en-US</v>
    <v>Generic</v>
  </rv>
  <rv s="3">
    <v>65</v>
  </rv>
  <rv s="4">
    <v>https://www.bing.com/search?q=germany&amp;form=skydnc</v>
    <v>Learn more on Bing</v>
  </rv>
  <rv s="1">
    <fb>80.892682926829295</fb>
    <v>33</v>
  </rv>
  <rv s="1">
    <fb>2098173930000</fb>
    <v>35</v>
  </rv>
  <rv s="1">
    <fb>7</fb>
    <v>33</v>
  </rv>
  <rv s="1">
    <fb>9.99</fb>
    <v>34</v>
  </rv>
  <rv s="3">
    <v>66</v>
  </rv>
  <rv s="1">
    <fb>0.12528421940000001</fb>
    <v>29</v>
  </rv>
  <rv s="1">
    <fb>4.2488000000000001</fb>
    <v>30</v>
  </rv>
  <rv s="1">
    <fb>84079811</fb>
    <v>8</v>
  </rv>
  <rv s="1">
    <fb>0.22800000000000001</fb>
    <v>29</v>
  </rv>
  <rv s="1">
    <fb>0.39600000000000002</fb>
    <v>29</v>
  </rv>
  <rv s="1">
    <fb>7.5999999999999998E-2</fb>
    <v>29</v>
  </rv>
  <rv s="1">
    <fb>0.17100000000000001</fb>
    <v>29</v>
  </rv>
  <rv s="1">
    <fb>0.60811000823974604</fb>
    <v>29</v>
  </rv>
  <rv s="0">
    <v>536870912</v>
    <v>Baden-Württemberg</v>
    <v>e4767d1d-15fd-a8bd-1fcd-f8214d3c189f</v>
    <v>en-US</v>
    <v>Map</v>
  </rv>
  <rv s="0">
    <v>536870912</v>
    <v>Bavaria</v>
    <v>e4f7e69f-e1bc-189a-d23d-b2ecee6a88d5</v>
    <v>en-US</v>
    <v>Map</v>
  </rv>
  <rv s="0">
    <v>536870912</v>
    <v>Bremen</v>
    <v>70a6262d-6ded-6a1a-8a3d-e24538d50a05</v>
    <v>en-US</v>
    <v>Map</v>
  </rv>
  <rv s="0">
    <v>536870912</v>
    <v>Hamburg</v>
    <v>0937ec8c-54f7-94c7-d7b8-0ea8c6cfce6f</v>
    <v>en-US</v>
    <v>Map</v>
  </rv>
  <rv s="0">
    <v>536870912</v>
    <v>Mecklenburg-Vorpommern</v>
    <v>b0adc1b4-6fe2-3ad0-81e1-78c9ba53cedb</v>
    <v>en-US</v>
    <v>Map</v>
  </rv>
  <rv s="0">
    <v>536870912</v>
    <v>North Rhine-Westphalia</v>
    <v>7192ac29-308b-9018-2da7-1d16b5afb233</v>
    <v>en-US</v>
    <v>Map</v>
  </rv>
  <rv s="0">
    <v>536870912</v>
    <v>Rhineland-Palatinate</v>
    <v>b2634da1-26f3-4709-d63d-9f9489a33d9c</v>
    <v>en-US</v>
    <v>Map</v>
  </rv>
  <rv s="0">
    <v>536870912</v>
    <v>Saarland</v>
    <v>077b3058-0078-d492-aee0-52b8d21ee39e</v>
    <v>en-US</v>
    <v>Map</v>
  </rv>
  <rv s="0">
    <v>536870912</v>
    <v>Saxony</v>
    <v>db04ed86-d227-952f-dbae-2881e92d2d0a</v>
    <v>en-US</v>
    <v>Map</v>
  </rv>
  <rv s="0">
    <v>536870912</v>
    <v>Saxony-Anhalt</v>
    <v>6af91c75-020d-7d63-0e2d-ab73f9f73280</v>
    <v>en-US</v>
    <v>Map</v>
  </rv>
  <rv s="0">
    <v>536870912</v>
    <v>Schleswig-Holstein</v>
    <v>6dde426c-96c7-18bd-f4e1-b41b7575557a</v>
    <v>en-US</v>
    <v>Map</v>
  </rv>
  <rv s="0">
    <v>536870912</v>
    <v>Brandenburg</v>
    <v>c841173c-24ae-1249-8be1-c2ff2ec02111</v>
    <v>en-US</v>
    <v>Map</v>
  </rv>
  <rv s="0">
    <v>536870912</v>
    <v>Hesse</v>
    <v>90fbe078-3753-40db-ff12-40aa58e76c5f</v>
    <v>en-US</v>
    <v>Map</v>
  </rv>
  <rv s="3">
    <v>67</v>
  </rv>
  <rv s="1">
    <fb>0.11505903952014901</fb>
    <v>29</v>
  </rv>
  <rv s="1">
    <fb>0.48799999999999999</fb>
    <v>29</v>
  </rv>
  <rv s="1">
    <fb>3.0429999828338602E-2</fb>
    <v>36</v>
  </rv>
  <rv s="1">
    <fb>64324835</fb>
    <v>8</v>
  </rv>
  <rv s="6">
    <v>#VALUE!</v>
    <v>197</v>
    <v>27</v>
    <v>Germany</v>
    <v>4</v>
    <v>5</v>
    <v>Map</v>
    <v>6</v>
    <v>198</v>
    <v>en-US</v>
    <v>75c62d8e-1449-4e4d-b188-d9e88f878dd9</v>
    <v>536870912</v>
    <v>1</v>
    <v>DE</v>
    <v>1129</v>
    <v>1130</v>
    <v>1131</v>
    <v>1132</v>
    <v>1133</v>
    <v>1134</v>
    <v>1135</v>
    <v>1136</v>
    <v>1137</v>
    <v>EUR</v>
    <v>Germany, officially the Federal Republic of Germany, is a country in Central Europe. It lies between the Baltic and North Sea to the north and the Alps to the south. Its sixteen constituent states have a total population of over 82 million in an ...</v>
    <v>1138</v>
    <v>1139</v>
    <v>1140</v>
    <v>1141</v>
    <v>909</v>
    <v>1142</v>
    <v>1143</v>
    <v>1144</v>
    <v>1145</v>
    <v>1146</v>
    <v>1134</v>
    <v>1149</v>
    <v>1150</v>
    <v>1151</v>
    <v>1152</v>
    <v>1153</v>
    <v>1154</v>
    <v>Germany</v>
    <v>National Anthem of Germany</v>
    <v>1155</v>
    <v>Bundesrepublik Deutschland</v>
    <v>1156</v>
    <v>1157</v>
    <v>1158</v>
    <v>1159</v>
    <v>420</v>
    <v>1160</v>
    <v>210</v>
    <v>1161</v>
    <v>297</v>
    <v>1162</v>
    <v>1163</v>
    <v>1177</v>
    <v>1178</v>
    <v>804</v>
    <v>1179</v>
    <v>1180</v>
    <v>Germany</v>
    <v>1181</v>
    <v>mdp/vdpid/94</v>
  </rv>
  <rv s="1">
    <fb>891.12</fb>
    <v>8</v>
  </rv>
  <rv s="1">
    <fb>1794936</fb>
    <v>8</v>
  </rv>
  <rv s="1">
    <fb>1868905</fb>
    <v>8</v>
  </rv>
  <rv s="2">
    <v>39</v>
    <v>6</v>
    <v>199</v>
    <v>7</v>
    <v>0</v>
    <v>Image of Berlin</v>
  </rv>
  <rv s="0">
    <v>805306368</v>
    <v>Franziska Giffey (Mayor)</v>
    <v>0f36a115-cd69-74b0-1ad8-5ee6074d7916</v>
    <v>en-US</v>
    <v>Generic</v>
  </rv>
  <rv s="3">
    <v>68</v>
  </rv>
  <rv s="4">
    <v>https://www.bing.com/search?q=berlin+germany&amp;form=skydnc</v>
    <v>Learn more on Bing</v>
  </rv>
  <rv s="1">
    <fb>1.83</fb>
    <v>30</v>
  </rv>
  <rv s="1">
    <fb>3755251</fb>
    <v>8</v>
  </rv>
  <rv s="17">
    <v>#VALUE!</v>
    <v>202</v>
    <v>203</v>
    <v>Berlin</v>
    <v>4</v>
    <v>5</v>
    <v>Map</v>
    <v>6</v>
    <v>204</v>
    <v>en-US</v>
    <v>42784943-7c23-7672-5527-06f89b965cdf</v>
    <v>536870912</v>
    <v>1</v>
    <v>DE-BE</v>
    <v>1183</v>
    <v>1120</v>
    <v>Berlin is the capital and largest city of Germany by both area and by population. Its more than 3.85 million inhabitants make it the European Union's most populous city, according to population within city limits. Simultaneously, the city is one ...</v>
    <v>1184</v>
    <v>1185</v>
    <v>1186</v>
    <v>1188</v>
    <v>1189</v>
    <v>Berlin</v>
    <v>1155</v>
    <v>1190</v>
    <v>1191</v>
    <v>Berlin</v>
    <v>mdp/vdpid/7017957146650214401</v>
  </rv>
  <rv s="0">
    <v>536870912</v>
    <v>Lewiston, Maine</v>
    <v>62a324e3-9115-74d0-eb60-8ff7798072b8</v>
    <v>en-US</v>
    <v>Map</v>
  </rv>
  <rv s="0">
    <v>536870912</v>
    <v>Androscoggin County, Maine</v>
    <v>79a052aa-0d2a-6f20-3c5b-dfc84bd67b56</v>
    <v>en-US</v>
    <v>Map</v>
  </rv>
  <rv s="1">
    <fb>92.034599</fb>
    <v>8</v>
  </rv>
  <rv s="2">
    <v>40</v>
    <v>6</v>
    <v>205</v>
    <v>7</v>
    <v>0</v>
    <v>Image of Lewiston, Maine</v>
  </rv>
  <rv s="1">
    <fb>44.100555555555601</fb>
    <v>9</v>
  </rv>
  <rv s="0">
    <v>805306368</v>
    <v>Carl Sheline (Mayor)</v>
    <v>1d8bfa6f-8754-047a-7b4a-7ace04079e6d</v>
    <v>en-US</v>
    <v>Generic</v>
  </rv>
  <rv s="3">
    <v>69</v>
  </rv>
  <rv s="4">
    <v>https://www.bing.com/search?q=lewiston+maine&amp;form=skydnc</v>
    <v>Learn more on Bing</v>
  </rv>
  <rv s="1">
    <fb>-70.2152777777778</fb>
    <v>9</v>
  </rv>
  <rv s="1">
    <fb>37121</fb>
    <v>8</v>
  </rv>
  <rv s="11">
    <v>#VALUE!</v>
    <v>206</v>
    <v>113</v>
    <v>Lewiston, Maine</v>
    <v>4</v>
    <v>5</v>
    <v>Map</v>
    <v>6</v>
    <v>7</v>
    <v>en-US</v>
    <v>62a324e3-9115-74d0-eb60-8ff7798072b8</v>
    <v>536870912</v>
    <v>1</v>
    <v>72</v>
    <v>1194</v>
    <v>1195</v>
    <v>594</v>
    <v>Lewiston is the second most populous city in the U.S. state of Maine, with the city's population at 37,121 as of the 2020 United States Census. The city lies halfway between Augusta, the state's capital, and Portland, the state's most populous ...</v>
    <v>1196</v>
    <v>1197</v>
    <v>1199</v>
    <v>1200</v>
    <v>1201</v>
    <v>Lewiston, Maine</v>
    <v>1202</v>
    <v>11</v>
    <v>Lewiston, Maine</v>
    <v>mdp/vdpid/5488274503953809410</v>
  </rv>
  <rv s="0">
    <v>536870912</v>
    <v>College Station, Texas</v>
    <v>b2094016-bb67-474f-80d3-22fdfcee1175</v>
    <v>en-US</v>
    <v>Map</v>
  </rv>
  <rv s="0">
    <v>536870912</v>
    <v>Brazos County</v>
    <v>d3d68b68-2350-fe52-ee1a-1d3159b7dbff</v>
    <v>en-US</v>
    <v>Map</v>
  </rv>
  <rv s="1">
    <fb>132.44009399999999</fb>
    <v>8</v>
  </rv>
  <rv s="2">
    <v>41</v>
    <v>6</v>
    <v>207</v>
    <v>7</v>
    <v>0</v>
    <v>Image of College Station, Texas</v>
  </rv>
  <rv s="1">
    <fb>30.601388888889002</fb>
    <v>9</v>
  </rv>
  <rv s="0">
    <v>805306368</v>
    <v>John Nichols (Mayor)</v>
    <v>8aefaab9-eda5-951c-97b0-ef950d040107</v>
    <v>en-US</v>
    <v>Generic</v>
  </rv>
  <rv s="3">
    <v>70</v>
  </rv>
  <rv s="4">
    <v>https://www.bing.com/search?q=college+station+texas&amp;form=skydnc</v>
    <v>Learn more on Bing</v>
  </rv>
  <rv s="1">
    <fb>-96.314444444444007</fb>
    <v>9</v>
  </rv>
  <rv s="1">
    <fb>120511</fb>
    <v>8</v>
  </rv>
  <rv s="16">
    <v>#VALUE!</v>
    <v>208</v>
    <v>170</v>
    <v>College Station, Texas</v>
    <v>4</v>
    <v>5</v>
    <v>Map</v>
    <v>6</v>
    <v>7</v>
    <v>en-US</v>
    <v>b2094016-bb67-474f-80d3-22fdfcee1175</v>
    <v>536870912</v>
    <v>1</v>
    <v>95</v>
    <v>1205</v>
    <v>1206</v>
    <v>3</v>
    <v>College Station is a city in Brazos County, Texas, United States, situated in East-Central Texas in the heart of the Brazos Valley, towards the eastern edge of the region known as the Texas Triangle. It is 83 miles northwest of Houston and 87 ...</v>
    <v>1207</v>
    <v>1208</v>
    <v>1210</v>
    <v>1211</v>
    <v>1212</v>
    <v>College Station, Texas</v>
    <v>1213</v>
    <v>College Station, Texas</v>
    <v>mdp/vdpid/5108952542566416385</v>
  </rv>
  <rv s="0">
    <v>536870912</v>
    <v>Australia</v>
    <v>06de2191-243d-a83f-6990-2eb1c7f3382a</v>
    <v>en-US</v>
    <v>Map</v>
  </rv>
  <rv s="1">
    <fb>0.48241944248714902</fb>
    <v>29</v>
  </rv>
  <rv s="1">
    <fb>7692024</fb>
    <v>8</v>
  </rv>
  <rv s="1">
    <fb>58000</fb>
    <v>8</v>
  </rv>
  <rv s="1">
    <fb>12.6</fb>
    <v>30</v>
  </rv>
  <rv s="1">
    <fb>61</fb>
    <v>31</v>
  </rv>
  <rv s="0">
    <v>536870912</v>
    <v>Canberra</v>
    <v>59ab58e3-2f00-9175-e7b8-76d910040855</v>
    <v>en-US</v>
    <v>Map</v>
  </rv>
  <rv s="1">
    <fb>375907.837</fb>
    <v>8</v>
  </rv>
  <rv s="1">
    <fb>119.797086368366</fb>
    <v>32</v>
  </rv>
  <rv s="1">
    <fb>1.61076787290379E-2</fb>
    <v>29</v>
  </rv>
  <rv s="1">
    <fb>10071.3989785006</fb>
    <v>8</v>
  </rv>
  <rv s="1">
    <fb>1.74</fb>
    <v>30</v>
  </rv>
  <rv s="1">
    <fb>0.16258278059599401</fb>
    <v>29</v>
  </rv>
  <rv s="1">
    <fb>89.625630110237395</fb>
    <v>33</v>
  </rv>
  <rv s="1">
    <fb>0.93</fb>
    <v>34</v>
  </rv>
  <rv s="1">
    <fb>1392680589329.1399</fb>
    <v>35</v>
  </rv>
  <rv s="1">
    <fb>1.0033898000000001</fb>
    <v>29</v>
  </rv>
  <rv s="1">
    <fb>1.1314216000000001</fb>
    <v>29</v>
  </rv>
  <rv s="2">
    <v>42</v>
    <v>6</v>
    <v>210</v>
    <v>7</v>
    <v>0</v>
    <v>Image of Australia</v>
  </rv>
  <rv s="0">
    <v>536870912</v>
    <v>Sydney</v>
    <v>3ecec2e8-2993-42e7-7299-f693bbe3b9b9</v>
    <v>en-US</v>
    <v>Map</v>
  </rv>
  <rv s="0">
    <v>805306368</v>
    <v>Anthony Albanese (Prime minister)</v>
    <v>00f8b947-2f64-9828-df4d-5993583bdbe4</v>
    <v>en-US</v>
    <v>Generic</v>
  </rv>
  <rv s="3">
    <v>71</v>
  </rv>
  <rv s="4">
    <v>https://www.bing.com/search?q=australia&amp;form=skydnc</v>
    <v>Learn more on Bing</v>
  </rv>
  <rv s="1">
    <fb>82.748780487804893</fb>
    <v>33</v>
  </rv>
  <rv s="1">
    <fb>1487598500000</fb>
    <v>35</v>
  </rv>
  <rv s="1">
    <fb>6</fb>
    <v>33</v>
  </rv>
  <rv s="1">
    <fb>13.59</fb>
    <v>34</v>
  </rv>
  <rv s="3">
    <v>72</v>
  </rv>
  <rv s="1">
    <fb>0.19558295019999999</fb>
    <v>29</v>
  </rv>
  <rv s="1">
    <fb>3.6778</fb>
    <v>30</v>
  </rv>
  <rv s="1">
    <fb>25978935</fb>
    <v>8</v>
  </rv>
  <rv s="1">
    <fb>0.221</fb>
    <v>29</v>
  </rv>
  <rv s="1">
    <fb>0.42100000000000004</fb>
    <v>29</v>
  </rv>
  <rv s="1">
    <fb>7.400000000000001E-2</fb>
    <v>29</v>
  </rv>
  <rv s="1">
    <fb>0.65517997741699208</fb>
    <v>29</v>
  </rv>
  <rv s="0">
    <v>536870912</v>
    <v>Australian Capital Territory</v>
    <v>c296eb2e-2c1a-16bf-bc37-164541ce7365</v>
    <v>en-US</v>
    <v>Map</v>
  </rv>
  <rv s="0">
    <v>536870912</v>
    <v>New South Wales</v>
    <v>9143b1e4-782f-52c3-0f4a-cea5eaf6f36a</v>
    <v>en-US</v>
    <v>Map</v>
  </rv>
  <rv s="0">
    <v>536870912</v>
    <v>Northern Territory</v>
    <v>20947ace-4dd4-0516-21df-2af8da517b06</v>
    <v>en-US</v>
    <v>Map</v>
  </rv>
  <rv s="0">
    <v>536870912</v>
    <v>Queensland</v>
    <v>d8d1c6ea-bc68-82f2-5bb3-ae7aa11442b4</v>
    <v>en-US</v>
    <v>Map</v>
  </rv>
  <rv s="0">
    <v>536870912</v>
    <v>South Australia</v>
    <v>202994ba-49c2-98c5-91fa-e0b05ffcf2da</v>
    <v>en-US</v>
    <v>Map</v>
  </rv>
  <rv s="0">
    <v>536870912</v>
    <v>Tasmania</v>
    <v>8327961c-5e1c-9007-38cc-b90bc76e7bc3</v>
    <v>en-US</v>
    <v>Map</v>
  </rv>
  <rv s="0">
    <v>536870912</v>
    <v>Victoria</v>
    <v>afad25fd-4cbc-2e30-7764-19bd8a1cb1bc</v>
    <v>en-US</v>
    <v>Map</v>
  </rv>
  <rv s="0">
    <v>536870912</v>
    <v>Western Australia</v>
    <v>bf87c7cd-72cb-99af-809b-eb7577149dcd</v>
    <v>en-US</v>
    <v>Map</v>
  </rv>
  <rv s="0">
    <v>536870912</v>
    <v>Christmas Island</v>
    <v>66788ba9-2bf3-1a5c-abea-c2feb1989f85</v>
    <v>en-US</v>
    <v>Map</v>
  </rv>
  <rv s="0">
    <v>536870912</v>
    <v>Ashmore and Cartier Islands</v>
    <v>0cf3b96d-0c52-2057-50e3-f4d0baacc740</v>
    <v>en-US</v>
    <v>Map</v>
  </rv>
  <rv s="0">
    <v>536870912</v>
    <v>Cocos (Keeling) Islands</v>
    <v>02bce610-1981-8169-049c-5f416771ad7e</v>
    <v>en-US</v>
    <v>Map</v>
  </rv>
  <rv s="0">
    <v>536870912</v>
    <v>Coral Sea Islands</v>
    <v>12fcab3d-6815-b0bc-3cf7-b1396ef5cd47</v>
    <v>en-US</v>
    <v>Map</v>
  </rv>
  <rv s="0">
    <v>536870912</v>
    <v>Heard Island and McDonald Islands</v>
    <v>fb1ed011-1cc6-3fa2-760a-a9290a0bfc5d</v>
    <v>en-US</v>
    <v>Map</v>
  </rv>
  <rv s="0">
    <v>536870912</v>
    <v>Jervis Bay Territory</v>
    <v>e59341af-b7a6-b4f4-6a5d-590c58c94b7c</v>
    <v>en-US</v>
    <v>Map</v>
  </rv>
  <rv s="0">
    <v>536870912</v>
    <v>Norfolk Island</v>
    <v>edf78bdd-d272-9969-118f-522fd065d490</v>
    <v>en-US</v>
    <v>Map</v>
  </rv>
  <rv s="3">
    <v>73</v>
  </rv>
  <rv s="1">
    <fb>0.22985815296127299</fb>
    <v>29</v>
  </rv>
  <rv s="3">
    <v>74</v>
  </rv>
  <rv s="1">
    <fb>0.47399999999999998</fb>
    <v>29</v>
  </rv>
  <rv s="1">
    <fb>5.2680001258850098E-2</fb>
    <v>36</v>
  </rv>
  <rv s="1">
    <fb>21844756</fb>
    <v>8</v>
  </rv>
  <rv s="6">
    <v>#VALUE!</v>
    <v>213</v>
    <v>27</v>
    <v>Australia</v>
    <v>4</v>
    <v>5</v>
    <v>Map</v>
    <v>6</v>
    <v>214</v>
    <v>en-US</v>
    <v>06de2191-243d-a83f-6990-2eb1c7f3382a</v>
    <v>536870912</v>
    <v>1</v>
    <v>AU</v>
    <v>1216</v>
    <v>1217</v>
    <v>1218</v>
    <v>1219</v>
    <v>1220</v>
    <v>1221</v>
    <v>1222</v>
    <v>1223</v>
    <v>1224</v>
    <v>AUD</v>
    <v>Australia, officially the Commonwealth of Australia, is a country comprising the mainland of the Australian continent, the island of Tasmania and numerous smaller islands. It has a total area of 7,688,287 km², making it the sixth-largest country ...</v>
    <v>1225</v>
    <v>1226</v>
    <v>1227</v>
    <v>1228</v>
    <v>1229</v>
    <v>1230</v>
    <v>1231</v>
    <v>1232</v>
    <v>1233</v>
    <v>1146</v>
    <v>1234</v>
    <v>1236</v>
    <v>1237</v>
    <v>1238</v>
    <v>1239</v>
    <v>1240</v>
    <v>1241</v>
    <v>Australia</v>
    <v>Advance Australia Fair</v>
    <v>1242</v>
    <v>Commonwealth of Australia</v>
    <v>1243</v>
    <v>1244</v>
    <v>1245</v>
    <v>1246</v>
    <v>171</v>
    <v>1247</v>
    <v>267</v>
    <v>1248</v>
    <v>839</v>
    <v>324</v>
    <v>1249</v>
    <v>1265</v>
    <v>1266</v>
    <v>1267</v>
    <v>1268</v>
    <v>1269</v>
    <v>Australia</v>
    <v>1270</v>
    <v>mdp/vdpid/12</v>
  </rv>
  <rv s="1">
    <fb>12144.6</fb>
    <v>8</v>
  </rv>
  <rv s="2">
    <v>43</v>
    <v>6</v>
    <v>215</v>
    <v>7</v>
    <v>0</v>
    <v>Image of Sydney</v>
  </rv>
  <rv s="1">
    <fb>-33.867777777777803</fb>
    <v>9</v>
  </rv>
  <rv s="4">
    <v>https://www.bing.com/search?q=sydney+australia&amp;form=skydnc</v>
    <v>Learn more on Bing</v>
  </rv>
  <rv s="1">
    <fb>151.21</fb>
    <v>9</v>
  </rv>
  <rv s="1">
    <fb>4698656</fb>
    <v>8</v>
  </rv>
  <rv s="18">
    <v>#VALUE!</v>
    <v>216</v>
    <v>217</v>
    <v>Sydney</v>
    <v>4</v>
    <v>5</v>
    <v>Map</v>
    <v>6</v>
    <v>114</v>
    <v>en-US</v>
    <v>3ecec2e8-2993-42e7-7299-f693bbe3b9b9</v>
    <v>536870912</v>
    <v>1</v>
    <v>1251</v>
    <v>1272</v>
    <v>1215</v>
    <v>Sydney is the capital city of the state of New South Wales, and the most populous city in Australia. Located on Australia's east coast, the metropolis surrounds Sydney Harbour and extends about 80 km from the Pacific Ocean in the east to the ...</v>
    <v>1273</v>
    <v>1274</v>
    <v>1275</v>
    <v>1276</v>
    <v>Sydney</v>
    <v>1277</v>
    <v>Sydney</v>
    <v>mdp/vdpid/8878834554543013889</v>
  </rv>
  <rv s="0">
    <v>536870912</v>
    <v>Montreal</v>
    <v>bf31f6ec-acd1-2e01-932b-c5c78c45d051</v>
    <v>en-US</v>
    <v>Map</v>
  </rv>
  <rv s="1">
    <fb>498</fb>
    <v>8</v>
  </rv>
  <rv s="2">
    <v>44</v>
    <v>6</v>
    <v>218</v>
    <v>7</v>
    <v>0</v>
    <v>Image of Montreal</v>
  </rv>
  <rv s="1">
    <fb>45.508888888888997</fb>
    <v>9</v>
  </rv>
  <rv s="0">
    <v>805306368</v>
    <v>Valérie Plante (Mayor)</v>
    <v>e63721dc-a633-6bba-7c34-e8c1efaae3fc</v>
    <v>en-US</v>
    <v>Generic</v>
  </rv>
  <rv s="3">
    <v>75</v>
  </rv>
  <rv s="4">
    <v>https://www.bing.com/search?q=montreal+canada&amp;form=skydnc</v>
    <v>Learn more on Bing</v>
  </rv>
  <rv s="1">
    <fb>-73.561666666666994</fb>
    <v>9</v>
  </rv>
  <rv s="1">
    <fb>1762949</fb>
    <v>8</v>
  </rv>
  <rv s="5">
    <v>#VALUE!</v>
    <v>219</v>
    <v>2</v>
    <v>Montreal</v>
    <v>4</v>
    <v>5</v>
    <v>Map</v>
    <v>6</v>
    <v>114</v>
    <v>en-US</v>
    <v>bf31f6ec-acd1-2e01-932b-c5c78c45d051</v>
    <v>536870912</v>
    <v>1</v>
    <v>653</v>
    <v>1280</v>
    <v>607</v>
    <v>Montreal is the largest city in the province of Quebec, the second-largest in Canada, and the tenth-largest in North America. Founded in 1642 as Ville-Marie, or "City of Mary", it is now named after Mount Royal, the triple-peaked hill around ...</v>
    <v>1281</v>
    <v>1282</v>
    <v>1284</v>
    <v>1285</v>
    <v>1286</v>
    <v>Montreal</v>
    <v>1287</v>
    <v>11</v>
    <v>Montreal</v>
    <v>mdp/vdpid/5293949126482853889</v>
  </rv>
  <rv s="0">
    <v>536870912</v>
    <v>Colombia</v>
    <v>c396e3d8-2a85-d230-f691-7850536d840e</v>
    <v>en-US</v>
    <v>Map</v>
  </rv>
  <rv s="1">
    <fb>0.40257414657503404</fb>
    <v>29</v>
  </rv>
  <rv s="1">
    <fb>1141748</fb>
    <v>8</v>
  </rv>
  <rv s="1">
    <fb>481000</fb>
    <v>8</v>
  </rv>
  <rv s="1">
    <fb>14.882</fb>
    <v>30</v>
  </rv>
  <rv s="1">
    <fb>57</fb>
    <v>31</v>
  </rv>
  <rv s="0">
    <v>536870912</v>
    <v>Bogotá</v>
    <v>66b24d5c-468c-2dd6-e6ce-34504b6f6cb4</v>
    <v>en-US</v>
    <v>Map</v>
  </rv>
  <rv s="1">
    <fb>97813.558000000005</fb>
    <v>8</v>
  </rv>
  <rv s="1">
    <fb>140.95037394202501</fb>
    <v>32</v>
  </rv>
  <rv s="1">
    <fb>3.52549273618952E-2</fb>
    <v>29</v>
  </rv>
  <rv s="1">
    <fb>1312.1575030143699</fb>
    <v>8</v>
  </rv>
  <rv s="1">
    <fb>1.8069999999999999</fb>
    <v>30</v>
  </rv>
  <rv s="1">
    <fb>0.52703938288643504</fb>
    <v>29</v>
  </rv>
  <rv s="1">
    <fb>76.685692626893996</fb>
    <v>33</v>
  </rv>
  <rv s="1">
    <fb>0.68</fb>
    <v>34</v>
  </rv>
  <rv s="1">
    <fb>323802808108.24597</fb>
    <v>35</v>
  </rv>
  <rv s="1">
    <fb>1.1452666</fb>
    <v>29</v>
  </rv>
  <rv s="1">
    <fb>0.55327490000000001</fb>
    <v>29</v>
  </rv>
  <rv s="2">
    <v>45</v>
    <v>6</v>
    <v>221</v>
    <v>7</v>
    <v>0</v>
    <v>Image of Colombia</v>
  </rv>
  <rv s="1">
    <fb>12.2</fb>
    <v>33</v>
  </rv>
  <rv s="0">
    <v>805306368</v>
    <v>Gustavo Petro (President)</v>
    <v>6d82a058-5246-ec8e-cc68-4ec9b7022623</v>
    <v>en-US</v>
    <v>Generic</v>
  </rv>
  <rv s="0">
    <v>805306368</v>
    <v>Francia Márquez (Vice president)</v>
    <v>31dbe672-1593-31cc-dd43-199002188cba</v>
    <v>en-US</v>
    <v>Generic</v>
  </rv>
  <rv s="3">
    <v>76</v>
  </rv>
  <rv s="4">
    <v>https://www.bing.com/search?q=colombia&amp;form=skydnc</v>
    <v>Learn more on Bing</v>
  </rv>
  <rv s="1">
    <fb>77.108999999999995</fb>
    <v>33</v>
  </rv>
  <rv s="1">
    <fb>132040280000</fb>
    <v>35</v>
  </rv>
  <rv s="1">
    <fb>83</fb>
    <v>33</v>
  </rv>
  <rv s="1">
    <fb>1.23</fb>
    <v>34</v>
  </rv>
  <rv s="3">
    <v>77</v>
  </rv>
  <rv s="1">
    <fb>0.1829434999</fb>
    <v>29</v>
  </rv>
  <rv s="1">
    <fb>2.1848000000000001</fb>
    <v>30</v>
  </rv>
  <rv s="1">
    <fb>51874024</fb>
    <v>8</v>
  </rv>
  <rv s="1">
    <fb>0.19899999999999998</fb>
    <v>29</v>
  </rv>
  <rv s="1">
    <fb>0.39700000000000002</fb>
    <v>29</v>
  </rv>
  <rv s="1">
    <fb>0.55399999999999994</fb>
    <v>29</v>
  </rv>
  <rv s="1">
    <fb>1.3999999999999999E-2</fb>
    <v>29</v>
  </rv>
  <rv s="1">
    <fb>0.126</fb>
    <v>29</v>
  </rv>
  <rv s="1">
    <fb>0.68771003723144508</fb>
    <v>29</v>
  </rv>
  <rv s="0">
    <v>536870912</v>
    <v>Amazonas</v>
    <v>b1142dfe-c0da-0b16-7b5b-40e1812fc5b5</v>
    <v>en-US</v>
    <v>Map</v>
  </rv>
  <rv s="0">
    <v>536870912</v>
    <v>Antioquia Department</v>
    <v>d3614470-a93c-5d64-a636-9da2dff33c3d</v>
    <v>en-US</v>
    <v>Map</v>
  </rv>
  <rv s="0">
    <v>536870912</v>
    <v>Arauca Department</v>
    <v>39038b52-0399-9385-24de-5d0c69b46eba</v>
    <v>en-US</v>
    <v>Map</v>
  </rv>
  <rv s="0">
    <v>536870912</v>
    <v>Atlántico Department</v>
    <v>060406d2-f65b-ee44-bba7-291bad263612</v>
    <v>en-US</v>
    <v>Map</v>
  </rv>
  <rv s="0">
    <v>536870912</v>
    <v>Bolívar Department</v>
    <v>38fa99f2-3e47-af72-2f25-81f620fe1128</v>
    <v>en-US</v>
    <v>Map</v>
  </rv>
  <rv s="0">
    <v>536870912</v>
    <v>Boyacá Department</v>
    <v>951b3076-f33d-486b-9b35-d6d83aad8b98</v>
    <v>en-US</v>
    <v>Map</v>
  </rv>
  <rv s="0">
    <v>536870912</v>
    <v>Caldas Department</v>
    <v>85871477-49bf-4c76-2b8d-3f2500f444d8</v>
    <v>en-US</v>
    <v>Map</v>
  </rv>
  <rv s="0">
    <v>536870912</v>
    <v>Caquetá Department</v>
    <v>52c6ce36-10f4-7316-b10a-41d0eb67ac75</v>
    <v>en-US</v>
    <v>Map</v>
  </rv>
  <rv s="0">
    <v>536870912</v>
    <v>Casanare Department</v>
    <v>e7b3ed4f-03e8-7516-f976-b525e8a0b565</v>
    <v>en-US</v>
    <v>Map</v>
  </rv>
  <rv s="0">
    <v>536870912</v>
    <v>Cauca Department</v>
    <v>7b3864e4-af68-447f-d9bc-075dd9085ef8</v>
    <v>en-US</v>
    <v>Map</v>
  </rv>
  <rv s="0">
    <v>536870912</v>
    <v>Cesar Department</v>
    <v>acf0353b-c9e7-bf27-fe4d-0e199bc80085</v>
    <v>en-US</v>
    <v>Map</v>
  </rv>
  <rv s="0">
    <v>536870912</v>
    <v>Chocó Department</v>
    <v>a03f5bb0-fdf4-7ba6-1aa2-98634d5ec680</v>
    <v>en-US</v>
    <v>Map</v>
  </rv>
  <rv s="0">
    <v>536870912</v>
    <v>Córdoba Department</v>
    <v>351fe87f-ca62-b128-b52c-3edd6fa6b80f</v>
    <v>en-US</v>
    <v>Map</v>
  </rv>
  <rv s="0">
    <v>536870912</v>
    <v>Cundinamarca Department</v>
    <v>26fc374f-923b-d32c-4651-e3e8c06fc3ed</v>
    <v>en-US</v>
    <v>Map</v>
  </rv>
  <rv s="0">
    <v>536870912</v>
    <v>Guainía Department</v>
    <v>8651c982-77dc-b5af-4197-627d13648685</v>
    <v>en-US</v>
    <v>Map</v>
  </rv>
  <rv s="0">
    <v>536870912</v>
    <v>Guaviare Department</v>
    <v>fe72a3d7-3b52-1552-6e5d-28dca99e051b</v>
    <v>en-US</v>
    <v>Map</v>
  </rv>
  <rv s="0">
    <v>536870912</v>
    <v>Huila Department</v>
    <v>2752ef70-1772-e264-2348-e4146224c108</v>
    <v>en-US</v>
    <v>Map</v>
  </rv>
  <rv s="0">
    <v>536870912</v>
    <v>La Guajira Department</v>
    <v>5dadb66e-c4f1-8556-c08f-671a606edf84</v>
    <v>en-US</v>
    <v>Map</v>
  </rv>
  <rv s="0">
    <v>536870912</v>
    <v>Magdalena Department</v>
    <v>dcdd93f1-b99c-7653-25fe-53654ad52fa2</v>
    <v>en-US</v>
    <v>Map</v>
  </rv>
  <rv s="0">
    <v>536870912</v>
    <v>Meta Department</v>
    <v>30c3c263-a281-f2d2-6787-511d37d41ddf</v>
    <v>en-US</v>
    <v>Map</v>
  </rv>
  <rv s="0">
    <v>536870912</v>
    <v>Nariño Department</v>
    <v>1b9faaa5-ba49-9e9a-6edd-39ceed297f8f</v>
    <v>en-US</v>
    <v>Map</v>
  </rv>
  <rv s="0">
    <v>536870912</v>
    <v>Norte de Santander Department</v>
    <v>d44c8def-e6be-c3f1-ab4e-e27af99a2e0b</v>
    <v>en-US</v>
    <v>Map</v>
  </rv>
  <rv s="0">
    <v>536870912</v>
    <v>Putumayo Department</v>
    <v>45f7bd51-6a99-6e2e-3095-604393add4b0</v>
    <v>en-US</v>
    <v>Map</v>
  </rv>
  <rv s="0">
    <v>536870912</v>
    <v>Quindío Department</v>
    <v>0bb62acd-b714-a5dd-dc49-6f69ddaba02c</v>
    <v>en-US</v>
    <v>Map</v>
  </rv>
  <rv s="0">
    <v>536870912</v>
    <v>Risaralda Department</v>
    <v>12859881-10e7-a44f-aa52-ed6ecbc80e7c</v>
    <v>en-US</v>
    <v>Map</v>
  </rv>
  <rv s="0">
    <v>536870912</v>
    <v>Archipelago of San Andrés, Providencia and Santa Catalina</v>
    <v>188ba911-2335-579f-505a-e6bde1ce992c</v>
    <v>en-US</v>
    <v>Map</v>
  </rv>
  <rv s="0">
    <v>536870912</v>
    <v>Santander Department</v>
    <v>98fbfaa3-063d-4261-a806-2b84a0339e05</v>
    <v>en-US</v>
    <v>Map</v>
  </rv>
  <rv s="0">
    <v>536870912</v>
    <v>Sucre Department</v>
    <v>771a5a65-ef7a-6112-a7e0-0a670038add2</v>
    <v>en-US</v>
    <v>Map</v>
  </rv>
  <rv s="0">
    <v>536870912</v>
    <v>Tolima Department</v>
    <v>9f5d3f6f-e4de-1042-2cb7-b84911d028d4</v>
    <v>en-US</v>
    <v>Map</v>
  </rv>
  <rv s="0">
    <v>536870912</v>
    <v>Valle del Cauca Department</v>
    <v>ce6e3742-88ee-970c-b7e9-de685afbebe8</v>
    <v>en-US</v>
    <v>Map</v>
  </rv>
  <rv s="0">
    <v>536870912</v>
    <v>Vaupés Department</v>
    <v>54afacd5-8118-0ece-5ab8-dbab67c52f56</v>
    <v>en-US</v>
    <v>Map</v>
  </rv>
  <rv s="0">
    <v>536870912</v>
    <v>Vichada Department</v>
    <v>17e2497e-dacc-256d-298c-9eb5d2977e40</v>
    <v>en-US</v>
    <v>Map</v>
  </rv>
  <rv s="3">
    <v>78</v>
  </rv>
  <rv s="1">
    <fb>0.144026436439844</fb>
    <v>29</v>
  </rv>
  <rv s="3">
    <v>79</v>
  </rv>
  <rv s="1">
    <fb>0.71200000000000008</fb>
    <v>29</v>
  </rv>
  <rv s="1">
    <fb>9.7069997787475604E-2</fb>
    <v>36</v>
  </rv>
  <rv s="1">
    <fb>40827302</fb>
    <v>8</v>
  </rv>
  <rv s="6">
    <v>#VALUE!</v>
    <v>224</v>
    <v>27</v>
    <v>Colombia</v>
    <v>4</v>
    <v>5</v>
    <v>Map</v>
    <v>6</v>
    <v>225</v>
    <v>en-US</v>
    <v>c396e3d8-2a85-d230-f691-7850536d840e</v>
    <v>536870912</v>
    <v>1</v>
    <v>CO</v>
    <v>1290</v>
    <v>1291</v>
    <v>1292</v>
    <v>1293</v>
    <v>1294</v>
    <v>1295</v>
    <v>1296</v>
    <v>1297</v>
    <v>1298</v>
    <v>COP</v>
    <v>Colombia, officially the Republic of Colombia, is a country primarily located in South America with insular regions in North America. The Colombian mainland is bordered by the Caribbean Sea to the north, Venezuela to the east and northeast, ...</v>
    <v>1299</v>
    <v>1300</v>
    <v>1301</v>
    <v>1302</v>
    <v>1303</v>
    <v>1304</v>
    <v>1305</v>
    <v>1306</v>
    <v>1307</v>
    <v>1308</v>
    <v>1295</v>
    <v>1311</v>
    <v>1312</v>
    <v>1313</v>
    <v>1314</v>
    <v>1315</v>
    <v>1316</v>
    <v>Colombia</v>
    <v>National Anthem of Colombia</v>
    <v>1317</v>
    <v>República de Colombia</v>
    <v>1318</v>
    <v>1319</v>
    <v>1320</v>
    <v>1321</v>
    <v>1322</v>
    <v>1323</v>
    <v>1324</v>
    <v>298</v>
    <v>508</v>
    <v>1325</v>
    <v>1326</v>
    <v>1359</v>
    <v>1360</v>
    <v>1361</v>
    <v>1362</v>
    <v>1363</v>
    <v>Colombia</v>
    <v>1364</v>
    <v>mdp/vdpid/51</v>
  </rv>
  <rv s="0">
    <v>536870912</v>
    <v>Italy</v>
    <v>09e8f885-427b-8850-947d-202e0287b9e8</v>
    <v>en-US</v>
    <v>Map</v>
  </rv>
  <rv s="1">
    <fb>0.432345141769226</fb>
    <v>29</v>
  </rv>
  <rv s="1">
    <fb>302068</fb>
    <v>8</v>
  </rv>
  <rv s="1">
    <fb>347000</fb>
    <v>8</v>
  </rv>
  <rv s="1">
    <fb>7.3</fb>
    <v>30</v>
  </rv>
  <rv s="1">
    <fb>39</fb>
    <v>31</v>
  </rv>
  <rv s="0">
    <v>536870912</v>
    <v>Rome</v>
    <v>5ed498af-fa85-2a88-874d-212494ddb06f</v>
    <v>en-US</v>
    <v>Map</v>
  </rv>
  <rv s="1">
    <fb>320411.45899999997</fb>
    <v>8</v>
  </rv>
  <rv s="1">
    <fb>110.623595648239</fb>
    <v>32</v>
  </rv>
  <rv s="1">
    <fb>6.1124694376529102E-3</fb>
    <v>29</v>
  </rv>
  <rv s="1">
    <fb>5002.4066798773601</fb>
    <v>8</v>
  </rv>
  <rv s="1">
    <fb>1.29</fb>
    <v>30</v>
  </rv>
  <rv s="1">
    <fb>0.31790303272888798</fb>
    <v>29</v>
  </rv>
  <rv s="1">
    <fb>79.948454735494707</fb>
    <v>33</v>
  </rv>
  <rv s="1">
    <fb>1.61</fb>
    <v>34</v>
  </rv>
  <rv s="1">
    <fb>2001244392041.5701</fb>
    <v>35</v>
  </rv>
  <rv s="1">
    <fb>1.0187936</fb>
    <v>29</v>
  </rv>
  <rv s="1">
    <fb>0.61933000000000005</fb>
    <v>29</v>
  </rv>
  <rv s="2">
    <v>46</v>
    <v>6</v>
    <v>227</v>
    <v>7</v>
    <v>0</v>
    <v>Image of Italy</v>
  </rv>
  <rv s="1">
    <fb>2.6</fb>
    <v>33</v>
  </rv>
  <rv s="0">
    <v>805306368</v>
    <v>Sergio Mattarella (President)</v>
    <v>7b09388e-8b92-1261-db16-7c6882735fe1</v>
    <v>en-US</v>
    <v>Generic</v>
  </rv>
  <rv s="0">
    <v>805306368</v>
    <v>Giorgia Meloni (Prime minister)</v>
    <v>5c9bb82e-e08f-f5eb-9f29-f20e75e8eb8f</v>
    <v>en-US</v>
    <v>Generic</v>
  </rv>
  <rv s="3">
    <v>80</v>
  </rv>
  <rv s="4">
    <v>https://www.bing.com/search?q=italy&amp;form=skydnc</v>
    <v>Learn more on Bing</v>
  </rv>
  <rv s="1">
    <fb>82.946341463414697</fb>
    <v>33</v>
  </rv>
  <rv s="1">
    <fb>522087790000</fb>
    <v>35</v>
  </rv>
  <rv s="1">
    <fb>2</fb>
    <v>33</v>
  </rv>
  <rv s="3">
    <v>81</v>
  </rv>
  <rv s="1">
    <fb>0.2283268819</fb>
    <v>29</v>
  </rv>
  <rv s="1">
    <fb>3.9773999999999998</fb>
    <v>30</v>
  </rv>
  <rv s="1">
    <fb>58856847</fb>
    <v>8</v>
  </rv>
  <rv s="1">
    <fb>0.12</fb>
    <v>29</v>
  </rv>
  <rv s="1">
    <fb>0.495550003051758</fb>
    <v>29</v>
  </rv>
  <rv s="0">
    <v>536870912</v>
    <v>Abruzzo</v>
    <v>6d07734f-0734-da73-bda9-a2e9e44c1042</v>
    <v>en-US</v>
    <v>Map</v>
  </rv>
  <rv s="0">
    <v>536870912</v>
    <v>Basilicata</v>
    <v>c286f639-68f8-3ed2-0119-87142c109b42</v>
    <v>en-US</v>
    <v>Map</v>
  </rv>
  <rv s="0">
    <v>536870912</v>
    <v>Calabria</v>
    <v>87d05176-c03a-c209-fa72-dfafed738418</v>
    <v>en-US</v>
    <v>Map</v>
  </rv>
  <rv s="0">
    <v>536870912</v>
    <v>Campania</v>
    <v>9933ef2b-24f2-a29d-6e4f-fe6bffe78694</v>
    <v>en-US</v>
    <v>Map</v>
  </rv>
  <rv s="0">
    <v>536870912</v>
    <v>Emilia-Romagna</v>
    <v>129d3426-cfe5-9154-2989-f246e1aa5cec</v>
    <v>en-US</v>
    <v>Map</v>
  </rv>
  <rv s="0">
    <v>536870912</v>
    <v>Friuli-Venezia Giulia</v>
    <v>dfe11af7-836d-40cf-b176-995500a2a2fb</v>
    <v>en-US</v>
    <v>Map</v>
  </rv>
  <rv s="0">
    <v>536870912</v>
    <v>Lazio</v>
    <v>e5d48b4e-72f5-da43-7854-da4784df7b51</v>
    <v>en-US</v>
    <v>Map</v>
  </rv>
  <rv s="0">
    <v>536870912</v>
    <v>Liguria</v>
    <v>bc9d0bc0-7501-9ea0-5ffc-8d29df64f153</v>
    <v>en-US</v>
    <v>Map</v>
  </rv>
  <rv s="0">
    <v>536870912</v>
    <v>Lombardy</v>
    <v>4e4d95c0-6e91-acd2-e10c-7165bc365e22</v>
    <v>en-US</v>
    <v>Map</v>
  </rv>
  <rv s="0">
    <v>536870912</v>
    <v>Marche</v>
    <v>262ac8bf-0bbd-ba85-aef3-2130493eaa9b</v>
    <v>en-US</v>
    <v>Map</v>
  </rv>
  <rv s="0">
    <v>536870912</v>
    <v>Molise</v>
    <v>048932e0-ef04-999e-a84f-326f5eaf1b11</v>
    <v>en-US</v>
    <v>Map</v>
  </rv>
  <rv s="0">
    <v>536870912</v>
    <v>Piedmont</v>
    <v>1a1b261b-a6b1-8503-5262-e2f707fe58ce</v>
    <v>en-US</v>
    <v>Map</v>
  </rv>
  <rv s="0">
    <v>536870912</v>
    <v>Apulia</v>
    <v>162619f7-7efb-76cc-0544-2da0306bd7c3</v>
    <v>en-US</v>
    <v>Map</v>
  </rv>
  <rv s="0">
    <v>536870912</v>
    <v>Sardinia</v>
    <v>2ac543b8-3c5f-c1c2-9c26-7153eb61c3d0</v>
    <v>en-US</v>
    <v>Map</v>
  </rv>
  <rv s="0">
    <v>536870912</v>
    <v>Sicily</v>
    <v>610fbc95-e594-a116-6d30-36286446a003</v>
    <v>en-US</v>
    <v>Map</v>
  </rv>
  <rv s="0">
    <v>536870912</v>
    <v>Tuscany</v>
    <v>a8854f08-da35-486d-5bd1-760f4eeb3da0</v>
    <v>en-US</v>
    <v>Map</v>
  </rv>
  <rv s="0">
    <v>536870912</v>
    <v>Trentino-Alto Adige/Südtirol</v>
    <v>b537e28d-6f0c-d8cf-1384-534def0737dd</v>
    <v>en-US</v>
    <v>Map</v>
  </rv>
  <rv s="0">
    <v>536870912</v>
    <v>Umbria</v>
    <v>a75c12d3-c6a9-ea7c-e844-577d1cfe72dd</v>
    <v>en-US</v>
    <v>Map</v>
  </rv>
  <rv s="0">
    <v>536870912</v>
    <v>Aosta Valley</v>
    <v>d9b216c7-5de6-eaf4-2383-5f7fc3075fdb</v>
    <v>en-US</v>
    <v>Map</v>
  </rv>
  <rv s="0">
    <v>536870912</v>
    <v>Veneto</v>
    <v>6809e680-9adc-134d-ebe9-70b79f5adb5f</v>
    <v>en-US</v>
    <v>Map</v>
  </rv>
  <rv s="3">
    <v>82</v>
  </rv>
  <rv s="1">
    <fb>0.24250464933068097</fb>
    <v>29</v>
  </rv>
  <rv s="1">
    <fb>0.59099999999999997</fb>
    <v>29</v>
  </rv>
  <rv s="1">
    <fb>9.8870000839233405E-2</fb>
    <v>36</v>
  </rv>
  <rv s="1">
    <fb>42651966</fb>
    <v>8</v>
  </rv>
  <rv s="19">
    <v>#VALUE!</v>
    <v>230</v>
    <v>231</v>
    <v>Italy</v>
    <v>4</v>
    <v>5</v>
    <v>Map</v>
    <v>6</v>
    <v>232</v>
    <v>en-US</v>
    <v>09e8f885-427b-8850-947d-202e0287b9e8</v>
    <v>536870912</v>
    <v>1</v>
    <v>IT</v>
    <v>1367</v>
    <v>1368</v>
    <v>1369</v>
    <v>1370</v>
    <v>1371</v>
    <v>1372</v>
    <v>1373</v>
    <v>1374</v>
    <v>1375</v>
    <v>EUR</v>
    <v>Italy, officially the Italian Republic, is a country in Southern and Western Europe. It consists of a peninsula that extends into the Mediterranean Sea, with the Alps on its northern land border, as well as nearly 800 islands, notably Sicily and ...</v>
    <v>1376</v>
    <v>1377</v>
    <v>1378</v>
    <v>1379</v>
    <v>1380</v>
    <v>1381</v>
    <v>1382</v>
    <v>1383</v>
    <v>1384</v>
    <v>1385</v>
    <v>1372</v>
    <v>1388</v>
    <v>1389</v>
    <v>1390</v>
    <v>1391</v>
    <v>1392</v>
    <v>Italy</v>
    <v>Il Canto degli Italiani</v>
    <v>1393</v>
    <v>Repubblica Italiana</v>
    <v>1394</v>
    <v>1395</v>
    <v>1396</v>
    <v>211</v>
    <v>326</v>
    <v>1247</v>
    <v>449</v>
    <v>359</v>
    <v>1397</v>
    <v>929</v>
    <v>1398</v>
    <v>1419</v>
    <v>1420</v>
    <v>804</v>
    <v>1421</v>
    <v>1422</v>
    <v>Italy</v>
    <v>1423</v>
    <v>mdp/vdpid/118</v>
  </rv>
  <rv s="0">
    <v>536870912</v>
    <v>Miane</v>
    <v>7c296735-f6d0-c3c5-e7a6-6c9bd255bb0b</v>
    <v>en-US</v>
    <v>Map</v>
  </rv>
  <rv s="1">
    <fb>30.88</fb>
    <v>8</v>
  </rv>
  <rv s="1">
    <fb>45.95</fb>
    <v>9</v>
  </rv>
  <rv s="4">
    <v>https://www.bing.com/search?q=miane+italy&amp;form=skydnc</v>
    <v>Learn more on Bing</v>
  </rv>
  <rv s="1">
    <fb>12.1</fb>
    <v>9</v>
  </rv>
  <rv s="1">
    <fb>3118</fb>
    <v>8</v>
  </rv>
  <rv s="20">
    <v>#VALUE!</v>
    <v>234</v>
    <v>235</v>
    <v>Miane</v>
    <v>4</v>
    <v>236</v>
    <v>Map</v>
    <v>6</v>
    <v>155</v>
    <v>en-US</v>
    <v>7c296735-f6d0-c3c5-e7a6-6c9bd255bb0b</v>
    <v>536870912</v>
    <v>1</v>
    <v>1418</v>
    <v>1426</v>
    <v>1366</v>
    <v>Miane is a comune in the Province of Treviso in the Italian region Veneto, located about 60 kilometres northwest of Venice and about 35 kilometres northwest of Treviso. As of 31 December 2004, it had a population of 3,661 and an area of 30.9 ...</v>
    <v>1427</v>
    <v>1428</v>
    <v>1429</v>
    <v>Miane</v>
    <v>1430</v>
    <v>Miane</v>
    <v>mdp/vdpid/7022573782283845633</v>
  </rv>
  <rv s="0">
    <v>536870912</v>
    <v>Sweden</v>
    <v>a5928099-53c3-11a8-91e6-6fe59b8c4f9a</v>
    <v>en-US</v>
    <v>Map</v>
  </rv>
  <rv s="1">
    <fb>7.4427340355012209E-2</fb>
    <v>29</v>
  </rv>
  <rv s="1">
    <fb>447425.16</fb>
    <v>8</v>
  </rv>
  <rv s="1">
    <fb>30000</fb>
    <v>8</v>
  </rv>
  <rv s="1">
    <fb>11.4</fb>
    <v>30</v>
  </rv>
  <rv s="1">
    <fb>46</fb>
    <v>31</v>
  </rv>
  <rv s="0">
    <v>536870912</v>
    <v>Stockholm</v>
    <v>9daa4a8d-0e69-da3a-672e-16d4743a665b</v>
    <v>en-US</v>
    <v>Map</v>
  </rv>
  <rv s="1">
    <fb>43252.264999999999</fb>
    <v>8</v>
  </rv>
  <rv s="1">
    <fb>110.509219846432</fb>
    <v>32</v>
  </rv>
  <rv s="1">
    <fb>1.7841509740383198E-2</fb>
    <v>29</v>
  </rv>
  <rv s="1">
    <fb>13480.148224391</fb>
    <v>8</v>
  </rv>
  <rv s="1">
    <fb>1.76</fb>
    <v>30</v>
  </rv>
  <rv s="1">
    <fb>0.68922933392256491</fb>
    <v>29</v>
  </rv>
  <rv s="1">
    <fb>25.117096134653099</fb>
    <v>33</v>
  </rv>
  <rv s="1">
    <fb>1.42</fb>
    <v>34</v>
  </rv>
  <rv s="1">
    <fb>530832908737.862</fb>
    <v>35</v>
  </rv>
  <rv s="1">
    <fb>1.2657537999999999</fb>
    <v>29</v>
  </rv>
  <rv s="1">
    <fb>0.6698824000000001</fb>
    <v>29</v>
  </rv>
  <rv s="2">
    <v>47</v>
    <v>6</v>
    <v>238</v>
    <v>7</v>
    <v>0</v>
    <v>Image of Sweden</v>
  </rv>
  <rv s="1">
    <fb>2.2000000000000002</fb>
    <v>33</v>
  </rv>
  <rv s="0">
    <v>805306368</v>
    <v>Carl XVI Gustaf (Monarch)</v>
    <v>d74145c5-55cc-559b-1761-543f3fbf2fcd</v>
    <v>en-US</v>
    <v>Generic</v>
  </rv>
  <rv s="0">
    <v>805306368</v>
    <v>Ulf Kristersson (Prime minister)</v>
    <v>b10837fe-3ec0-27e8-04f3-230e5f1c436f</v>
    <v>en-US</v>
    <v>Generic</v>
  </rv>
  <rv s="3">
    <v>83</v>
  </rv>
  <rv s="4">
    <v>https://www.bing.com/search?q=sweden&amp;form=skydnc</v>
    <v>Learn more on Bing</v>
  </rv>
  <rv s="1">
    <fb>82.512195121951194</fb>
    <v>33</v>
  </rv>
  <rv s="1">
    <fb>289877140000</fb>
    <v>35</v>
  </rv>
  <rv s="3">
    <v>84</v>
  </rv>
  <rv s="1">
    <fb>0.15191583449999999</fb>
    <v>29</v>
  </rv>
  <rv s="1">
    <fb>3.984</fb>
    <v>30</v>
  </rv>
  <rv s="1">
    <fb>10486941</fb>
    <v>8</v>
  </rv>
  <rv s="1">
    <fb>0.23100000000000001</fb>
    <v>29</v>
  </rv>
  <rv s="1">
    <fb>0.371</fb>
    <v>29</v>
  </rv>
  <rv s="1">
    <fb>0.03</fb>
    <v>29</v>
  </rv>
  <rv s="1">
    <fb>0.64561996459960891</fb>
    <v>29</v>
  </rv>
  <rv s="0">
    <v>536870912</v>
    <v>Blekinge County</v>
    <v>f42b0a89-7f16-f3ac-1c08-bf416e533f12</v>
    <v>en-US</v>
    <v>Map</v>
  </rv>
  <rv s="0">
    <v>536870912</v>
    <v>Dalarna County</v>
    <v>dc686086-9714-0fc8-877f-623421e32d97</v>
    <v>en-US</v>
    <v>Map</v>
  </rv>
  <rv s="0">
    <v>536870912</v>
    <v>Gotland County</v>
    <v>f5173bdd-5938-3166-7ba6-c11a9da66db1</v>
    <v>en-US</v>
    <v>Map</v>
  </rv>
  <rv s="0">
    <v>536870912</v>
    <v>Gävleborg County</v>
    <v>2fa0e9bf-9a1f-2db4-ff85-974c84f03f11</v>
    <v>en-US</v>
    <v>Map</v>
  </rv>
  <rv s="0">
    <v>536870912</v>
    <v>Halland County</v>
    <v>5481447f-928d-c108-02bf-694684b100d7</v>
    <v>en-US</v>
    <v>Map</v>
  </rv>
  <rv s="0">
    <v>536870912</v>
    <v>Jämtland County</v>
    <v>6a67f9a4-8a7c-72f0-397e-99932d75a5cc</v>
    <v>en-US</v>
    <v>Map</v>
  </rv>
  <rv s="0">
    <v>536870912</v>
    <v>Jönköping County</v>
    <v>4a52f0db-caec-d69c-e4fc-043d1e5a5128</v>
    <v>en-US</v>
    <v>Map</v>
  </rv>
  <rv s="0">
    <v>536870912</v>
    <v>Kalmar County</v>
    <v>d6332475-042c-41cf-bea3-d9da728e8c07</v>
    <v>en-US</v>
    <v>Map</v>
  </rv>
  <rv s="0">
    <v>536870912</v>
    <v>Kronoberg County</v>
    <v>f3a677ac-87ae-cc8a-2a3d-a13738ebe6cb</v>
    <v>en-US</v>
    <v>Map</v>
  </rv>
  <rv s="0">
    <v>536870912</v>
    <v>Norrbotten County</v>
    <v>c860fcb0-9345-ca80-5100-5bafcdbf2263</v>
    <v>en-US</v>
    <v>Map</v>
  </rv>
  <rv s="0">
    <v>536870912</v>
    <v>Skåne County</v>
    <v>1a7ebb30-64eb-43da-b5e5-6b7ab82a8f94</v>
    <v>en-US</v>
    <v>Map</v>
  </rv>
  <rv s="0">
    <v>536870912</v>
    <v>Stockholm County</v>
    <v>41fffb7d-bbe9-8d1b-286b-f0fdeb3ab886</v>
    <v>en-US</v>
    <v>Map</v>
  </rv>
  <rv s="0">
    <v>536870912</v>
    <v>Södermanland County</v>
    <v>b438dc8e-7013-5013-903f-c9921861268e</v>
    <v>en-US</v>
    <v>Map</v>
  </rv>
  <rv s="0">
    <v>536870912</v>
    <v>Uppsala County</v>
    <v>e2d7075a-c293-6db6-92ac-bdee4711a5d0</v>
    <v>en-US</v>
    <v>Map</v>
  </rv>
  <rv s="0">
    <v>536870912</v>
    <v>Värmland County</v>
    <v>b2aa94cd-cc7f-eaf1-fded-87f65509841d</v>
    <v>en-US</v>
    <v>Map</v>
  </rv>
  <rv s="0">
    <v>536870912</v>
    <v>Västerbotten County</v>
    <v>cc98b155-efa3-e92b-fee4-917b63865fcd</v>
    <v>en-US</v>
    <v>Map</v>
  </rv>
  <rv s="0">
    <v>536870912</v>
    <v>Västernorrland County</v>
    <v>a35ed386-5b37-a411-1499-a7d817b777bd</v>
    <v>en-US</v>
    <v>Map</v>
  </rv>
  <rv s="0">
    <v>536870912</v>
    <v>Västmanland County</v>
    <v>417f3366-57d0-4c10-ee14-819f1c4201df</v>
    <v>en-US</v>
    <v>Map</v>
  </rv>
  <rv s="0">
    <v>536870912</v>
    <v>Västra Götaland County</v>
    <v>ec27be9f-c019-4bd7-6372-f8f07b5ef74c</v>
    <v>en-US</v>
    <v>Map</v>
  </rv>
  <rv s="0">
    <v>536870912</v>
    <v>Örebro County</v>
    <v>efe70c03-c63c-a6f2-2d91-08beb34f7d5a</v>
    <v>en-US</v>
    <v>Map</v>
  </rv>
  <rv s="0">
    <v>536870912</v>
    <v>Östergötland County</v>
    <v>01c3007b-b64c-a1f4-0a51-e925799b11b3</v>
    <v>en-US</v>
    <v>Map</v>
  </rv>
  <rv s="3">
    <v>85</v>
  </rv>
  <rv s="1">
    <fb>0.27911031322372698</fb>
    <v>29</v>
  </rv>
  <rv s="1">
    <fb>0.49099999999999999</fb>
    <v>29</v>
  </rv>
  <rv s="1">
    <fb>6.4759998321533202E-2</fb>
    <v>36</v>
  </rv>
  <rv s="1">
    <fb>9021165</fb>
    <v>8</v>
  </rv>
  <rv s="19">
    <v>#VALUE!</v>
    <v>241</v>
    <v>231</v>
    <v>Sweden</v>
    <v>4</v>
    <v>5</v>
    <v>Map</v>
    <v>6</v>
    <v>242</v>
    <v>en-US</v>
    <v>a5928099-53c3-11a8-91e6-6fe59b8c4f9a</v>
    <v>536870912</v>
    <v>1</v>
    <v>SE</v>
    <v>1433</v>
    <v>1434</v>
    <v>1435</v>
    <v>1436</v>
    <v>1437</v>
    <v>1438</v>
    <v>1439</v>
    <v>1440</v>
    <v>1441</v>
    <v>SEK</v>
    <v>Sweden, formally the Kingdom of Sweden, is a Nordic country located on the Scandinavian Peninsula in Northern Europe. It borders Norway to the west and north, and Finland to the east. At 450,295 square kilometres, Sweden is the largest Nordic ...</v>
    <v>1442</v>
    <v>1443</v>
    <v>1444</v>
    <v>1445</v>
    <v>1446</v>
    <v>1447</v>
    <v>1448</v>
    <v>1449</v>
    <v>1450</v>
    <v>1451</v>
    <v>1438</v>
    <v>1454</v>
    <v>1455</v>
    <v>1456</v>
    <v>1457</v>
    <v>831</v>
    <v>Sweden</v>
    <v>Du gamla, du fria</v>
    <v>1458</v>
    <v>Konungariket Sverige</v>
    <v>1459</v>
    <v>1460</v>
    <v>1461</v>
    <v>1462</v>
    <v>480</v>
    <v>1463</v>
    <v>1464</v>
    <v>139</v>
    <v>240</v>
    <v>141</v>
    <v>1465</v>
    <v>1487</v>
    <v>1488</v>
    <v>957</v>
    <v>1489</v>
    <v>1490</v>
    <v>Sweden</v>
    <v>1491</v>
    <v>mdp/vdpid/221</v>
  </rv>
  <rv s="1">
    <fb>187.16</fb>
    <v>8</v>
  </rv>
  <rv s="0">
    <v>536870912</v>
    <v>Kalmar Union</v>
    <v>723b5437-f021-ebd7-3a7a-2fcc8a5bab2d</v>
    <v>en-US</v>
    <v>Map</v>
  </rv>
  <rv s="2">
    <v>48</v>
    <v>6</v>
    <v>243</v>
    <v>7</v>
    <v>0</v>
    <v>Image of Stockholm</v>
  </rv>
  <rv s="1">
    <fb>59.329444444444</fb>
    <v>9</v>
  </rv>
  <rv s="0">
    <v>805306368</v>
    <v>Karin Wanngård (Mayor)</v>
    <v>ff45a3f2-13a5-6f7f-5794-0b7c2a0d7877</v>
    <v>en-US</v>
    <v>Generic</v>
  </rv>
  <rv s="3">
    <v>86</v>
  </rv>
  <rv s="4">
    <v>https://www.bing.com/search?q=stockholm+sweden&amp;form=skydnc</v>
    <v>Learn more on Bing</v>
  </rv>
  <rv s="1">
    <fb>18.068611111111</fb>
    <v>9</v>
  </rv>
  <rv s="1">
    <fb>978770</fb>
    <v>8</v>
  </rv>
  <rv s="5">
    <v>#VALUE!</v>
    <v>244</v>
    <v>2</v>
    <v>Stockholm</v>
    <v>4</v>
    <v>5</v>
    <v>Map</v>
    <v>6</v>
    <v>114</v>
    <v>en-US</v>
    <v>9daa4a8d-0e69-da3a-672e-16d4743a665b</v>
    <v>536870912</v>
    <v>1</v>
    <v>1477</v>
    <v>1493</v>
    <v>1494</v>
    <v>Stockholm is the capital and most populous city of Sweden, as well as the largest urban area in the Nordic countries. Approximately 1 million people live in the municipality, with 1.6 million in the urban area, and 2.5 million in the ...</v>
    <v>1495</v>
    <v>1496</v>
    <v>1498</v>
    <v>1499</v>
    <v>1500</v>
    <v>Stockholm</v>
    <v>1501</v>
    <v>804</v>
    <v>Stockholm</v>
    <v>mdp/vdpid/7005763932988112897</v>
  </rv>
  <rv s="0">
    <v>536870912</v>
    <v>Ithaca, New York</v>
    <v>995b9809-430a-93c1-623f-eb06a9e7a795</v>
    <v>en-US</v>
    <v>Map</v>
  </rv>
  <rv s="0">
    <v>536870912</v>
    <v>Tompkins County, New York</v>
    <v>f8fdb554-dcaa-ff88-2d31-900c0ad7ac03</v>
    <v>en-US</v>
    <v>Map</v>
  </rv>
  <rv s="1">
    <fb>15.727155</fb>
    <v>8</v>
  </rv>
  <rv s="2">
    <v>49</v>
    <v>6</v>
    <v>245</v>
    <v>7</v>
    <v>0</v>
    <v>Image of Ithaca, New York</v>
  </rv>
  <rv s="1">
    <fb>42.443333333333001</fb>
    <v>9</v>
  </rv>
  <rv s="0">
    <v>805306368</v>
    <v>Robert Cantelmo (Mayor)</v>
    <v>668ed569-d064-e97e-8004-54f7a2969f83</v>
    <v>en-US</v>
    <v>Generic</v>
  </rv>
  <rv s="3">
    <v>87</v>
  </rv>
  <rv s="4">
    <v>https://www.bing.com/search?q=ithaca+new+york&amp;form=skydnc</v>
    <v>Learn more on Bing</v>
  </rv>
  <rv s="1">
    <fb>-76.5</fb>
    <v>9</v>
  </rv>
  <rv s="1">
    <fb>32108</fb>
    <v>8</v>
  </rv>
  <rv s="11">
    <v>#VALUE!</v>
    <v>246</v>
    <v>113</v>
    <v>Ithaca, New York</v>
    <v>4</v>
    <v>5</v>
    <v>Map</v>
    <v>6</v>
    <v>7</v>
    <v>en-US</v>
    <v>995b9809-430a-93c1-623f-eb06a9e7a795</v>
    <v>536870912</v>
    <v>1</v>
    <v>1</v>
    <v>1504</v>
    <v>1505</v>
    <v>594</v>
    <v>Ithaca is a city in and the county seat of Tompkins County, New York, United States. Situated on the southern shore of Cayuga Lake in the Finger Lakes region of New York, Ithaca is the largest community in the Ithaca metropolitan statistical ...</v>
    <v>1506</v>
    <v>1507</v>
    <v>1509</v>
    <v>1510</v>
    <v>1511</v>
    <v>Ithaca, New York</v>
    <v>1512</v>
    <v>11</v>
    <v>Ithaca, New York</v>
    <v>mdp/vdpid/5485931518813536258</v>
  </rv>
  <rv s="0">
    <v>536870912</v>
    <v>Williamstown, Massachusetts</v>
    <v>c3f0d418-4b8d-7084-68ab-51c4f3d2e774</v>
    <v>en-US</v>
    <v>Map</v>
  </rv>
  <rv s="0">
    <v>536870912</v>
    <v>Berkshire County, Massachusetts</v>
    <v>a8a686a5-38f2-049c-2764-941d5ea4035d</v>
    <v>en-US</v>
    <v>Map</v>
  </rv>
  <rv s="1">
    <fb>121.4</fb>
    <v>8</v>
  </rv>
  <rv s="2">
    <v>50</v>
    <v>6</v>
    <v>248</v>
    <v>7</v>
    <v>0</v>
    <v>Image of Williamstown, Massachusetts</v>
  </rv>
  <rv s="1">
    <fb>42.713333333333303</fb>
    <v>9</v>
  </rv>
  <rv s="4">
    <v>https://www.bing.com/search?q=williamstown+massachusetts&amp;form=skydnc</v>
    <v>Learn more on Bing</v>
  </rv>
  <rv s="1">
    <fb>-73.209444444444401</fb>
    <v>9</v>
  </rv>
  <rv s="1">
    <fb>7513</fb>
    <v>8</v>
  </rv>
  <rv s="15">
    <v>#VALUE!</v>
    <v>249</v>
    <v>158</v>
    <v>Williamstown, Massachusetts</v>
    <v>4</v>
    <v>5</v>
    <v>Map</v>
    <v>6</v>
    <v>7</v>
    <v>en-US</v>
    <v>c3f0d418-4b8d-7084-68ab-51c4f3d2e774</v>
    <v>536870912</v>
    <v>1</v>
    <v>74</v>
    <v>1515</v>
    <v>1516</v>
    <v>594</v>
    <v>Williamstown is a town in Berkshire County, Massachusetts, United States. It shares a border with Vermont to the north and New York to the west. Located in Berkshire County, the town is part of the Pittsfield, Massachusetts metropolitan ...</v>
    <v>1517</v>
    <v>1518</v>
    <v>1519</v>
    <v>1520</v>
    <v>Williamstown, Massachusetts</v>
    <v>1521</v>
    <v>11</v>
    <v>Williamstown, Massachusetts</v>
    <v>mdp/vdpid/5486488147061637121</v>
  </rv>
  <rv s="0">
    <v>536870912</v>
    <v>Grinnell, Iowa</v>
    <v>62737a92-ae86-9b5d-9b52-d2381ad2f216</v>
    <v>en-US</v>
    <v>Map</v>
  </rv>
  <rv s="0">
    <v>536870912</v>
    <v>Poweshiek County, Iowa</v>
    <v>faaa9661-5382-304d-58f5-6199b4e0c893</v>
    <v>en-US</v>
    <v>Map</v>
  </rv>
  <rv s="1">
    <fb>14.364091</fb>
    <v>8</v>
  </rv>
  <rv s="2">
    <v>51</v>
    <v>6</v>
    <v>250</v>
    <v>7</v>
    <v>0</v>
    <v>Image of Grinnell, Iowa</v>
  </rv>
  <rv s="1">
    <fb>41.743611111111001</fb>
    <v>9</v>
  </rv>
  <rv s="4">
    <v>https://www.bing.com/search?q=grinnell+iowa&amp;form=skydnc</v>
    <v>Learn more on Bing</v>
  </rv>
  <rv s="1">
    <fb>-92.724722222221999</fb>
    <v>9</v>
  </rv>
  <rv s="1">
    <fb>9564</fb>
    <v>8</v>
  </rv>
  <rv s="15">
    <v>#VALUE!</v>
    <v>251</v>
    <v>158</v>
    <v>Grinnell, Iowa</v>
    <v>4</v>
    <v>5</v>
    <v>Map</v>
    <v>6</v>
    <v>7</v>
    <v>en-US</v>
    <v>62737a92-ae86-9b5d-9b52-d2381ad2f216</v>
    <v>536870912</v>
    <v>1</v>
    <v>68</v>
    <v>1524</v>
    <v>1525</v>
    <v>148</v>
    <v>Grinnell is a city in Poweshiek County, Iowa, United States. The population was 9,564 at the time of the 2020 census. It is best known for being the home of Grinnell College, as well as being the location of the Merchants' National Bank ...</v>
    <v>1526</v>
    <v>1527</v>
    <v>1528</v>
    <v>1529</v>
    <v>Grinnell, Iowa</v>
    <v>1530</v>
    <v>335</v>
    <v>Grinnell, Iowa</v>
    <v>mdp/vdpid/5093027083324489729</v>
  </rv>
  <rv s="0">
    <v>536870912</v>
    <v>Waterville, Maine</v>
    <v>bccdffc8-e311-85b5-6547-10744910d73b</v>
    <v>en-US</v>
    <v>Map</v>
  </rv>
  <rv s="0">
    <v>536870912</v>
    <v>Kennebec County</v>
    <v>8de68467-c34b-ec2b-e1d5-26cbcc48b79a</v>
    <v>en-US</v>
    <v>Map</v>
  </rv>
  <rv s="1">
    <fb>36.397387000000002</fb>
    <v>8</v>
  </rv>
  <rv s="2">
    <v>52</v>
    <v>6</v>
    <v>252</v>
    <v>7</v>
    <v>0</v>
    <v>Image of Waterville, Maine</v>
  </rv>
  <rv s="1">
    <fb>44.551944444443997</fb>
    <v>9</v>
  </rv>
  <rv s="0">
    <v>805306368</v>
    <v>Jay Coelho (Mayor)</v>
    <v>b84e15ca-f655-8a30-4eb1-d558f5e616fc</v>
    <v>en-US</v>
    <v>Generic</v>
  </rv>
  <rv s="3">
    <v>88</v>
  </rv>
  <rv s="4">
    <v>https://www.bing.com/search?q=waterville+maine&amp;form=skydnc</v>
    <v>Learn more on Bing</v>
  </rv>
  <rv s="1">
    <fb>-69.645833333333002</fb>
    <v>9</v>
  </rv>
  <rv s="1">
    <fb>15828</fb>
    <v>8</v>
  </rv>
  <rv s="11">
    <v>#VALUE!</v>
    <v>253</v>
    <v>113</v>
    <v>Waterville, Maine</v>
    <v>4</v>
    <v>5</v>
    <v>Map</v>
    <v>6</v>
    <v>7</v>
    <v>en-US</v>
    <v>bccdffc8-e311-85b5-6547-10744910d73b</v>
    <v>536870912</v>
    <v>1</v>
    <v>72</v>
    <v>1533</v>
    <v>1534</v>
    <v>3</v>
    <v>Waterville is a city in Kennebec County, Maine, United States, on the west bank of the Kennebec River. The city is home to Colby College and Thomas College. As of the 2020 census the population was 15,828. Along with Augusta, Waterville is one ...</v>
    <v>1535</v>
    <v>1536</v>
    <v>1538</v>
    <v>1539</v>
    <v>1540</v>
    <v>Waterville, Maine</v>
    <v>1541</v>
    <v>11</v>
    <v>Waterville, Maine</v>
    <v>mdp/vdpid/5488252247114514433</v>
  </rv>
  <rv s="0">
    <v>536870912</v>
    <v>Brazil</v>
    <v>a828cf41-b938-49fe-7986-4b336618d413</v>
    <v>en-US</v>
    <v>Map</v>
  </rv>
  <rv s="1">
    <fb>0.33924533448829503</fb>
    <v>29</v>
  </rv>
  <rv s="1">
    <fb>8515767</fb>
    <v>8</v>
  </rv>
  <rv s="1">
    <fb>730000</fb>
    <v>8</v>
  </rv>
  <rv s="1">
    <fb>13.923999999999999</fb>
    <v>30</v>
  </rv>
  <rv s="1">
    <fb>55</fb>
    <v>31</v>
  </rv>
  <rv s="0">
    <v>536870912</v>
    <v>Brasília</v>
    <v>0f4c1a26-f33c-b6de-a63f-578da6617369</v>
    <v>en-US</v>
    <v>Map</v>
  </rv>
  <rv s="1">
    <fb>462298.69</fb>
    <v>8</v>
  </rv>
  <rv s="1">
    <fb>167.397860280061</fb>
    <v>32</v>
  </rv>
  <rv s="1">
    <fb>3.7329762121689397E-2</fb>
    <v>29</v>
  </rv>
  <rv s="1">
    <fb>2619.96061573831</fb>
    <v>8</v>
  </rv>
  <rv s="1">
    <fb>1.73</fb>
    <v>30</v>
  </rv>
  <rv s="1">
    <fb>0.58931054038338704</fb>
    <v>29</v>
  </rv>
  <rv s="1">
    <fb>59.1075326389753</fb>
    <v>33</v>
  </rv>
  <rv s="1">
    <fb>1.02</fb>
    <v>34</v>
  </rv>
  <rv s="1">
    <fb>1839758040765.6201</fb>
    <v>35</v>
  </rv>
  <rv s="1">
    <fb>1.1544783999999999</fb>
    <v>29</v>
  </rv>
  <rv s="1">
    <fb>0.513436</fb>
    <v>29</v>
  </rv>
  <rv s="2">
    <v>53</v>
    <v>6</v>
    <v>255</v>
    <v>7</v>
    <v>0</v>
    <v>Image of Brazil</v>
  </rv>
  <rv s="1">
    <fb>12.8</fb>
    <v>33</v>
  </rv>
  <rv s="0">
    <v>536870912</v>
    <v>São Paulo</v>
    <v>c6cf2f6e-626c-4267-ae48-9e13ea74d2b9</v>
    <v>en-US</v>
    <v>Map</v>
  </rv>
  <rv s="0">
    <v>805306368</v>
    <v>Luiz Inácio Lula da Silva (President)</v>
    <v>d1dff6dd-e1d9-642a-4044-fc3f6765ae2b</v>
    <v>en-US</v>
    <v>Generic</v>
  </rv>
  <rv s="0">
    <v>805306368</v>
    <v>Geraldo Alckmin (Vice president)</v>
    <v>ea2c259d-ca87-ae96-81e3-8e0b97870fa3</v>
    <v>en-US</v>
    <v>Generic</v>
  </rv>
  <rv s="3">
    <v>89</v>
  </rv>
  <rv s="4">
    <v>https://www.bing.com/search?q=brazil&amp;form=skydnc</v>
    <v>Learn more on Bing</v>
  </rv>
  <rv s="1">
    <fb>75.671999999999997</fb>
    <v>33</v>
  </rv>
  <rv s="1">
    <fb>1187361690000</fb>
    <v>35</v>
  </rv>
  <rv s="1">
    <fb>60</fb>
    <v>33</v>
  </rv>
  <rv s="1">
    <fb>1.53</fb>
    <v>34</v>
  </rv>
  <rv s="3">
    <v>90</v>
  </rv>
  <rv s="1">
    <fb>0.28289823089999999</fb>
    <v>29</v>
  </rv>
  <rv s="1">
    <fb>2.1499000000000001</fb>
    <v>30</v>
  </rv>
  <rv s="1">
    <fb>215313498</fb>
    <v>8</v>
  </rv>
  <rv s="1">
    <fb>0.192</fb>
    <v>29</v>
  </rv>
  <rv s="1">
    <fb>0.42499999999999999</fb>
    <v>29</v>
  </rv>
  <rv s="1">
    <fb>0.58399999999999996</fb>
    <v>29</v>
  </rv>
  <rv s="1">
    <fb>3.1E-2</fb>
    <v>29</v>
  </rv>
  <rv s="1">
    <fb>0.63883998870849601</fb>
    <v>29</v>
  </rv>
  <rv s="0">
    <v>536870912</v>
    <v>Acre</v>
    <v>8960bf27-5261-01d1-4019-e7d898f67bb4</v>
    <v>en-US</v>
    <v>Map</v>
  </rv>
  <rv s="0">
    <v>536870912</v>
    <v>Amapá</v>
    <v>28d39e09-4b9f-31f6-cc72-48b1f9be59db</v>
    <v>en-US</v>
    <v>Map</v>
  </rv>
  <rv s="0">
    <v>536870912</v>
    <v>Amazonas</v>
    <v>f79e57ca-6fc1-5a6a-015b-38d90f33902f</v>
    <v>en-US</v>
    <v>Map</v>
  </rv>
  <rv s="0">
    <v>536870912</v>
    <v>Pará</v>
    <v>7a0db70a-73db-e83d-e548-6fab7a523b35</v>
    <v>en-US</v>
    <v>Map</v>
  </rv>
  <rv s="0">
    <v>536870912</v>
    <v>Rondônia</v>
    <v>25fbe5d5-9bc1-0ec2-ac78-2d9fe5b147dd</v>
    <v>en-US</v>
    <v>Map</v>
  </rv>
  <rv s="0">
    <v>536870912</v>
    <v>Roraima</v>
    <v>3b8383a2-7c79-31f6-2359-bd9ba2099213</v>
    <v>en-US</v>
    <v>Map</v>
  </rv>
  <rv s="0">
    <v>536870912</v>
    <v>Tocantins</v>
    <v>f7a46dfe-e192-d6f7-e5f8-084e555ba7cb</v>
    <v>en-US</v>
    <v>Map</v>
  </rv>
  <rv s="0">
    <v>536870912</v>
    <v>Alagoas</v>
    <v>4e3f1ba4-1948-0514-728a-55b34ab027b4</v>
    <v>en-US</v>
    <v>Map</v>
  </rv>
  <rv s="0">
    <v>536870912</v>
    <v>Bahia</v>
    <v>e904684f-6d5b-f7bb-c27d-bdb50a0ec8ab</v>
    <v>en-US</v>
    <v>Map</v>
  </rv>
  <rv s="0">
    <v>536870912</v>
    <v>Ceará</v>
    <v>b598e20e-29fb-ccf6-be0e-2650e6ba40c5</v>
    <v>en-US</v>
    <v>Map</v>
  </rv>
  <rv s="0">
    <v>536870912</v>
    <v>Maranhão</v>
    <v>98274980-9da4-ff5e-78a1-e512bb4179ca</v>
    <v>en-US</v>
    <v>Map</v>
  </rv>
  <rv s="0">
    <v>536870912</v>
    <v>Paraíba</v>
    <v>f5be810b-3322-2252-c10f-35206d84b548</v>
    <v>en-US</v>
    <v>Map</v>
  </rv>
  <rv s="0">
    <v>536870912</v>
    <v>Pernambuco</v>
    <v>5538aab1-15ae-294f-2c10-f5083201cca1</v>
    <v>en-US</v>
    <v>Map</v>
  </rv>
  <rv s="0">
    <v>536870912</v>
    <v>Piauí</v>
    <v>ab11433a-8357-ae6d-67fe-8570cc271399</v>
    <v>en-US</v>
    <v>Map</v>
  </rv>
  <rv s="0">
    <v>536870912</v>
    <v>Rio Grande do Norte</v>
    <v>4cccb40d-d26b-4493-e031-bcf803f1c2b1</v>
    <v>en-US</v>
    <v>Map</v>
  </rv>
  <rv s="0">
    <v>536870912</v>
    <v>Sergipe</v>
    <v>a7f70762-a1ab-d5de-8bf0-3eb8532c1eb9</v>
    <v>en-US</v>
    <v>Map</v>
  </rv>
  <rv s="0">
    <v>536870912</v>
    <v>Goiás</v>
    <v>38750702-647a-b72a-2cec-e4a55e078f36</v>
    <v>en-US</v>
    <v>Map</v>
  </rv>
  <rv s="0">
    <v>536870912</v>
    <v>Mato Grosso</v>
    <v>af05c757-4d77-813e-b8eb-97635c07f37a</v>
    <v>en-US</v>
    <v>Map</v>
  </rv>
  <rv s="0">
    <v>536870912</v>
    <v>Mato Grosso do Sul</v>
    <v>7de24933-1d79-fc85-387b-3ce7947910b6</v>
    <v>en-US</v>
    <v>Map</v>
  </rv>
  <rv s="0">
    <v>536870912</v>
    <v>Espírito Santo</v>
    <v>dbc4d679-53e7-49d7-c6b3-88a4ca7f522f</v>
    <v>en-US</v>
    <v>Map</v>
  </rv>
  <rv s="0">
    <v>536870912</v>
    <v>Minas Gerais</v>
    <v>974e2066-dee0-aecd-c973-50babb750033</v>
    <v>en-US</v>
    <v>Map</v>
  </rv>
  <rv s="0">
    <v>536870912</v>
    <v>Rio de Janeiro</v>
    <v>3f5a22fa-26bd-86f9-0345-3a6206e8aab5</v>
    <v>en-US</v>
    <v>Map</v>
  </rv>
  <rv s="0">
    <v>536870912</v>
    <v>São Paulo</v>
    <v>4d56ae2d-1aad-8c4f-dca2-4456acc12f89</v>
    <v>en-US</v>
    <v>Map</v>
  </rv>
  <rv s="0">
    <v>536870912</v>
    <v>Paraná</v>
    <v>a33450c4-459a-0682-41ee-635b343dd785</v>
    <v>en-US</v>
    <v>Map</v>
  </rv>
  <rv s="0">
    <v>536870912</v>
    <v>Rio Grande do Sul</v>
    <v>9644dbbf-be0c-de9c-a534-3d7ff4801a8b</v>
    <v>en-US</v>
    <v>Map</v>
  </rv>
  <rv s="0">
    <v>536870912</v>
    <v>Santa Catarina</v>
    <v>6262969d-76c7-e65f-1be5-668011a93ff0</v>
    <v>en-US</v>
    <v>Map</v>
  </rv>
  <rv s="0">
    <v>536870912</v>
    <v>Federal District</v>
    <v>88dfc3b6-8e7a-694d-61b2-96d14f226ec4</v>
    <v>en-US</v>
    <v>Map</v>
  </rv>
  <rv s="3">
    <v>91</v>
  </rv>
  <rv s="1">
    <fb>0.14178605589771201</fb>
    <v>29</v>
  </rv>
  <rv s="3">
    <v>92</v>
  </rv>
  <rv s="1">
    <fb>0.65099999999999991</fb>
    <v>29</v>
  </rv>
  <rv s="1">
    <fb>0.12083000183105501</fb>
    <v>36</v>
  </rv>
  <rv s="1">
    <fb>183241641</fb>
    <v>8</v>
  </rv>
  <rv s="6">
    <v>#VALUE!</v>
    <v>258</v>
    <v>27</v>
    <v>Brazil</v>
    <v>4</v>
    <v>5</v>
    <v>Map</v>
    <v>6</v>
    <v>259</v>
    <v>en-US</v>
    <v>a828cf41-b938-49fe-7986-4b336618d413</v>
    <v>536870912</v>
    <v>1</v>
    <v>BR</v>
    <v>1544</v>
    <v>1545</v>
    <v>1546</v>
    <v>1547</v>
    <v>1548</v>
    <v>1549</v>
    <v>1550</v>
    <v>1551</v>
    <v>1552</v>
    <v>BRL</v>
    <v>Brazil, officially the Federative Republic of Brazil, is the largest and easternmost country in South America. It is the world's fifth-largest country by area and the seventh largest by population, with over 212 million people. The country is a ...</v>
    <v>1553</v>
    <v>1554</v>
    <v>1555</v>
    <v>1556</v>
    <v>1557</v>
    <v>1558</v>
    <v>1559</v>
    <v>1560</v>
    <v>1561</v>
    <v>1562</v>
    <v>1563</v>
    <v>1566</v>
    <v>1567</v>
    <v>1568</v>
    <v>1569</v>
    <v>1570</v>
    <v>1571</v>
    <v>Brazil</v>
    <v>Brazilian National Anthem</v>
    <v>1572</v>
    <v>República Federativa do Brasil</v>
    <v>1573</v>
    <v>1574</v>
    <v>1575</v>
    <v>1576</v>
    <v>1577</v>
    <v>1578</v>
    <v>537</v>
    <v>1579</v>
    <v>391</v>
    <v>1397</v>
    <v>1580</v>
    <v>1608</v>
    <v>1609</v>
    <v>1610</v>
    <v>1611</v>
    <v>1612</v>
    <v>Brazil</v>
    <v>1613</v>
    <v>mdp/vdpid/32</v>
  </rv>
  <rv s="0">
    <v>536870912</v>
    <v>Switzerland</v>
    <v>c10c98b9-afcd-84bf-c5c8-4220fc76a2e3</v>
    <v>en-US</v>
    <v>Map</v>
  </rv>
  <rv s="1">
    <fb>0.38363446027908404</fb>
    <v>29</v>
  </rv>
  <rv s="1">
    <fb>41285</fb>
    <v>8</v>
  </rv>
  <rv s="1">
    <fb>21000</fb>
    <v>8</v>
  </rv>
  <rv s="1">
    <fb>10</fb>
    <v>30</v>
  </rv>
  <rv s="1">
    <fb>41</fb>
    <v>31</v>
  </rv>
  <rv s="0">
    <v>536870912</v>
    <v>Bern</v>
    <v>15dda629-8f09-9c82-b064-7a7e8e84c804</v>
    <v>en-US</v>
    <v>Map</v>
  </rv>
  <rv s="1">
    <fb>34477.133999999998</fb>
    <v>8</v>
  </rv>
  <rv s="1">
    <fb>99.546913020227805</fb>
    <v>32</v>
  </rv>
  <rv s="1">
    <fb>3.6291600452038396E-3</fb>
    <v>29</v>
  </rv>
  <rv s="1">
    <fb>7520.1660249450197</fb>
    <v>8</v>
  </rv>
  <rv s="1">
    <fb>1.52</fb>
    <v>30</v>
  </rv>
  <rv s="1">
    <fb>0.318301452005265</fb>
    <v>29</v>
  </rv>
  <rv s="1">
    <fb>50.168225480798597</fb>
    <v>33</v>
  </rv>
  <rv s="1">
    <fb>1.45</fb>
    <v>34</v>
  </rv>
  <rv s="1">
    <fb>703082435360.11694</fb>
    <v>35</v>
  </rv>
  <rv s="1">
    <fb>1.0519068</fb>
    <v>29</v>
  </rv>
  <rv s="1">
    <fb>0.59562990000000005</fb>
    <v>29</v>
  </rv>
  <rv s="2">
    <v>54</v>
    <v>6</v>
    <v>261</v>
    <v>7</v>
    <v>0</v>
    <v>Image of Switzerland</v>
  </rv>
  <rv s="1">
    <fb>3.7</fb>
    <v>33</v>
  </rv>
  <rv s="0">
    <v>536870912</v>
    <v>Zurich</v>
    <v>db19e556-240e-d241-ad76-1bf238372a7f</v>
    <v>en-US</v>
    <v>Map</v>
  </rv>
  <rv s="0">
    <v>805306368</v>
    <v>Karin Keller-Sutter (Federal Council)</v>
    <v>00e54934-2464-4876-b9e0-0f45711e610b</v>
    <v>en-US</v>
    <v>Generic</v>
  </rv>
  <rv s="0">
    <v>805306368</v>
    <v>Guy Parmelin (Federal Council)</v>
    <v>1698eb42-72aa-6c9b-26ff-ed678962e2b0</v>
    <v>en-US</v>
    <v>Generic</v>
  </rv>
  <rv s="0">
    <v>805306368</v>
    <v>Ignazio Cassis (Federal Council)</v>
    <v>dacdb4e9-4344-ec7d-0faa-307f1e081e21</v>
    <v>en-US</v>
    <v>Generic</v>
  </rv>
  <rv s="0">
    <v>805306368</v>
    <v>Viola Amherd (Federal Council)</v>
    <v>f6fb052a-7df3-5ad8-30ba-ca10ed100863</v>
    <v>en-US</v>
    <v>Generic</v>
  </rv>
  <rv s="0">
    <v>805306368</v>
    <v>Albert Rösti (Federal Council)</v>
    <v>c24073af-1953-d773-7d55-965da760c77f</v>
    <v>en-US</v>
    <v>Generic</v>
  </rv>
  <rv s="0">
    <v>805306368</v>
    <v>Élisabeth Baume-Schneider (Federal Council)</v>
    <v>771e919e-ed9d-33ac-50e8-cc2baac2edc7</v>
    <v>en-US</v>
    <v>Generic</v>
  </rv>
  <rv s="0">
    <v>805306368</v>
    <v>Beat Jans (Federal Council)</v>
    <v>976a6bb0-3cfe-d924-7ec7-3d5a162210e1</v>
    <v>en-US</v>
    <v>Generic</v>
  </rv>
  <rv s="3">
    <v>93</v>
  </rv>
  <rv s="4">
    <v>https://www.bing.com/search?q=switzerland&amp;form=skydnc</v>
    <v>Learn more on Bing</v>
  </rv>
  <rv s="1">
    <fb>83.551219512195104</fb>
    <v>33</v>
  </rv>
  <rv s="1">
    <fb>1834453260000</fb>
    <v>35</v>
  </rv>
  <rv s="3">
    <v>94</v>
  </rv>
  <rv s="1">
    <fb>0.28345719829999999</fb>
    <v>29</v>
  </rv>
  <rv s="1">
    <fb>4.2957000000000001</fb>
    <v>30</v>
  </rv>
  <rv s="1">
    <fb>8769741</fb>
    <v>8</v>
  </rv>
  <rv s="1">
    <fb>0.255</fb>
    <v>29</v>
  </rv>
  <rv s="1">
    <fb>0.16699999999999998</fb>
    <v>29</v>
  </rv>
  <rv s="1">
    <fb>0.68252998352050798</fb>
    <v>29</v>
  </rv>
  <rv s="0">
    <v>536870912</v>
    <v>Appenzell Ausserrhoden</v>
    <v>4663e3db-15ae-7203-e966-72677429b1a3</v>
    <v>en-US</v>
    <v>Map</v>
  </rv>
  <rv s="0">
    <v>536870912</v>
    <v>Appenzell Innerrhoden</v>
    <v>438c2059-f008-12cd-b398-bdec44fee1ce</v>
    <v>en-US</v>
    <v>Map</v>
  </rv>
  <rv s="0">
    <v>536870912</v>
    <v>Aargau</v>
    <v>7ffb687a-43b8-ee3e-7244-a40e99f97077</v>
    <v>en-US</v>
    <v>Map</v>
  </rv>
  <rv s="0">
    <v>536870912</v>
    <v>Basel-Landschaft</v>
    <v>42301343-12f1-5ec4-5c22-74dbfbf795b2</v>
    <v>en-US</v>
    <v>Map</v>
  </rv>
  <rv s="0">
    <v>536870912</v>
    <v>Basel-Stadt</v>
    <v>c6e79b8d-baaa-199e-f037-0c6cb850776e</v>
    <v>en-US</v>
    <v>Map</v>
  </rv>
  <rv s="0">
    <v>536870912</v>
    <v>Canton of Bern</v>
    <v>2a03e077-5092-0e03-223b-4aa6b24c7525</v>
    <v>en-US</v>
    <v>Map</v>
  </rv>
  <rv s="0">
    <v>536870912</v>
    <v>Canton of Fribourg</v>
    <v>5539f36c-455a-28cc-02c2-27ef6596fe56</v>
    <v>en-US</v>
    <v>Map</v>
  </rv>
  <rv s="0">
    <v>536870912</v>
    <v>Canton of Geneva</v>
    <v>fb357cde-21c3-0878-8ec6-1e42a1a9db63</v>
    <v>en-US</v>
    <v>Map</v>
  </rv>
  <rv s="0">
    <v>536870912</v>
    <v>Canton of Glarus</v>
    <v>6cf7d446-0b69-661d-2aa7-1719c8a7d3ca</v>
    <v>en-US</v>
    <v>Map</v>
  </rv>
  <rv s="0">
    <v>536870912</v>
    <v>Grisons</v>
    <v>897c7b22-1822-9d6c-0404-564393a9433c</v>
    <v>en-US</v>
    <v>Map</v>
  </rv>
  <rv s="0">
    <v>536870912</v>
    <v>Canton of Jura</v>
    <v>7d474a26-e388-0d0f-3b50-6ba37562a6b8</v>
    <v>en-US</v>
    <v>Map</v>
  </rv>
  <rv s="0">
    <v>536870912</v>
    <v>Canton of Lucerne</v>
    <v>b4674fd7-3899-7adb-4ffb-315b0fe97c2d</v>
    <v>en-US</v>
    <v>Map</v>
  </rv>
  <rv s="0">
    <v>536870912</v>
    <v>Nidwalden</v>
    <v>58fe5a62-ac5e-752f-a9cf-e9cc16f0d3bb</v>
    <v>en-US</v>
    <v>Map</v>
  </rv>
  <rv s="0">
    <v>536870912</v>
    <v>Obwalden</v>
    <v>ed77cee0-5e66-ea48-95ac-b4a7f4179920</v>
    <v>en-US</v>
    <v>Map</v>
  </rv>
  <rv s="0">
    <v>536870912</v>
    <v>Canton of St. Gallen</v>
    <v>2c40a905-a53f-03e5-6ae8-ff0f2d23e1a1</v>
    <v>en-US</v>
    <v>Map</v>
  </rv>
  <rv s="0">
    <v>536870912</v>
    <v>Canton of Schaffhausen</v>
    <v>93019ae6-ba39-a502-0e6f-d0ea1311b868</v>
    <v>en-US</v>
    <v>Map</v>
  </rv>
  <rv s="0">
    <v>536870912</v>
    <v>Canton of Schwyz</v>
    <v>ff0399f7-2e79-eb3f-0618-78c79708ac42</v>
    <v>en-US</v>
    <v>Map</v>
  </rv>
  <rv s="0">
    <v>536870912</v>
    <v>Canton of Solothurn</v>
    <v>768c0474-5479-b9c8-75f8-f82efb8f0dde</v>
    <v>en-US</v>
    <v>Map</v>
  </rv>
  <rv s="0">
    <v>536870912</v>
    <v>Ticino</v>
    <v>b6c6799b-da2f-f3c7-c738-32ae5b148d64</v>
    <v>en-US</v>
    <v>Map</v>
  </rv>
  <rv s="0">
    <v>536870912</v>
    <v>Thurgau</v>
    <v>8065557e-7c96-3a5b-def2-3f06cf28b35d</v>
    <v>en-US</v>
    <v>Map</v>
  </rv>
  <rv s="0">
    <v>536870912</v>
    <v>Canton of Uri</v>
    <v>bd769763-fa18-cb72-13b9-1fc2356e69e2</v>
    <v>en-US</v>
    <v>Map</v>
  </rv>
  <rv s="0">
    <v>536870912</v>
    <v>Valais</v>
    <v>8f4a9c7f-1eaf-8f68-e219-aa3807fe0383</v>
    <v>en-US</v>
    <v>Map</v>
  </rv>
  <rv s="0">
    <v>536870912</v>
    <v>Vaud</v>
    <v>a705603f-d616-d617-8e28-389ba87a66fc</v>
    <v>en-US</v>
    <v>Map</v>
  </rv>
  <rv s="0">
    <v>536870912</v>
    <v>Canton of Zug</v>
    <v>e87417bb-ca41-7e6d-69d0-7a8484553a9d</v>
    <v>en-US</v>
    <v>Map</v>
  </rv>
  <rv s="0">
    <v>536870912</v>
    <v>Canton of Zurich</v>
    <v>91f44f19-7d2e-687e-1899-8b1d22d4a46b</v>
    <v>en-US</v>
    <v>Map</v>
  </rv>
  <rv s="3">
    <v>95</v>
  </rv>
  <rv s="1">
    <fb>0.10080933835403399</fb>
    <v>29</v>
  </rv>
  <rv s="1">
    <fb>4.5809998512268101E-2</fb>
    <v>36</v>
  </rv>
  <rv s="1">
    <fb>6332428</fb>
    <v>8</v>
  </rv>
  <rv s="19">
    <v>#VALUE!</v>
    <v>264</v>
    <v>231</v>
    <v>Switzerland</v>
    <v>4</v>
    <v>5</v>
    <v>Map</v>
    <v>6</v>
    <v>151</v>
    <v>en-US</v>
    <v>c10c98b9-afcd-84bf-c5c8-4220fc76a2e3</v>
    <v>536870912</v>
    <v>1</v>
    <v>CH</v>
    <v>1616</v>
    <v>1617</v>
    <v>1618</v>
    <v>1619</v>
    <v>1620</v>
    <v>1621</v>
    <v>1622</v>
    <v>1623</v>
    <v>1624</v>
    <v>CHF</v>
    <v>Switzerland, officially the Swiss Confederation, is a landlocked country located in west-central Europe. It is bordered by Italy to the south, France to the west, Germany to the north, and Austria and Liechtenstein to the east. Switzerland is ...</v>
    <v>1625</v>
    <v>1626</v>
    <v>1627</v>
    <v>1628</v>
    <v>1629</v>
    <v>1630</v>
    <v>1631</v>
    <v>1632</v>
    <v>1633</v>
    <v>1634</v>
    <v>1635</v>
    <v>1643</v>
    <v>1644</v>
    <v>1645</v>
    <v>1646</v>
    <v>721</v>
    <v>Switzerland</v>
    <v>Swiss Psalm</v>
    <v>1647</v>
    <v>Confoederatio Helvetica</v>
    <v>1648</v>
    <v>1649</v>
    <v>1650</v>
    <v>590</v>
    <v>1651</v>
    <v>648</v>
    <v>1579</v>
    <v>360</v>
    <v>504</v>
    <v>1652</v>
    <v>1653</v>
    <v>1679</v>
    <v>1680</v>
    <v>957</v>
    <v>299</v>
    <v>1681</v>
    <v>Switzerland</v>
    <v>1682</v>
    <v>mdp/vdpid/223</v>
  </rv>
  <rv s="0">
    <v>536870912</v>
    <v>Toulouse</v>
    <v>66f18335-714d-a89b-accf-daa50ae2a3b0</v>
    <v>en-US</v>
    <v>Map</v>
  </rv>
  <rv s="0">
    <v>536870912</v>
    <v>Toulouse Métropole</v>
    <v>2afec0cf-5b51-7c80-0629-1e6bad081da1</v>
    <v>en-US</v>
    <v>Map</v>
  </rv>
  <rv s="1">
    <fb>118.3</fb>
    <v>8</v>
  </rv>
  <rv s="2">
    <v>55</v>
    <v>6</v>
    <v>265</v>
    <v>7</v>
    <v>0</v>
    <v>Image of Toulouse</v>
  </rv>
  <rv s="1">
    <fb>43.604444444443999</fb>
    <v>9</v>
  </rv>
  <rv s="0">
    <v>805306368</v>
    <v>Jean-Luc Moudenc (Mayor)</v>
    <v>a9140916-0f7c-fe51-aebc-132ef414dd94</v>
    <v>en-US</v>
    <v>Generic</v>
  </rv>
  <rv s="3">
    <v>96</v>
  </rv>
  <rv s="4">
    <v>https://www.bing.com/search?q=toulouse&amp;form=skydnc</v>
    <v>Learn more on Bing</v>
  </rv>
  <rv s="1">
    <fb>1.4438888888889001</fb>
    <v>9</v>
  </rv>
  <rv s="1">
    <fb>511684</fb>
    <v>8</v>
  </rv>
  <rv s="11">
    <v>#VALUE!</v>
    <v>266</v>
    <v>113</v>
    <v>Toulouse</v>
    <v>4</v>
    <v>5</v>
    <v>Map</v>
    <v>6</v>
    <v>192</v>
    <v>en-US</v>
    <v>66f18335-714d-a89b-accf-daa50ae2a3b0</v>
    <v>536870912</v>
    <v>1</v>
    <v>1685</v>
    <v>1685</v>
    <v>1686</v>
    <v>888</v>
    <v>Toulouse is the prefecture of the French department of Haute-Garonne and of the larger region of Occitania. The city is on the banks of the River Garonne, 150 kilometres from the Mediterranean Sea, 230 km from the Atlantic Ocean and 680 km from ...</v>
    <v>1687</v>
    <v>1688</v>
    <v>1690</v>
    <v>1691</v>
    <v>1692</v>
    <v>Toulouse</v>
    <v>1693</v>
    <v>804</v>
    <v>Toulouse</v>
    <v>mdp/vdpid/7206182192253239297</v>
  </rv>
  <rv s="0">
    <v>536870912</v>
    <v>University Park</v>
    <v>2068cf2a-ee80-e172-29f5-b908baa2545b</v>
    <v>en-US</v>
    <v>Map</v>
  </rv>
  <rv s="0">
    <v>536870912</v>
    <v>Centre County</v>
    <v>6d5de131-b890-dead-dde7-766f1c968a47</v>
    <v>en-US</v>
    <v>Map</v>
  </rv>
  <rv s="1">
    <fb>3.9</fb>
    <v>8</v>
  </rv>
  <rv s="1">
    <fb>40.796111111111003</fb>
    <v>9</v>
  </rv>
  <rv s="4">
    <v>https://www.bing.com/search?q=university+park+pennsylvania&amp;form=skydnc</v>
    <v>Learn more on Bing</v>
  </rv>
  <rv s="1">
    <fb>-77.862777777778007</fb>
    <v>9</v>
  </rv>
  <rv s="21">
    <v>#VALUE!</v>
    <v>270</v>
    <v>271</v>
    <v>University Park</v>
    <v>273</v>
    <v>274</v>
    <v>Map</v>
    <v>6</v>
    <v>275</v>
    <v>en-US</v>
    <v>2068cf2a-ee80-e172-29f5-b908baa2545b</v>
    <v>536870912</v>
    <v>1</v>
    <v>90</v>
    <v>1696</v>
    <v>1697</v>
    <v>3</v>
    <v>University Park is the name given to the Pennsylvania State University's main campus located in both State College and College Township, Pennsylvania. The campus post office was designated "University Park, Pennsylvania" in 1953 by Penn State president Milton Eisenhower, after what was then Pennsylvania State College was upgraded to university status.</v>
    <v>1698</v>
    <v>1699</v>
    <v>1700</v>
    <v>University Park</v>
    <v>University Park</v>
    <v>mdp/vdpid/5486641458586845186</v>
  </rv>
  <rv s="0">
    <v>536870912</v>
    <v>Getafe</v>
    <v>99b5dffc-d6a8-4c66-b021-5f63a2060e3c</v>
    <v>en-US</v>
    <v>Map</v>
  </rv>
  <rv s="1">
    <fb>78.739999999999995</fb>
    <v>8</v>
  </rv>
  <rv s="0">
    <v>536870912</v>
    <v>Spain</v>
    <v>32ba7e90-50d9-abbf-6822-7fd7ea22999b</v>
    <v>en-US</v>
    <v>Map</v>
  </rv>
  <rv s="2">
    <v>56</v>
    <v>6</v>
    <v>276</v>
    <v>7</v>
    <v>0</v>
    <v>Image of Getafe</v>
  </rv>
  <rv s="1">
    <fb>40.299999999999997</fb>
    <v>9</v>
  </rv>
  <rv s="0">
    <v>805306368</v>
    <v>Sara Hernández (Mayor)</v>
    <v>dbe9c3d5-db39-8ac6-c79f-b1eedbc7b851</v>
    <v>en-US</v>
    <v>Generic</v>
  </rv>
  <rv s="3">
    <v>97</v>
  </rv>
  <rv s="4">
    <v>https://www.bing.com/search?q=getafe+spain&amp;form=skydnc</v>
    <v>Learn more on Bing</v>
  </rv>
  <rv s="1">
    <fb>-3.7166666666667001</fb>
    <v>9</v>
  </rv>
  <rv s="1">
    <fb>187525</fb>
    <v>8</v>
  </rv>
  <rv s="3">
    <v>98</v>
  </rv>
  <rv s="5">
    <v>#VALUE!</v>
    <v>277</v>
    <v>2</v>
    <v>Getafe</v>
    <v>4</v>
    <v>5</v>
    <v>Map</v>
    <v>6</v>
    <v>155</v>
    <v>en-US</v>
    <v>99b5dffc-d6a8-4c66-b021-5f63a2060e3c</v>
    <v>536870912</v>
    <v>1</v>
    <v>844</v>
    <v>1703</v>
    <v>1704</v>
    <v>Getafe is a municipality and a city in Spain belonging to the Community of Madrid. As of 2018, it has a population of 180,747, the region's sixth most populated municipality. Getafe is located 13 km south of Madrid's city centre, within a flat ...</v>
    <v>1705</v>
    <v>1706</v>
    <v>1708</v>
    <v>1709</v>
    <v>1710</v>
    <v>Getafe</v>
    <v>1711</v>
    <v>1712</v>
    <v>Getafe</v>
    <v>mdp/vdpid/5669358810767032321</v>
  </rv>
  <rv s="0">
    <v>536870912</v>
    <v>United Kingdom</v>
    <v>b1a5155a-6bb2-4646-8f7c-3e6b3a53c831</v>
    <v>en-US</v>
    <v>Map</v>
  </rv>
  <rv s="1">
    <fb>0.71714878141404492</fb>
    <v>29</v>
  </rv>
  <rv s="1">
    <fb>242495</fb>
    <v>8</v>
  </rv>
  <rv s="1">
    <fb>148000</fb>
    <v>8</v>
  </rv>
  <rv s="1">
    <fb>11</fb>
    <v>30</v>
  </rv>
  <rv s="1">
    <fb>44</fb>
    <v>31</v>
  </rv>
  <rv s="0">
    <v>536870912</v>
    <v>London</v>
    <v>8e0ba7b6-4225-fa8a-6369-1b5294e602a5</v>
    <v>en-US</v>
    <v>Map</v>
  </rv>
  <rv s="1">
    <fb>379024.78700000001</fb>
    <v>8</v>
  </rv>
  <rv s="1">
    <fb>119.622711300166</fb>
    <v>32</v>
  </rv>
  <rv s="1">
    <fb>1.7381046008651101E-2</fb>
    <v>29</v>
  </rv>
  <rv s="1">
    <fb>5129.5277927901998</fb>
    <v>8</v>
  </rv>
  <rv s="1">
    <fb>1.68</fb>
    <v>30</v>
  </rv>
  <rv s="1">
    <fb>0.130657628239573</fb>
    <v>29</v>
  </rv>
  <rv s="1">
    <fb>80.351771267255202</fb>
    <v>33</v>
  </rv>
  <rv s="1">
    <fb>1.46</fb>
    <v>34</v>
  </rv>
  <rv s="1">
    <fb>2827113184695.5801</fb>
    <v>35</v>
  </rv>
  <rv s="1">
    <fb>1.0115456</fb>
    <v>29</v>
  </rv>
  <rv s="1">
    <fb>0.59995569999999998</fb>
    <v>29</v>
  </rv>
  <rv s="2">
    <v>57</v>
    <v>6</v>
    <v>279</v>
    <v>7</v>
    <v>0</v>
    <v>Image of United Kingdom</v>
  </rv>
  <rv s="1">
    <fb>3.6</fb>
    <v>33</v>
  </rv>
  <rv s="0">
    <v>805306368</v>
    <v>Keir Starmer (Prime minister)</v>
    <v>63a6ef59-71fd-db08-08c6-d47d973d47fb</v>
    <v>en-US</v>
    <v>Generic</v>
  </rv>
  <rv s="3">
    <v>99</v>
  </rv>
  <rv s="4">
    <v>https://www.bing.com/search?q=united+kingdom&amp;form=skydnc</v>
    <v>Learn more on Bing</v>
  </rv>
  <rv s="1">
    <fb>81.256097560975604</fb>
    <v>33</v>
  </rv>
  <rv s="1">
    <fb>1868152970000</fb>
    <v>35</v>
  </rv>
  <rv s="1">
    <fb>10.130000000000001</fb>
    <v>34</v>
  </rv>
  <rv s="1">
    <fb>0.14794489889999998</fb>
    <v>29</v>
  </rv>
  <rv s="1">
    <fb>2.8117000000000001</fb>
    <v>30</v>
  </rv>
  <rv s="1">
    <fb>66971411</fb>
    <v>8</v>
  </rv>
  <rv s="1">
    <fb>0.22500000000000001</fb>
    <v>29</v>
  </rv>
  <rv s="1">
    <fb>0.26800000000000002</fb>
    <v>29</v>
  </rv>
  <rv s="1">
    <fb>0.11900000000000001</fb>
    <v>29</v>
  </rv>
  <rv s="1">
    <fb>0.16399999999999998</fb>
    <v>29</v>
  </rv>
  <rv s="1">
    <fb>0.62773998260497998</fb>
    <v>29</v>
  </rv>
  <rv s="0">
    <v>536870912</v>
    <v>England</v>
    <v>280d39e8-7217-6863-6980-a8c20c211c89</v>
    <v>en-US</v>
    <v>Map</v>
  </rv>
  <rv s="0">
    <v>536870912</v>
    <v>Wales</v>
    <v>b51b24e1-6afb-d525-d360-f2eb5bf3410b</v>
    <v>en-US</v>
    <v>Map</v>
  </rv>
  <rv s="0">
    <v>536870912</v>
    <v>Scotland</v>
    <v>a0377d96-1a18-f843-65ad-adcbc4acdc69</v>
    <v>en-US</v>
    <v>Map</v>
  </rv>
  <rv s="0">
    <v>536870912</v>
    <v>Northern Ireland</v>
    <v>e4b8bc44-385c-e87b-bb7d-b32328f53502</v>
    <v>en-US</v>
    <v>Map</v>
  </rv>
  <rv s="3">
    <v>100</v>
  </rv>
  <rv s="1">
    <fb>0.255052921600669</fb>
    <v>29</v>
  </rv>
  <rv s="3">
    <v>101</v>
  </rv>
  <rv s="1">
    <fb>0.30599999999999999</fb>
    <v>29</v>
  </rv>
  <rv s="1">
    <fb>3.8510000705719E-2</fb>
    <v>36</v>
  </rv>
  <rv s="1">
    <fb>55908316</fb>
    <v>8</v>
  </rv>
  <rv s="6">
    <v>#VALUE!</v>
    <v>282</v>
    <v>27</v>
    <v>United Kingdom</v>
    <v>4</v>
    <v>5</v>
    <v>Map</v>
    <v>6</v>
    <v>283</v>
    <v>en-US</v>
    <v>b1a5155a-6bb2-4646-8f7c-3e6b3a53c831</v>
    <v>536870912</v>
    <v>1</v>
    <v>GB</v>
    <v>1715</v>
    <v>1716</v>
    <v>1717</v>
    <v>1718</v>
    <v>1719</v>
    <v>1720</v>
    <v>1721</v>
    <v>1722</v>
    <v>1723</v>
    <v>GBP</v>
    <v>The United Kingdom of Great Britain and Northern Ireland, commonly known as the United Kingdom or Britain, is a country in Northwestern Europe, off the coast of the continental mainland. It comprises England, Scotland, Wales, and Northern ...</v>
    <v>1724</v>
    <v>1725</v>
    <v>1726</v>
    <v>1727</v>
    <v>1728</v>
    <v>1729</v>
    <v>1730</v>
    <v>1731</v>
    <v>1732</v>
    <v>1733</v>
    <v>1720</v>
    <v>1735</v>
    <v>1736</v>
    <v>1737</v>
    <v>1738</v>
    <v>1153</v>
    <v>1739</v>
    <v>United Kingdom</v>
    <v>God Save the King</v>
    <v>42</v>
    <v>United Kingdom of Great Britain and Northern Ireland</v>
    <v>1740</v>
    <v>1741</v>
    <v>1742</v>
    <v>1743</v>
    <v>1744</v>
    <v>1247</v>
    <v>267</v>
    <v>244</v>
    <v>1745</v>
    <v>1746</v>
    <v>1747</v>
    <v>1752</v>
    <v>1753</v>
    <v>1754</v>
    <v>1755</v>
    <v>1756</v>
    <v>United Kingdom</v>
    <v>1757</v>
    <v>mdp/vdpid/242</v>
  </rv>
  <rv s="0">
    <v>536870912</v>
    <v>Greater London</v>
    <v>2ba8a441-178c-f2c0-26cb-a4b260b8c806</v>
    <v>en-US</v>
    <v>Map</v>
  </rv>
  <rv s="1">
    <fb>1572</fb>
    <v>8</v>
  </rv>
  <rv s="2">
    <v>58</v>
    <v>6</v>
    <v>284</v>
    <v>7</v>
    <v>0</v>
    <v>Image of London</v>
  </rv>
  <rv s="1">
    <fb>51.507222222221998</fb>
    <v>9</v>
  </rv>
  <rv s="0">
    <v>805306368</v>
    <v>Sadiq Khan (Mayor)</v>
    <v>d7862dc2-4c03-1dc8-3412-7fe03041fdcb</v>
    <v>en-US</v>
    <v>Generic</v>
  </rv>
  <rv s="3">
    <v>102</v>
  </rv>
  <rv s="4">
    <v>https://www.bing.com/search?q=london+england&amp;form=skydnc</v>
    <v>Learn more on Bing</v>
  </rv>
  <rv s="1">
    <fb>-0.1275</fb>
    <v>9</v>
  </rv>
  <rv s="1">
    <fb>8866180</fb>
    <v>8</v>
  </rv>
  <rv s="3">
    <v>103</v>
  </rv>
  <rv s="11">
    <v>#VALUE!</v>
    <v>285</v>
    <v>113</v>
    <v>London</v>
    <v>4</v>
    <v>5</v>
    <v>Map</v>
    <v>6</v>
    <v>192</v>
    <v>en-US</v>
    <v>8e0ba7b6-4225-fa8a-6369-1b5294e602a5</v>
    <v>536870912</v>
    <v>1</v>
    <v>1748</v>
    <v>1759</v>
    <v>1760</v>
    <v>1748</v>
    <v>London is the capital and largest city of both England and the United Kingdom, with a population of 8,866,180 in 2022. Its wider metropolitan area is the largest in Western Europe, with a population of 14.9 million. London stands on the River ...</v>
    <v>1761</v>
    <v>1762</v>
    <v>1764</v>
    <v>1765</v>
    <v>1766</v>
    <v>London</v>
    <v>1767</v>
    <v>1768</v>
    <v>London</v>
    <v>mdp/vdpid/5471798185326280713</v>
  </rv>
  <rv s="0">
    <v>536870912</v>
    <v>Norway</v>
    <v>51b69cb2-1924-e989-590b-712a7070a30f</v>
    <v>en-US</v>
    <v>Map</v>
  </rv>
  <rv s="1">
    <fb>2.6940783293922001E-2</fb>
    <v>29</v>
  </rv>
  <rv s="1">
    <fb>385207</fb>
    <v>8</v>
  </rv>
  <rv s="1">
    <fb>23000</fb>
    <v>8</v>
  </rv>
  <rv s="1">
    <fb>10.4</fb>
    <v>30</v>
  </rv>
  <rv s="1">
    <fb>47</fb>
    <v>31</v>
  </rv>
  <rv s="0">
    <v>536870912</v>
    <v>Oslo</v>
    <v>962ca6d0-04b2-b258-d6d5-ec31f6cc1d83</v>
    <v>en-US</v>
    <v>Map</v>
  </rv>
  <rv s="1">
    <fb>41022.728999999999</fb>
    <v>8</v>
  </rv>
  <rv s="1">
    <fb>120.269658854402</fb>
    <v>32</v>
  </rv>
  <rv s="1">
    <fb>2.1677300330540498E-2</fb>
    <v>29</v>
  </rv>
  <rv s="1">
    <fb>22999.934595128299</fb>
    <v>8</v>
  </rv>
  <rv s="1">
    <fb>0.331778599014523</fb>
    <v>29</v>
  </rv>
  <rv s="1">
    <fb>56.951628649981103</fb>
    <v>33</v>
  </rv>
  <rv s="1">
    <fb>1.78</fb>
    <v>34</v>
  </rv>
  <rv s="1">
    <fb>403336363636.36401</fb>
    <v>35</v>
  </rv>
  <rv s="1">
    <fb>1.0026021000000001</fb>
    <v>29</v>
  </rv>
  <rv s="1">
    <fb>0.81992350000000003</fb>
    <v>29</v>
  </rv>
  <rv s="2">
    <v>59</v>
    <v>6</v>
    <v>287</v>
    <v>7</v>
    <v>0</v>
    <v>Image of Norway</v>
  </rv>
  <rv s="1">
    <fb>2.1</fb>
    <v>33</v>
  </rv>
  <rv s="0">
    <v>805306368</v>
    <v>Harald V (Monarch)</v>
    <v>d501cea3-4c13-36b0-0641-e2d6452188bc</v>
    <v>en-US</v>
    <v>Generic</v>
  </rv>
  <rv s="0">
    <v>805306368</v>
    <v>Jonas Gahr Støre (Prime minister)</v>
    <v>22a97b4b-1d69-8ed3-e2ba-75ec00cac6ad</v>
    <v>en-US</v>
    <v>Generic</v>
  </rv>
  <rv s="0">
    <v>805306368</v>
    <v>Toril Marie Øie (Chief justice)</v>
    <v>ef71223b-60e9-6b7e-eed9-1343c144235c</v>
    <v>en-US</v>
    <v>Generic</v>
  </rv>
  <rv s="3">
    <v>104</v>
  </rv>
  <rv s="4">
    <v>https://www.bing.com/search?q=norway&amp;form=skydnc</v>
    <v>Learn more on Bing</v>
  </rv>
  <rv s="1">
    <fb>82.758536585365903</fb>
    <v>33</v>
  </rv>
  <rv s="1">
    <fb>295548630000</fb>
    <v>35</v>
  </rv>
  <rv s="3">
    <v>105</v>
  </rv>
  <rv s="1">
    <fb>0.14272576140000001</fb>
    <v>29</v>
  </rv>
  <rv s="1">
    <fb>2.9163999999999999</fb>
    <v>30</v>
  </rv>
  <rv s="1">
    <fb>5457127</fb>
    <v>8</v>
  </rv>
  <rv s="1">
    <fb>0.21600000000000003</fb>
    <v>29</v>
  </rv>
  <rv s="1">
    <fb>0.36</fb>
    <v>29</v>
  </rv>
  <rv s="1">
    <fb>3.3000000000000002E-2</fb>
    <v>29</v>
  </rv>
  <rv s="1">
    <fb>8.900000000000001E-2</fb>
    <v>29</v>
  </rv>
  <rv s="1">
    <fb>0.14300000000000002</fb>
    <v>29</v>
  </rv>
  <rv s="1">
    <fb>0.18</fb>
    <v>29</v>
  </rv>
  <rv s="1">
    <fb>0.63804000854492204</fb>
    <v>29</v>
  </rv>
  <rv s="0">
    <v>536870912</v>
    <v>Akershus</v>
    <v>5be911ff-2030-92a4-37f2-690abaa42056</v>
    <v>en-US</v>
    <v>Map</v>
  </rv>
  <rv s="0">
    <v>536870912</v>
    <v>Østfold</v>
    <v>61a32360-8194-db60-82a1-1e0c5086e63a</v>
    <v>en-US</v>
    <v>Map</v>
  </rv>
  <rv s="0">
    <v>536870912</v>
    <v>Vestfold</v>
    <v>5e401c8e-2c02-1ce2-5adb-d8b619814f47</v>
    <v>en-US</v>
    <v>Map</v>
  </rv>
  <rv s="0">
    <v>536870912</v>
    <v>Telemark</v>
    <v>85c1e229-f4df-f952-b782-45dc389f825e</v>
    <v>en-US</v>
    <v>Map</v>
  </rv>
  <rv s="0">
    <v>536870912</v>
    <v>Buskerud</v>
    <v>076bb117-59ff-07f7-e641-39689d26f94a</v>
    <v>en-US</v>
    <v>Map</v>
  </rv>
  <rv s="0">
    <v>536870912</v>
    <v>Rogaland</v>
    <v>986d3e77-c553-606b-9d2f-776a1c989ba2</v>
    <v>en-US</v>
    <v>Map</v>
  </rv>
  <rv s="0">
    <v>536870912</v>
    <v>Møre og Romsdal</v>
    <v>701c8996-b876-44d1-7f9c-2b299bcf08c6</v>
    <v>en-US</v>
    <v>Map</v>
  </rv>
  <rv s="0">
    <v>536870912</v>
    <v>Nordland</v>
    <v>35304f96-e4b8-aa47-fc00-57db63d0c883</v>
    <v>en-US</v>
    <v>Map</v>
  </rv>
  <rv s="0">
    <v>536870912</v>
    <v>Troms</v>
    <v>7ac3993c-4024-2260-60bb-061627473b63</v>
    <v>en-US</v>
    <v>Map</v>
  </rv>
  <rv s="0">
    <v>536870912</v>
    <v>Finnmark</v>
    <v>1cfcd8b0-45c9-4672-8d35-bc11dabfcfd7</v>
    <v>en-US</v>
    <v>Map</v>
  </rv>
  <rv s="0">
    <v>536870912</v>
    <v>Svalbard</v>
    <v>e0bdceb6-73d9-342d-a32c-dfba0b579752</v>
    <v>en-US</v>
    <v>Map</v>
  </rv>
  <rv s="0">
    <v>536870912</v>
    <v>Jan Mayen</v>
    <v>f56eb1ba-33b5-1e64-ae2b-258d8244ad2c</v>
    <v>en-US</v>
    <v>Map</v>
  </rv>
  <rv s="0">
    <v>536870912</v>
    <v>Bouvet Island</v>
    <v>0df9c34a-d3f0-c09f-d594-0d17e4ce27da</v>
    <v>en-US</v>
    <v>Map</v>
  </rv>
  <rv s="3">
    <v>106</v>
  </rv>
  <rv s="1">
    <fb>0.238617503950879</fb>
    <v>29</v>
  </rv>
  <rv s="1">
    <fb>0.36200000000000004</fb>
    <v>29</v>
  </rv>
  <rv s="1">
    <fb>3.3459999561309801E-2</fb>
    <v>36</v>
  </rv>
  <rv s="1">
    <fb>4418218</fb>
    <v>8</v>
  </rv>
  <rv s="19">
    <v>#VALUE!</v>
    <v>290</v>
    <v>231</v>
    <v>Norway</v>
    <v>4</v>
    <v>5</v>
    <v>Map</v>
    <v>6</v>
    <v>177</v>
    <v>en-US</v>
    <v>51b69cb2-1924-e989-590b-712a7070a30f</v>
    <v>536870912</v>
    <v>1</v>
    <v>NO</v>
    <v>1771</v>
    <v>1772</v>
    <v>1773</v>
    <v>1774</v>
    <v>1775</v>
    <v>1776</v>
    <v>1777</v>
    <v>1778</v>
    <v>1779</v>
    <v>NOK</v>
    <v>Norway, officially the Kingdom of Norway, is a Nordic country located on the Scandinavian Peninsula in Northern Europe. The remote Arctic island of Jan Mayen and the archipelago of Svalbard also form part of the Kingdom of Norway. Bouvet Island, ...</v>
    <v>1780</v>
    <v>1139</v>
    <v>1781</v>
    <v>1782</v>
    <v>1783</v>
    <v>1784</v>
    <v>1785</v>
    <v>1786</v>
    <v>1787</v>
    <v>1788</v>
    <v>1776</v>
    <v>1792</v>
    <v>1793</v>
    <v>1794</v>
    <v>1795</v>
    <v>1392</v>
    <v>Norway</v>
    <v>Ja, vi elsker dette landet</v>
    <v>1796</v>
    <v>Kongeriket Norge</v>
    <v>1797</v>
    <v>1798</v>
    <v>1799</v>
    <v>1159</v>
    <v>1800</v>
    <v>1801</v>
    <v>1802</v>
    <v>1803</v>
    <v>1804</v>
    <v>1805</v>
    <v>1806</v>
    <v>1820</v>
    <v>1821</v>
    <v>957</v>
    <v>1822</v>
    <v>1823</v>
    <v>Norway</v>
    <v>1824</v>
    <v>mdp/vdpid/177</v>
  </rv>
  <rv s="0">
    <v>536870912</v>
    <v>Finland</v>
    <v>ceea53a9-734c-46c7-a9f7-185e7cf6826e</v>
    <v>en-US</v>
    <v>Map</v>
  </rv>
  <rv s="1">
    <fb>7.4857688131354697E-2</fb>
    <v>29</v>
  </rv>
  <rv s="1">
    <fb>338478.34</fb>
    <v>8</v>
  </rv>
  <rv s="1">
    <fb>25000</fb>
    <v>8</v>
  </rv>
  <rv s="1">
    <fb>8.6</fb>
    <v>30</v>
  </rv>
  <rv s="1">
    <fb>358</fb>
    <v>31</v>
  </rv>
  <rv s="0">
    <v>536870912</v>
    <v>Helsinki</v>
    <v>0aeca411-32eb-87fa-e67f-5c3dacc3532c</v>
    <v>en-US</v>
    <v>Map</v>
  </rv>
  <rv s="1">
    <fb>45870.502999999997</fb>
    <v>8</v>
  </rv>
  <rv s="1">
    <fb>112.331712088838</fb>
    <v>32</v>
  </rv>
  <rv s="1">
    <fb>1.0240939296342899E-2</fb>
    <v>29</v>
  </rv>
  <rv s="1">
    <fb>15249.989380230199</fb>
    <v>8</v>
  </rv>
  <rv s="1">
    <fb>1.41</fb>
    <v>30</v>
  </rv>
  <rv s="1">
    <fb>0.7310716988582151</fb>
    <v>29</v>
  </rv>
  <rv s="1">
    <fb>40.207982989952903</fb>
    <v>33</v>
  </rv>
  <rv s="1">
    <fb>268761201364.70499</fb>
    <v>35</v>
  </rv>
  <rv s="1">
    <fb>1.0015464000000001</fb>
    <v>29</v>
  </rv>
  <rv s="1">
    <fb>0.88197829999999999</fb>
    <v>29</v>
  </rv>
  <rv s="2">
    <v>60</v>
    <v>6</v>
    <v>292</v>
    <v>7</v>
    <v>0</v>
    <v>Image of Finland</v>
  </rv>
  <rv s="1">
    <fb>1.4</fb>
    <v>33</v>
  </rv>
  <rv s="0">
    <v>805306368</v>
    <v>Alexander Stubb (President)</v>
    <v>8b3d7a61-5ae2-62d2-5b7d-6052bac2305a</v>
    <v>en-US</v>
    <v>Generic</v>
  </rv>
  <rv s="0">
    <v>805306368</v>
    <v>Petteri Orpo (Prime minister)</v>
    <v>f89fd370-e67c-1205-35bf-ef0bc79a5a2e</v>
    <v>en-US</v>
    <v>Generic</v>
  </rv>
  <rv s="3">
    <v>107</v>
  </rv>
  <rv s="4">
    <v>https://www.bing.com/search?q=finland&amp;form=skydnc</v>
    <v>Learn more on Bing</v>
  </rv>
  <rv s="1">
    <fb>81.734146341463401</fb>
    <v>33</v>
  </rv>
  <rv s="1">
    <fb>183765380000</fb>
    <v>35</v>
  </rv>
  <rv s="1">
    <fb>3</fb>
    <v>33</v>
  </rv>
  <rv s="3">
    <v>108</v>
  </rv>
  <rv s="1">
    <fb>0.19890897120000001</fb>
    <v>29</v>
  </rv>
  <rv s="1">
    <fb>3.8079999999999998</fb>
    <v>30</v>
  </rv>
  <rv s="1">
    <fb>5556880</fb>
    <v>8</v>
  </rv>
  <rv s="1">
    <fb>0.36899999999999999</fb>
    <v>29</v>
  </rv>
  <rv s="1">
    <fb>0.14000000000000001</fb>
    <v>29</v>
  </rv>
  <rv s="1">
    <fb>0.17399999999999999</fb>
    <v>29</v>
  </rv>
  <rv s="1">
    <fb>0.59081001281738299</fb>
    <v>29</v>
  </rv>
  <rv s="0">
    <v>536870912</v>
    <v>Southwest Finland</v>
    <v>36f656ca-0603-8487-ecd9-ad449dcc8d00</v>
    <v>en-US</v>
    <v>Map</v>
  </rv>
  <rv s="0">
    <v>536870912</v>
    <v>Uusimaa</v>
    <v>aeb26ea9-2089-3324-80d3-641f3baa97bc</v>
    <v>en-US</v>
    <v>Map</v>
  </rv>
  <rv s="0">
    <v>536870912</v>
    <v>Satakunta</v>
    <v>62dab655-b1ff-c539-4d43-b29a865d202d</v>
    <v>en-US</v>
    <v>Map</v>
  </rv>
  <rv s="0">
    <v>536870912</v>
    <v>Päijät-Häme</v>
    <v>a894d559-d5c1-2174-7d8c-5ce5194e4d8d</v>
    <v>en-US</v>
    <v>Map</v>
  </rv>
  <rv s="0">
    <v>536870912</v>
    <v>North Savo</v>
    <v>f4605db2-8131-4e30-6ff3-b26c4edcd3a5</v>
    <v>en-US</v>
    <v>Map</v>
  </rv>
  <rv s="0">
    <v>536870912</v>
    <v>North Ostrobothnia</v>
    <v>38a96244-d1b6-0cd2-0a5f-c4f71fdfb058</v>
    <v>en-US</v>
    <v>Map</v>
  </rv>
  <rv s="0">
    <v>536870912</v>
    <v>North Karelia</v>
    <v>8f782f0d-9789-3cf0-a6bd-73c64f46ad75</v>
    <v>en-US</v>
    <v>Map</v>
  </rv>
  <rv s="0">
    <v>536870912</v>
    <v>Ostrobothnia</v>
    <v>433576fc-e9eb-202e-bf37-ad7d25850cd2</v>
    <v>en-US</v>
    <v>Map</v>
  </rv>
  <rv s="0">
    <v>536870912</v>
    <v>Pirkanmaa</v>
    <v>efa83642-e73e-4c06-3b89-befa0538fef8</v>
    <v>en-US</v>
    <v>Map</v>
  </rv>
  <rv s="0">
    <v>536870912</v>
    <v>Lapland</v>
    <v>35688ab6-5a44-f256-ae52-9509c95e57c4</v>
    <v>en-US</v>
    <v>Map</v>
  </rv>
  <rv s="0">
    <v>536870912</v>
    <v>Kymenlaakso</v>
    <v>420f22d8-81a7-101d-bbbd-695a0d9c0254</v>
    <v>en-US</v>
    <v>Map</v>
  </rv>
  <rv s="0">
    <v>536870912</v>
    <v>Central Finland</v>
    <v>da7cb687-7e8e-9492-e8d7-971a6acd8591</v>
    <v>en-US</v>
    <v>Map</v>
  </rv>
  <rv s="0">
    <v>536870912</v>
    <v>Central Ostrobothnia</v>
    <v>2ea2271e-1e9b-9eb0-5c2e-1956c8acdec8</v>
    <v>en-US</v>
    <v>Map</v>
  </rv>
  <rv s="0">
    <v>536870912</v>
    <v>Kanta-Häme</v>
    <v>3da25e41-5c32-8c9a-b775-1144a7adb11b</v>
    <v>en-US</v>
    <v>Map</v>
  </rv>
  <rv s="0">
    <v>536870912</v>
    <v>Kainuu</v>
    <v>7528e56e-a1c3-7311-5e74-00b9ae5b6616</v>
    <v>en-US</v>
    <v>Map</v>
  </rv>
  <rv s="0">
    <v>536870912</v>
    <v>South Savo</v>
    <v>b907be48-40f4-42e2-8180-d6b9ecb7bbeb</v>
    <v>en-US</v>
    <v>Map</v>
  </rv>
  <rv s="0">
    <v>536870912</v>
    <v>South Ostrobothnia</v>
    <v>ee7c4f66-0eb6-edae-cd31-d52870ce057b</v>
    <v>en-US</v>
    <v>Map</v>
  </rv>
  <rv s="0">
    <v>536870912</v>
    <v>South Karelia</v>
    <v>0242e7c7-6306-3225-9d67-6224857383b8</v>
    <v>en-US</v>
    <v>Map</v>
  </rv>
  <rv s="0">
    <v>536870912</v>
    <v>Åland</v>
    <v>ab8a831d-0b71-1ead-44a6-e6abe024bb96</v>
    <v>en-US</v>
    <v>Map</v>
  </rv>
  <rv s="3">
    <v>109</v>
  </rv>
  <rv s="1">
    <fb>0.20839038093492801</fb>
    <v>29</v>
  </rv>
  <rv s="3">
    <v>110</v>
  </rv>
  <rv s="1">
    <fb>6.594999790191651E-2</fb>
    <v>36</v>
  </rv>
  <rv s="1">
    <fb>4716888</fb>
    <v>8</v>
  </rv>
  <rv s="19">
    <v>#VALUE!</v>
    <v>295</v>
    <v>231</v>
    <v>Finland</v>
    <v>4</v>
    <v>5</v>
    <v>Map</v>
    <v>6</v>
    <v>296</v>
    <v>en-US</v>
    <v>ceea53a9-734c-46c7-a9f7-185e7cf6826e</v>
    <v>536870912</v>
    <v>1</v>
    <v>FI</v>
    <v>1827</v>
    <v>1828</v>
    <v>1829</v>
    <v>1830</v>
    <v>1831</v>
    <v>1832</v>
    <v>1833</v>
    <v>1834</v>
    <v>1835</v>
    <v>EUR</v>
    <v>Finland, officially the Republic of Finland, is a Nordic country in Northern Europe. It borders Sweden to the northwest, Norway to the north, and Russia to the east, with the Gulf of Bothnia to the west and the Gulf of Finland to the south, ...</v>
    <v>1836</v>
    <v>1837</v>
    <v>1838</v>
    <v>1839</v>
    <v>1629</v>
    <v>1840</v>
    <v>1841</v>
    <v>1842</v>
    <v>1843</v>
    <v>1844</v>
    <v>1832</v>
    <v>1847</v>
    <v>1848</v>
    <v>1849</v>
    <v>1850</v>
    <v>1851</v>
    <v>Finland</v>
    <v>Maamme</v>
    <v>1852</v>
    <v>Suomen tasavalta</v>
    <v>1853</v>
    <v>1854</v>
    <v>1855</v>
    <v>480</v>
    <v>46</v>
    <v>1856</v>
    <v>177</v>
    <v>302</v>
    <v>1857</v>
    <v>1858</v>
    <v>1859</v>
    <v>1879</v>
    <v>1880</v>
    <v>1881</v>
    <v>111</v>
    <v>1882</v>
    <v>Finland</v>
    <v>1883</v>
    <v>mdp/vdpid/77</v>
  </rv>
  <rv s="0">
    <v>536870912</v>
    <v>Cascais</v>
    <v>801f3743-b86f-872d-3eee-0f62196d454b</v>
    <v>en-US</v>
    <v>Map</v>
  </rv>
  <rv s="0">
    <v>536870912</v>
    <v>Lisbon District</v>
    <v>9aabe4c9-f2ff-745a-22b7-741589d147d3</v>
    <v>en-US</v>
    <v>Map</v>
  </rv>
  <rv s="1">
    <fb>97.4</fb>
    <v>8</v>
  </rv>
  <rv s="0">
    <v>536870912</v>
    <v>Portugal</v>
    <v>9e917e65-c588-a0b7-f336-52fc6b5b2052</v>
    <v>en-US</v>
    <v>Map</v>
  </rv>
  <rv s="2">
    <v>61</v>
    <v>6</v>
    <v>297</v>
    <v>7</v>
    <v>0</v>
    <v>Image of Cascais</v>
  </rv>
  <rv s="4">
    <v>https://www.bing.com/search?q=cascais&amp;form=skydnc</v>
    <v>Learn more on Bing</v>
  </rv>
  <rv s="1">
    <fb>206479</fb>
    <v>8</v>
  </rv>
  <rv s="22">
    <v>#VALUE!</v>
    <v>298</v>
    <v>299</v>
    <v>Cascais</v>
    <v>4</v>
    <v>5</v>
    <v>Map</v>
    <v>6</v>
    <v>300</v>
    <v>en-US</v>
    <v>801f3743-b86f-872d-3eee-0f62196d454b</v>
    <v>536870912</v>
    <v>1</v>
    <v>1886</v>
    <v>1887</v>
    <v>1888</v>
    <v>Cascais is a town and municipality in the Lisbon District of Portugal, located on the Portuguese Riviera. The municipality has a total of 214,158 inhabitants in an area of 97.40 km². Cascais is an important tourist destination. Its marina hosts ...</v>
    <v>1889</v>
    <v>1890</v>
    <v>Cascais</v>
    <v>1891</v>
    <v>Cascais</v>
    <v>mdp/vdpid/161498676</v>
  </rv>
  <rv s="1">
    <fb>0.39452940398253294</fb>
    <v>29</v>
  </rv>
  <rv s="1">
    <fb>92225</fb>
    <v>8</v>
  </rv>
  <rv s="1">
    <fb>52000</fb>
    <v>8</v>
  </rv>
  <rv s="1">
    <fb>8.5</fb>
    <v>30</v>
  </rv>
  <rv s="1">
    <fb>351</fb>
    <v>31</v>
  </rv>
  <rv s="0">
    <v>536870912</v>
    <v>Lisbon</v>
    <v>9d006cb5-bff4-48b4-9c83-443eaf418b11</v>
    <v>en-US</v>
    <v>Map</v>
  </rv>
  <rv s="1">
    <fb>48741.764000000003</fb>
    <v>8</v>
  </rv>
  <rv s="1">
    <fb>110.624358614714</fb>
    <v>32</v>
  </rv>
  <rv s="1">
    <fb>3.3817841004612497E-3</fb>
    <v>29</v>
  </rv>
  <rv s="1">
    <fb>4662.6007998029399</fb>
    <v>8</v>
  </rv>
  <rv s="1">
    <fb>1.38</fb>
    <v>30</v>
  </rv>
  <rv s="1">
    <fb>0.34611423825368903</fb>
    <v>29</v>
  </rv>
  <rv s="1">
    <fb>77.024122555839</fb>
    <v>33</v>
  </rv>
  <rv s="1">
    <fb>1.54</fb>
    <v>34</v>
  </rv>
  <rv s="1">
    <fb>237686075634.698</fb>
    <v>35</v>
  </rv>
  <rv s="1">
    <fb>1.0618313000000001</fb>
    <v>29</v>
  </rv>
  <rv s="1">
    <fb>0.63935809999999993</fb>
    <v>29</v>
  </rv>
  <rv s="2">
    <v>62</v>
    <v>6</v>
    <v>302</v>
    <v>7</v>
    <v>0</v>
    <v>Image of Portugal</v>
  </rv>
  <rv s="0">
    <v>805306368</v>
    <v>Marcelo Rebelo de Sousa (President)</v>
    <v>cd15af88-d571-7e9f-0e69-8c7f54821ed3</v>
    <v>en-US</v>
    <v>Generic</v>
  </rv>
  <rv s="0">
    <v>805306368</v>
    <v>Luís Montenegro (Prime minister)</v>
    <v>5c7007c4-e5b4-49ae-8ea1-4431b1a749e8</v>
    <v>en-US</v>
    <v>Generic</v>
  </rv>
  <rv s="0">
    <v>805306368</v>
    <v>José Pedro Aguiar-Branco (Speaker)</v>
    <v>95843627-6eb2-f0c6-fd97-ab9a65bd40b9</v>
    <v>en-US</v>
    <v>Generic</v>
  </rv>
  <rv s="3">
    <v>111</v>
  </rv>
  <rv s="4">
    <v>https://www.bing.com/search?q=portugal&amp;form=skydnc</v>
    <v>Learn more on Bing</v>
  </rv>
  <rv s="1">
    <fb>81.3243902439024</fb>
    <v>33</v>
  </rv>
  <rv s="1">
    <fb>61933604857.411003</fb>
    <v>35</v>
  </rv>
  <rv s="1">
    <fb>3.78</fb>
    <v>34</v>
  </rv>
  <rv s="1">
    <fb>0.27650697260000001</fb>
    <v>29</v>
  </rv>
  <rv s="1">
    <fb>5.1239999999999997</fb>
    <v>30</v>
  </rv>
  <rv s="1">
    <fb>10379007</fb>
    <v>8</v>
  </rv>
  <rv s="1">
    <fb>0.41600000000000004</fb>
    <v>29</v>
  </rv>
  <rv s="1">
    <fb>0.16500000000000001</fb>
    <v>29</v>
  </rv>
  <rv s="1">
    <fb>0.58811000823974602</fb>
    <v>29</v>
  </rv>
  <rv s="0">
    <v>536870912</v>
    <v>Leiria District</v>
    <v>1e45c3ae-38a6-3ec3-3187-2e72c0cad027</v>
    <v>en-US</v>
    <v>Map</v>
  </rv>
  <rv s="0">
    <v>536870912</v>
    <v>Santarém District</v>
    <v>31ed3d3b-1669-48e6-9f45-7dff6e48107b</v>
    <v>en-US</v>
    <v>Map</v>
  </rv>
  <rv s="0">
    <v>536870912</v>
    <v>Setúbal District</v>
    <v>2443fa57-ba7a-ca6f-6988-b7bb998c209d</v>
    <v>en-US</v>
    <v>Map</v>
  </rv>
  <rv s="0">
    <v>536870912</v>
    <v>Beja District</v>
    <v>57132a4f-ab86-49cc-9a10-eea78fe194c6</v>
    <v>en-US</v>
    <v>Map</v>
  </rv>
  <rv s="0">
    <v>536870912</v>
    <v>Faro District</v>
    <v>0f961e40-6a20-4ce7-9c8b-3c9484a39b31</v>
    <v>en-US</v>
    <v>Map</v>
  </rv>
  <rv s="0">
    <v>536870912</v>
    <v>Évora District</v>
    <v>9f2c1154-ba9c-42db-b07d-6ac93b22f847</v>
    <v>en-US</v>
    <v>Map</v>
  </rv>
  <rv s="0">
    <v>536870912</v>
    <v>Portalegre District</v>
    <v>0509a564-38fa-4a46-85bd-79ea9cfb105b</v>
    <v>en-US</v>
    <v>Map</v>
  </rv>
  <rv s="0">
    <v>536870912</v>
    <v>Castelo Branco District</v>
    <v>fb4769a8-e791-44cf-b415-49b116c2d850</v>
    <v>en-US</v>
    <v>Map</v>
  </rv>
  <rv s="0">
    <v>536870912</v>
    <v>Guarda District</v>
    <v>a6ab4e89-16d3-c736-2651-53af26e5c9fb</v>
    <v>en-US</v>
    <v>Map</v>
  </rv>
  <rv s="0">
    <v>536870912</v>
    <v>Coimbra District</v>
    <v>eaabde58-df44-d3f2-fcaf-2eb0b0c892ca</v>
    <v>en-US</v>
    <v>Map</v>
  </rv>
  <rv s="0">
    <v>536870912</v>
    <v>Aveiro District</v>
    <v>2448fddc-7ab4-4061-c990-7ee0e882b83f</v>
    <v>en-US</v>
    <v>Map</v>
  </rv>
  <rv s="0">
    <v>536870912</v>
    <v>Viseu District</v>
    <v>4af2c91e-a2d9-03c8-4bcc-d0e611b7a836</v>
    <v>en-US</v>
    <v>Map</v>
  </rv>
  <rv s="0">
    <v>536870912</v>
    <v>Bragança District</v>
    <v>511e9c5a-156c-4018-b440-d68a04fdd311</v>
    <v>en-US</v>
    <v>Map</v>
  </rv>
  <rv s="0">
    <v>536870912</v>
    <v>Vila Real District</v>
    <v>16491095-1ede-45bc-b4f9-d0b768b902b4</v>
    <v>en-US</v>
    <v>Map</v>
  </rv>
  <rv s="0">
    <v>536870912</v>
    <v>Porto District</v>
    <v>ab024f06-dfa0-f5d5-2ace-323a59e1c03f</v>
    <v>en-US</v>
    <v>Map</v>
  </rv>
  <rv s="0">
    <v>536870912</v>
    <v>Braga District</v>
    <v>bf9b0bf5-80ec-1d9e-e2bb-f15cfff91b3f</v>
    <v>en-US</v>
    <v>Map</v>
  </rv>
  <rv s="0">
    <v>536870912</v>
    <v>Viana do Castelo District</v>
    <v>e82c5675-25b8-35f8-dd22-1d162bbc45bd</v>
    <v>en-US</v>
    <v>Map</v>
  </rv>
  <rv s="0">
    <v>536870912</v>
    <v>Madeira</v>
    <v>fd1c338d-a716-e095-102a-5ac3106ddd68</v>
    <v>en-US</v>
    <v>Map</v>
  </rv>
  <rv s="0">
    <v>536870912</v>
    <v>Azores</v>
    <v>162558d5-afd4-4b00-9d00-54ad16880f8b</v>
    <v>en-US</v>
    <v>Map</v>
  </rv>
  <rv s="3">
    <v>112</v>
  </rv>
  <rv s="1">
    <fb>0.227551770073532</fb>
    <v>29</v>
  </rv>
  <rv s="3">
    <v>113</v>
  </rv>
  <rv s="1">
    <fb>0.39799999999999996</fb>
    <v>29</v>
  </rv>
  <rv s="1">
    <fb>6.33400011062622E-2</fb>
    <v>36</v>
  </rv>
  <rv s="1">
    <fb>6753579</fb>
    <v>8</v>
  </rv>
  <rv s="6">
    <v>#VALUE!</v>
    <v>305</v>
    <v>27</v>
    <v>Portugal</v>
    <v>4</v>
    <v>5</v>
    <v>Map</v>
    <v>6</v>
    <v>306</v>
    <v>en-US</v>
    <v>9e917e65-c588-a0b7-f336-52fc6b5b2052</v>
    <v>536870912</v>
    <v>1</v>
    <v>PT</v>
    <v>1893</v>
    <v>1894</v>
    <v>1895</v>
    <v>1896</v>
    <v>1897</v>
    <v>1898</v>
    <v>1899</v>
    <v>1900</v>
    <v>1901</v>
    <v>EUR</v>
    <v>Portugal, officially the Portuguese Republic, is a country in the Iberian Peninsula in Southwestern Europe. Featuring the westernmost point in continental Europe, Portugal borders Spain to its north and east, with which it shares the longest ...</v>
    <v>1902</v>
    <v>1903</v>
    <v>1904</v>
    <v>1905</v>
    <v>1906</v>
    <v>1907</v>
    <v>1908</v>
    <v>1909</v>
    <v>1910</v>
    <v>1146</v>
    <v>1898</v>
    <v>1914</v>
    <v>1915</v>
    <v>1916</v>
    <v>1917</v>
    <v>921</v>
    <v>1918</v>
    <v>Portugal</v>
    <v>A Portuguesa</v>
    <v>1572</v>
    <v>Portugalská republika</v>
    <v>1919</v>
    <v>1920</v>
    <v>1921</v>
    <v>1246</v>
    <v>326</v>
    <v>1922</v>
    <v>140</v>
    <v>1248</v>
    <v>650</v>
    <v>1923</v>
    <v>1924</v>
    <v>1944</v>
    <v>1945</v>
    <v>1946</v>
    <v>1947</v>
    <v>1948</v>
    <v>Portugal</v>
    <v>1949</v>
    <v>mdp/vdpid/193</v>
  </rv>
  <rv s="0">
    <v>536870912</v>
    <v>Denmark</v>
    <v>95710a2f-c32d-4c03-bec0-7ff079db158d</v>
    <v>en-US</v>
    <v>Map</v>
  </rv>
  <rv s="1">
    <fb>0.62014765420338203</fb>
    <v>29</v>
  </rv>
  <rv s="1">
    <fb>42925.46</fb>
    <v>8</v>
  </rv>
  <rv s="1">
    <fb>15000</fb>
    <v>8</v>
  </rv>
  <rv s="1">
    <fb>10.6</fb>
    <v>30</v>
  </rv>
  <rv s="1">
    <fb>45</fb>
    <v>31</v>
  </rv>
  <rv s="0">
    <v>536870912</v>
    <v>Copenhagen</v>
    <v>8052664d-a70c-e1fa-c761-489d8c924b80</v>
    <v>en-US</v>
    <v>Map</v>
  </rv>
  <rv s="1">
    <fb>31785.556</fb>
    <v>8</v>
  </rv>
  <rv s="1">
    <fb>110.347290420498</fb>
    <v>32</v>
  </rv>
  <rv s="1">
    <fb>7.5813157251161901E-3</fb>
    <v>29</v>
  </rv>
  <rv s="1">
    <fb>5858.8015362874803</fb>
    <v>8</v>
  </rv>
  <rv s="1">
    <fb>0.14699213400884101</fb>
    <v>29</v>
  </rv>
  <rv s="1">
    <fb>64.927089467566603</fb>
    <v>33</v>
  </rv>
  <rv s="1">
    <fb>1.55</fb>
    <v>34</v>
  </rv>
  <rv s="1">
    <fb>348078018463.90503</fb>
    <v>35</v>
  </rv>
  <rv s="1">
    <fb>1.0126809000000001</fb>
    <v>29</v>
  </rv>
  <rv s="1">
    <fb>0.8061602000000001</fb>
    <v>29</v>
  </rv>
  <rv s="2">
    <v>63</v>
    <v>6</v>
    <v>308</v>
    <v>7</v>
    <v>0</v>
    <v>Image of Denmark</v>
  </rv>
  <rv s="0">
    <v>805306368</v>
    <v>Frederik X (Monarch)</v>
    <v>665fc785-58e1-6330-943b-e070a89f8231</v>
    <v>en-US</v>
    <v>Generic</v>
  </rv>
  <rv s="0">
    <v>805306368</v>
    <v>Mette Frederiksen (Prime minister)</v>
    <v>080235cf-4453-82c5-a952-a9e6000ac49b</v>
    <v>en-US</v>
    <v>Generic</v>
  </rv>
  <rv s="3">
    <v>114</v>
  </rv>
  <rv s="4">
    <v>https://www.bing.com/search?q=denmark&amp;form=skydnc</v>
    <v>Learn more on Bing</v>
  </rv>
  <rv s="1">
    <fb>80.953658536585394</fb>
    <v>33</v>
  </rv>
  <rv s="1">
    <fb>151349870000</fb>
    <v>35</v>
  </rv>
  <rv s="3">
    <v>115</v>
  </rv>
  <rv s="1">
    <fb>0.13722792379999998</fb>
    <v>29</v>
  </rv>
  <rv s="1">
    <fb>4.0099</fb>
    <v>30</v>
  </rv>
  <rv s="1">
    <fb>5903037</fb>
    <v>8</v>
  </rv>
  <rv s="1">
    <fb>0.24</fb>
    <v>29</v>
  </rv>
  <rv s="1">
    <fb>3.7000000000000005E-2</fb>
    <v>29</v>
  </rv>
  <rv s="1">
    <fb>9.0999999999999998E-2</fb>
    <v>29</v>
  </rv>
  <rv s="1">
    <fb>0.62217998504638705</fb>
    <v>29</v>
  </rv>
  <rv s="0">
    <v>536870912</v>
    <v>Region of Southern Denmark</v>
    <v>2a8f2729-c9c7-0675-b9cf-c866bd52068a</v>
    <v>en-US</v>
    <v>Map</v>
  </rv>
  <rv s="0">
    <v>536870912</v>
    <v>Region Zealand</v>
    <v>34915c7b-bd4a-9bf2-32b8-e8dc2f40e373</v>
    <v>en-US</v>
    <v>Map</v>
  </rv>
  <rv s="0">
    <v>536870912</v>
    <v>North Jutland Region</v>
    <v>051568b1-127e-3d0e-1591-07491f1ab5a5</v>
    <v>en-US</v>
    <v>Map</v>
  </rv>
  <rv s="0">
    <v>536870912</v>
    <v>Central Denmark Region</v>
    <v>78bf590e-ce59-f821-ede9-ae2f548d476b</v>
    <v>en-US</v>
    <v>Map</v>
  </rv>
  <rv s="0">
    <v>536870912</v>
    <v>Capital Region of Denmark</v>
    <v>d04715be-1fef-ff73-393d-f12a6f24b6b4</v>
    <v>en-US</v>
    <v>Map</v>
  </rv>
  <rv s="3">
    <v>116</v>
  </rv>
  <rv s="1">
    <fb>0.32382317837334801</fb>
    <v>29</v>
  </rv>
  <rv s="1">
    <fb>0.23800000000000002</fb>
    <v>29</v>
  </rv>
  <rv s="1">
    <fb>4.9130001068115201E-2</fb>
    <v>36</v>
  </rv>
  <rv s="1">
    <fb>5119978</fb>
    <v>8</v>
  </rv>
  <rv s="19">
    <v>#VALUE!</v>
    <v>311</v>
    <v>231</v>
    <v>Denmark</v>
    <v>4</v>
    <v>5</v>
    <v>Map</v>
    <v>6</v>
    <v>296</v>
    <v>en-US</v>
    <v>95710a2f-c32d-4c03-bec0-7ff079db158d</v>
    <v>536870912</v>
    <v>1</v>
    <v>DK</v>
    <v>1952</v>
    <v>1953</v>
    <v>1954</v>
    <v>1955</v>
    <v>1956</v>
    <v>1957</v>
    <v>1958</v>
    <v>1959</v>
    <v>1960</v>
    <v>DKK</v>
    <v>Denmark is a Nordic country in Northern Europe. It is the metropole and most populous constituent of the Kingdom of Denmark, also known as the Danish Realm, a constitutionally unitary state that includes the autonomous territories of the Faroe ...</v>
    <v>1961</v>
    <v>1554</v>
    <v>1962</v>
    <v>1963</v>
    <v>1964</v>
    <v>1965</v>
    <v>1966</v>
    <v>1967</v>
    <v>1968</v>
    <v>1733</v>
    <v>1957</v>
    <v>1971</v>
    <v>1972</v>
    <v>1973</v>
    <v>1974</v>
    <v>831</v>
    <v>Denmark</v>
    <v>Der er et yndigt land</v>
    <v>1975</v>
    <v>Kongeriget Danmark</v>
    <v>1976</v>
    <v>1977</v>
    <v>1978</v>
    <v>927</v>
    <v>1979</v>
    <v>203</v>
    <v>1980</v>
    <v>1981</v>
    <v>535</v>
    <v>840</v>
    <v>1982</v>
    <v>1988</v>
    <v>1989</v>
    <v>957</v>
    <v>1990</v>
    <v>1991</v>
    <v>Denmark</v>
    <v>1992</v>
    <v>mdp/vdpid/61</v>
  </rv>
  <rv s="0">
    <v>536870912</v>
    <v>Mexico</v>
    <v>8e475659-4bdc-d912-6494-affce0096bc1</v>
    <v>en-US</v>
    <v>Map</v>
  </rv>
  <rv s="1">
    <fb>0.54649553743666202</fb>
    <v>29</v>
  </rv>
  <rv s="1">
    <fb>1972550</fb>
    <v>8</v>
  </rv>
  <rv s="1">
    <fb>336000</fb>
    <v>8</v>
  </rv>
  <rv s="1">
    <fb>17.602</fb>
    <v>30</v>
  </rv>
  <rv s="1">
    <fb>52</fb>
    <v>31</v>
  </rv>
  <rv s="0">
    <v>536870912</v>
    <v>Mexico City</v>
    <v>f1281260-8340-e258-c8ec-3522504400e5</v>
    <v>en-US</v>
    <v>Map</v>
  </rv>
  <rv s="1">
    <fb>486405.54800000001</fb>
    <v>8</v>
  </rv>
  <rv s="1">
    <fb>141.54252296997399</fb>
    <v>32</v>
  </rv>
  <rv s="1">
    <fb>3.6359614212704998E-2</fb>
    <v>29</v>
  </rv>
  <rv s="1">
    <fb>2157.32394883914</fb>
    <v>8</v>
  </rv>
  <rv s="1">
    <fb>2.129</fb>
    <v>30</v>
  </rv>
  <rv s="1">
    <fb>0.339249458255099</fb>
    <v>29</v>
  </rv>
  <rv s="1">
    <fb>90.426207910940704</fb>
    <v>33</v>
  </rv>
  <rv s="1">
    <fb>0.73</fb>
    <v>34</v>
  </rv>
  <rv s="1">
    <fb>1258286717124.53</fb>
    <v>35</v>
  </rv>
  <rv s="1">
    <fb>1.0577000999999999</fb>
    <v>29</v>
  </rv>
  <rv s="1">
    <fb>0.40228960000000002</fb>
    <v>29</v>
  </rv>
  <rv s="2">
    <v>64</v>
    <v>6</v>
    <v>313</v>
    <v>7</v>
    <v>0</v>
    <v>Image of Mexico</v>
  </rv>
  <rv s="1">
    <fb>11</fb>
    <v>33</v>
  </rv>
  <rv s="0">
    <v>805306368</v>
    <v>Claudia Sheinbaum (President)</v>
    <v>d0490c30-2b7a-cbfd-f6ed-dffdff40aeb0</v>
    <v>en-US</v>
    <v>Generic</v>
  </rv>
  <rv s="0">
    <v>805306368</v>
    <v>Norma Lucía Piña Hernández (Chief justice)</v>
    <v>c6ded009-db4d-d436-ada5-514c16278dd4</v>
    <v>en-US</v>
    <v>Generic</v>
  </rv>
  <rv s="3">
    <v>117</v>
  </rv>
  <rv s="4">
    <v>https://www.bing.com/search?q=mexico&amp;form=skydnc</v>
    <v>Learn more on Bing</v>
  </rv>
  <rv s="1">
    <fb>74.992000000000004</fb>
    <v>33</v>
  </rv>
  <rv s="1">
    <fb>413618820000</fb>
    <v>35</v>
  </rv>
  <rv s="1">
    <fb>33</fb>
    <v>33</v>
  </rv>
  <rv s="1">
    <fb>0.49</fb>
    <v>34</v>
  </rv>
  <rv s="3">
    <v>118</v>
  </rv>
  <rv s="1">
    <fb>0.41370018680000004</fb>
    <v>29</v>
  </rv>
  <rv s="1">
    <fb>2.3826999999999998</fb>
    <v>30</v>
  </rv>
  <rv s="1">
    <fb>127504125</fb>
    <v>8</v>
  </rv>
  <rv s="1">
    <fb>0.2</fb>
    <v>29</v>
  </rv>
  <rv s="1">
    <fb>0.36399999999999999</fb>
    <v>29</v>
  </rv>
  <rv s="1">
    <fb>0.51700000000000002</fb>
    <v>29</v>
  </rv>
  <rv s="1">
    <fb>0.13500000000000001</fb>
    <v>29</v>
  </rv>
  <rv s="1">
    <fb>0.60680000305175807</fb>
    <v>29</v>
  </rv>
  <rv s="0">
    <v>536870912</v>
    <v>Aguascalientes</v>
    <v>7f39db16-d0e9-f4ba-b929-2a69336bbcb0</v>
    <v>en-US</v>
    <v>Map</v>
  </rv>
  <rv s="0">
    <v>536870912</v>
    <v>Baja California</v>
    <v>6b504587-24aa-0512-9ca8-180f7fa0f586</v>
    <v>en-US</v>
    <v>Map</v>
  </rv>
  <rv s="0">
    <v>536870912</v>
    <v>Baja California Sur</v>
    <v>72f2373c-402d-1899-776e-ebde71dada5d</v>
    <v>en-US</v>
    <v>Map</v>
  </rv>
  <rv s="0">
    <v>536870912</v>
    <v>Campeche</v>
    <v>7c67b06b-20b4-3244-d633-4a6255df7395</v>
    <v>en-US</v>
    <v>Map</v>
  </rv>
  <rv s="0">
    <v>536870912</v>
    <v>Chiapas</v>
    <v>f0d5e228-a3c3-8699-7df3-32ab85b078b3</v>
    <v>en-US</v>
    <v>Map</v>
  </rv>
  <rv s="0">
    <v>536870912</v>
    <v>Chihuahua</v>
    <v>ce5a5e29-7bae-05e8-fec7-e028f5c1e139</v>
    <v>en-US</v>
    <v>Map</v>
  </rv>
  <rv s="0">
    <v>536870912</v>
    <v>Coahuila</v>
    <v>b1fb0720-5dff-3cd3-aa9b-e91c0988b9f4</v>
    <v>en-US</v>
    <v>Map</v>
  </rv>
  <rv s="0">
    <v>536870912</v>
    <v>Colima</v>
    <v>c5187e51-1440-155f-505d-5c7804e1489f</v>
    <v>en-US</v>
    <v>Map</v>
  </rv>
  <rv s="0">
    <v>536870912</v>
    <v>Durango</v>
    <v>d5a4a060-173a-aa5a-3023-abf4cbc2f03d</v>
    <v>en-US</v>
    <v>Map</v>
  </rv>
  <rv s="0">
    <v>536870912</v>
    <v>Guanajuato</v>
    <v>9eaf00cd-2b5c-3655-adbc-dc91f1f0fca3</v>
    <v>en-US</v>
    <v>Map</v>
  </rv>
  <rv s="0">
    <v>536870912</v>
    <v>Guerrero</v>
    <v>86638283-e8d0-0d69-1241-dc688f82149b</v>
    <v>en-US</v>
    <v>Map</v>
  </rv>
  <rv s="0">
    <v>536870912</v>
    <v>Hidalgo</v>
    <v>76baa939-e01a-077d-0c83-522220d05a5b</v>
    <v>en-US</v>
    <v>Map</v>
  </rv>
  <rv s="0">
    <v>536870912</v>
    <v>Jalisco</v>
    <v>18c29bf9-bbf0-e90f-10f3-c48c9791339b</v>
    <v>en-US</v>
    <v>Map</v>
  </rv>
  <rv s="0">
    <v>536870912</v>
    <v>State of Mexico</v>
    <v>884c2c6c-6f06-85ee-aa8d-65b8980f2231</v>
    <v>en-US</v>
    <v>Map</v>
  </rv>
  <rv s="0">
    <v>536870912</v>
    <v>Michoacán</v>
    <v>33ec3160-5b7b-5fef-defd-4574b6b819d6</v>
    <v>en-US</v>
    <v>Map</v>
  </rv>
  <rv s="0">
    <v>536870912</v>
    <v>Morelos</v>
    <v>457cd12b-12ce-71c2-81d5-f60ba9645b36</v>
    <v>en-US</v>
    <v>Map</v>
  </rv>
  <rv s="0">
    <v>536870912</v>
    <v>Nayarit</v>
    <v>d5ab8703-9922-20b7-03c7-acb17f76b03e</v>
    <v>en-US</v>
    <v>Map</v>
  </rv>
  <rv s="0">
    <v>536870912</v>
    <v>Nuevo León</v>
    <v>1696b325-bf35-b9aa-28db-3304c1996498</v>
    <v>en-US</v>
    <v>Map</v>
  </rv>
  <rv s="0">
    <v>536870912</v>
    <v>Oaxaca</v>
    <v>2a651e2b-4cd2-6315-971b-6bddb30dfb4d</v>
    <v>en-US</v>
    <v>Map</v>
  </rv>
  <rv s="0">
    <v>536870912</v>
    <v>Puebla</v>
    <v>e266f3f0-af5e-7537-36e1-118cfcc783a3</v>
    <v>en-US</v>
    <v>Map</v>
  </rv>
  <rv s="0">
    <v>536870912</v>
    <v>Querétaro</v>
    <v>4a2d4179-0f55-70d5-99e7-165b2289a273</v>
    <v>en-US</v>
    <v>Map</v>
  </rv>
  <rv s="0">
    <v>536870912</v>
    <v>Quintana Roo</v>
    <v>96bcffec-8d1c-5e86-ab0e-e31d5b9a157c</v>
    <v>en-US</v>
    <v>Map</v>
  </rv>
  <rv s="0">
    <v>536870912</v>
    <v>San Luis Potosí</v>
    <v>c228dff2-2024-525b-1b90-fe82a2f5ccfc</v>
    <v>en-US</v>
    <v>Map</v>
  </rv>
  <rv s="0">
    <v>536870912</v>
    <v>Sinaloa</v>
    <v>ef7dcafc-cca2-39b2-e063-e2bbf5b2022e</v>
    <v>en-US</v>
    <v>Map</v>
  </rv>
  <rv s="0">
    <v>536870912</v>
    <v>Sonora</v>
    <v>e59e4f16-5e42-af6e-b970-e0ae59046077</v>
    <v>en-US</v>
    <v>Map</v>
  </rv>
  <rv s="0">
    <v>536870912</v>
    <v>Tabasco</v>
    <v>f96880d9-0a36-58d3-7351-a4c7070c642d</v>
    <v>en-US</v>
    <v>Map</v>
  </rv>
  <rv s="0">
    <v>536870912</v>
    <v>Tamaulipas</v>
    <v>6f2fce2f-2090-8583-dbf3-dd9d6fc3cab3</v>
    <v>en-US</v>
    <v>Map</v>
  </rv>
  <rv s="0">
    <v>536870912</v>
    <v>Tlaxcala</v>
    <v>77063c53-3a0e-fbf0-30d8-68218fbc38fa</v>
    <v>en-US</v>
    <v>Map</v>
  </rv>
  <rv s="0">
    <v>536870912</v>
    <v>Veracruz</v>
    <v>10381f79-264a-f2fd-08f8-cc5377683832</v>
    <v>en-US</v>
    <v>Map</v>
  </rv>
  <rv s="0">
    <v>536870912</v>
    <v>Yucatán</v>
    <v>f096e19b-5b56-f73a-3e33-e3f03e33fffc</v>
    <v>en-US</v>
    <v>Map</v>
  </rv>
  <rv s="0">
    <v>536870912</v>
    <v>Zacatecas</v>
    <v>135a47e4-6f2c-2112-febf-50c21b485bd3</v>
    <v>en-US</v>
    <v>Map</v>
  </rv>
  <rv s="3">
    <v>119</v>
  </rv>
  <rv s="1">
    <fb>0.130829255322402</fb>
    <v>29</v>
  </rv>
  <rv s="3">
    <v>120</v>
  </rv>
  <rv s="1">
    <fb>0.55100000000000005</fb>
    <v>29</v>
  </rv>
  <rv s="1">
    <fb>3.4249999523162801E-2</fb>
    <v>36</v>
  </rv>
  <rv s="1">
    <fb>102626859</fb>
    <v>8</v>
  </rv>
  <rv s="6">
    <v>#VALUE!</v>
    <v>316</v>
    <v>27</v>
    <v>Mexico</v>
    <v>4</v>
    <v>5</v>
    <v>Map</v>
    <v>6</v>
    <v>317</v>
    <v>en-US</v>
    <v>8e475659-4bdc-d912-6494-affce0096bc1</v>
    <v>536870912</v>
    <v>1</v>
    <v>MX</v>
    <v>1995</v>
    <v>1996</v>
    <v>1997</v>
    <v>1998</v>
    <v>1999</v>
    <v>2000</v>
    <v>2001</v>
    <v>2002</v>
    <v>2003</v>
    <v>MXN</v>
    <v>Mexico, officially the United Mexican States, is a country in North America. It borders the United States to the north, and Guatemala and Belize to the southeast; while having maritime boundaries with the Pacific Ocean to the west, the Caribbean ...</v>
    <v>2004</v>
    <v>2005</v>
    <v>2006</v>
    <v>2007</v>
    <v>2008</v>
    <v>2009</v>
    <v>2010</v>
    <v>2011</v>
    <v>2012</v>
    <v>2013</v>
    <v>2000</v>
    <v>2016</v>
    <v>2017</v>
    <v>2018</v>
    <v>2019</v>
    <v>2020</v>
    <v>2021</v>
    <v>Mexico</v>
    <v>Himno Nacional Mexicano</v>
    <v>2022</v>
    <v>Estaos Xuníos Mexicanos</v>
    <v>2023</v>
    <v>2024</v>
    <v>2025</v>
    <v>2026</v>
    <v>2027</v>
    <v>2028</v>
    <v>275</v>
    <v>165</v>
    <v>448</v>
    <v>2029</v>
    <v>2030</v>
    <v>2062</v>
    <v>2063</v>
    <v>2064</v>
    <v>2065</v>
    <v>2066</v>
    <v>Mexico</v>
    <v>2067</v>
    <v>mdp/vdpid/166</v>
  </rv>
  <rv s="0">
    <v>536870912</v>
    <v>South Africa</v>
    <v>38a9fd4a-4f7c-6d91-d6dd-4eed3131672d</v>
    <v>en-US</v>
    <v>Map</v>
  </rv>
  <rv s="1">
    <fb>0.79830020855830996</fb>
    <v>29</v>
  </rv>
  <rv s="1">
    <fb>1221037</fb>
    <v>8</v>
  </rv>
  <rv s="1">
    <fb>80000</fb>
    <v>8</v>
  </rv>
  <rv s="1">
    <fb>20.51</fb>
    <v>30</v>
  </rv>
  <rv s="1">
    <fb>27</fb>
    <v>31</v>
  </rv>
  <rv s="0">
    <v>536870912</v>
    <v>Pretoria</v>
    <v>3fa43cca-3409-4d81-f4f9-2df74e37e177</v>
    <v>en-US</v>
    <v>Map</v>
  </rv>
  <rv s="1">
    <fb>476643.99400000001</fb>
    <v>8</v>
  </rv>
  <rv s="1">
    <fb>158.92793752218699</fb>
    <v>32</v>
  </rv>
  <rv s="1">
    <fb>4.1243507248623905E-2</fb>
    <v>29</v>
  </rv>
  <rv s="1">
    <fb>4197.9070469175304</fb>
    <v>8</v>
  </rv>
  <rv s="1">
    <fb>2.4049999999999998</fb>
    <v>30</v>
  </rv>
  <rv s="1">
    <fb>7.6177365240831296E-2</fb>
    <v>29</v>
  </rv>
  <rv s="1">
    <fb>86.791431691401598</fb>
    <v>33</v>
  </rv>
  <rv s="1">
    <fb>0.92</fb>
    <v>34</v>
  </rv>
  <rv s="1">
    <fb>351431649241.43903</fb>
    <v>35</v>
  </rv>
  <rv s="1">
    <fb>1.0086473</fb>
    <v>29</v>
  </rv>
  <rv s="1">
    <fb>0.22366029999999998</fb>
    <v>29</v>
  </rv>
  <rv s="2">
    <v>65</v>
    <v>6</v>
    <v>319</v>
    <v>7</v>
    <v>0</v>
    <v>Image of South Africa</v>
  </rv>
  <rv s="1">
    <fb>28.5</fb>
    <v>33</v>
  </rv>
  <rv s="0">
    <v>536870912</v>
    <v>Johannesburg</v>
    <v>fdf01f15-cb04-8b6c-43e6-a8b2138c0312</v>
    <v>en-US</v>
    <v>Map</v>
  </rv>
  <rv s="0">
    <v>805306368</v>
    <v>Cyril Ramaphosa (President)</v>
    <v>c3bf14fa-ef5e-696f-af28-746c7d0b22a9</v>
    <v>en-US</v>
    <v>Generic</v>
  </rv>
  <rv s="0">
    <v>805306368</v>
    <v>Mandisa Maya (Chief justice)</v>
    <v>d7f4df4e-1431-de9c-d625-ad5005dd70e1</v>
    <v>en-US</v>
    <v>Generic</v>
  </rv>
  <rv s="3">
    <v>121</v>
  </rv>
  <rv s="4">
    <v>https://www.bing.com/search?q=south+africa&amp;form=skydnc</v>
    <v>Learn more on Bing</v>
  </rv>
  <rv s="1">
    <fb>63.856999999999999</fb>
    <v>33</v>
  </rv>
  <rv s="1">
    <fb>1056341440000</fb>
    <v>35</v>
  </rv>
  <rv s="1">
    <fb>119</fb>
    <v>33</v>
  </rv>
  <rv s="3">
    <v>122</v>
  </rv>
  <rv s="1">
    <fb>7.6985469299999998E-2</fb>
    <v>29</v>
  </rv>
  <rv s="1">
    <fb>0.90539999999999998</fb>
    <v>30</v>
  </rv>
  <rv s="1">
    <fb>59893885</fb>
    <v>8</v>
  </rv>
  <rv s="1">
    <fb>0.505</fb>
    <v>29</v>
  </rv>
  <rv s="1">
    <fb>0.68200000000000005</fb>
    <v>29</v>
  </rv>
  <rv s="1">
    <fb>9.0000000000000011E-3</fb>
    <v>29</v>
  </rv>
  <rv s="1">
    <fb>0.56016998291015596</fb>
    <v>29</v>
  </rv>
  <rv s="0">
    <v>536870912</v>
    <v>Eastern Cape</v>
    <v>52d32047-22e4-2498-c546-1854275462d0</v>
    <v>en-US</v>
    <v>Map</v>
  </rv>
  <rv s="0">
    <v>536870912</v>
    <v>Free State</v>
    <v>a80d303a-f84e-1047-ecc5-821b167d82e2</v>
    <v>en-US</v>
    <v>Map</v>
  </rv>
  <rv s="0">
    <v>536870912</v>
    <v>Gauteng</v>
    <v>adc304a6-9c62-702f-7ed7-29afec5c41a8</v>
    <v>en-US</v>
    <v>Map</v>
  </rv>
  <rv s="0">
    <v>536870912</v>
    <v>KwaZulu-Natal</v>
    <v>b18f871a-4296-ec9f-bd43-fc7b0e94f309</v>
    <v>en-US</v>
    <v>Map</v>
  </rv>
  <rv s="0">
    <v>536870912</v>
    <v>Limpopo</v>
    <v>1145af3c-da05-7eb5-c05e-8dbdf794ccd4</v>
    <v>en-US</v>
    <v>Map</v>
  </rv>
  <rv s="0">
    <v>536870912</v>
    <v>Mpumalanga</v>
    <v>fe8e43ff-3125-ea79-5306-db1bee5c12d8</v>
    <v>en-US</v>
    <v>Map</v>
  </rv>
  <rv s="0">
    <v>536870912</v>
    <v>North West</v>
    <v>a9ca554b-55e2-f0d1-dbe6-796b1fc29dff</v>
    <v>en-US</v>
    <v>Map</v>
  </rv>
  <rv s="0">
    <v>536870912</v>
    <v>Northern Cape</v>
    <v>c7811f0b-afea-afb9-4c2d-695826b9ca98</v>
    <v>en-US</v>
    <v>Map</v>
  </rv>
  <rv s="0">
    <v>536870912</v>
    <v>Western Cape</v>
    <v>c7b124b8-e75d-0b9b-5245-dda6bbb13800</v>
    <v>en-US</v>
    <v>Map</v>
  </rv>
  <rv s="3">
    <v>123</v>
  </rv>
  <rv s="1">
    <fb>0.27465217966612804</fb>
    <v>29</v>
  </rv>
  <rv s="3">
    <v>124</v>
  </rv>
  <rv s="1">
    <fb>0.29199999999999998</fb>
    <v>29</v>
  </rv>
  <rv s="1">
    <fb>0.28180999755859398</fb>
    <v>36</v>
  </rv>
  <rv s="1">
    <fb>39149717</fb>
    <v>8</v>
  </rv>
  <rv s="19">
    <v>#VALUE!</v>
    <v>322</v>
    <v>231</v>
    <v>South Africa</v>
    <v>4</v>
    <v>5</v>
    <v>Map</v>
    <v>6</v>
    <v>323</v>
    <v>en-US</v>
    <v>38a9fd4a-4f7c-6d91-d6dd-4eed3131672d</v>
    <v>536870912</v>
    <v>1</v>
    <v>ZA</v>
    <v>2070</v>
    <v>2071</v>
    <v>2072</v>
    <v>2073</v>
    <v>2074</v>
    <v>2075</v>
    <v>2076</v>
    <v>2077</v>
    <v>2078</v>
    <v>ZAR</v>
    <v>South Africa, officially the Republic of South Africa, is the southernmost country in Africa. Its nine provinces are bounded to the south by 2,798 kilometres of coastline that stretches along the South Atlantic and Indian Ocean; to the north by ...</v>
    <v>2079</v>
    <v>2080</v>
    <v>2081</v>
    <v>2082</v>
    <v>2083</v>
    <v>2084</v>
    <v>2085</v>
    <v>2086</v>
    <v>2087</v>
    <v>2088</v>
    <v>2089</v>
    <v>2092</v>
    <v>2093</v>
    <v>2094</v>
    <v>2095</v>
    <v>2096</v>
    <v>South Africa</v>
    <v>National anthem of South Africa</v>
    <v>2097</v>
    <v>Republic of South Africa</v>
    <v>2098</v>
    <v>2099</v>
    <v>2100</v>
    <v>1923</v>
    <v>2101</v>
    <v>2102</v>
    <v>2103</v>
    <v>325</v>
    <v>476</v>
    <v>589</v>
    <v>2104</v>
    <v>2114</v>
    <v>2115</v>
    <v>2116</v>
    <v>2117</v>
    <v>2118</v>
    <v>South Africa</v>
    <v>2119</v>
    <v>mdp/vdpid/209</v>
  </rv>
  <rv s="0">
    <v>536870912</v>
    <v>Argentina</v>
    <v>87153d87-9bb0-166a-3d56-613bdc274e1b</v>
    <v>en-US</v>
    <v>Map</v>
  </rv>
  <rv s="1">
    <fb>0.54335712119385104</fb>
    <v>29</v>
  </rv>
  <rv s="1">
    <fb>2780400</fb>
    <v>8</v>
  </rv>
  <rv s="1">
    <fb>105000</fb>
    <v>8</v>
  </rv>
  <rv s="1">
    <fb>17.021000000000001</fb>
    <v>30</v>
  </rv>
  <rv s="1">
    <fb>54</fb>
    <v>31</v>
  </rv>
  <rv s="0">
    <v>536870912</v>
    <v>Buenos Aires</v>
    <v>857a6814-3fe8-c414-84da-24018be87fce</v>
    <v>en-US</v>
    <v>Map</v>
  </rv>
  <rv s="1">
    <fb>201347.636</fb>
    <v>8</v>
  </rv>
  <rv s="1">
    <fb>232.75109166666701</fb>
    <v>32</v>
  </rv>
  <rv s="1">
    <fb>0.53548304349234199</fb>
    <v>29</v>
  </rv>
  <rv s="1">
    <fb>3074.70207056563</fb>
    <v>8</v>
  </rv>
  <rv s="1">
    <fb>2.2610000000000001</fb>
    <v>30</v>
  </rv>
  <rv s="1">
    <fb>9.7984058182512504E-2</fb>
    <v>29</v>
  </rv>
  <rv s="1">
    <fb>87.722407479689195</fb>
    <v>33</v>
  </rv>
  <rv s="1">
    <fb>1.1000000000000001</fb>
    <v>34</v>
  </rv>
  <rv s="1">
    <fb>449663446954.073</fb>
    <v>35</v>
  </rv>
  <rv s="1">
    <fb>1.0974146</fb>
    <v>29</v>
  </rv>
  <rv s="1">
    <fb>0.89958519999999997</fb>
    <v>29</v>
  </rv>
  <rv s="2">
    <v>66</v>
    <v>6</v>
    <v>325</v>
    <v>7</v>
    <v>0</v>
    <v>Image of Argentina</v>
  </rv>
  <rv s="1">
    <fb>8.8000000000000007</fb>
    <v>33</v>
  </rv>
  <rv s="0">
    <v>805306368</v>
    <v>Javier Milei (President)</v>
    <v>9e292152-d659-8459-891a-e2e34df73a4f</v>
    <v>en-US</v>
    <v>Generic</v>
  </rv>
  <rv s="0">
    <v>805306368</v>
    <v>Victoria Villarruel (Vice president)</v>
    <v>c9d496be-e912-ca9e-b72e-cd37e371c69a</v>
    <v>en-US</v>
    <v>Generic</v>
  </rv>
  <rv s="3">
    <v>125</v>
  </rv>
  <rv s="4">
    <v>https://www.bing.com/search?q=argentina&amp;form=skydnc</v>
    <v>Learn more on Bing</v>
  </rv>
  <rv s="1">
    <fb>76.52</fb>
    <v>33</v>
  </rv>
  <rv s="1">
    <fb>39393540000</fb>
    <v>35</v>
  </rv>
  <rv s="1">
    <fb>39</fb>
    <v>33</v>
  </rv>
  <rv s="1">
    <fb>3.35</fb>
    <v>34</v>
  </rv>
  <rv s="3">
    <v>126</v>
  </rv>
  <rv s="1">
    <fb>0.17628076140000001</fb>
    <v>29</v>
  </rv>
  <rv s="1">
    <fb>3.96</fb>
    <v>30</v>
  </rv>
  <rv s="1">
    <fb>46234830</fb>
    <v>8</v>
  </rv>
  <rv s="1">
    <fb>0.23199999999999998</fb>
    <v>29</v>
  </rv>
  <rv s="1">
    <fb>0.29899999999999999</fb>
    <v>29</v>
  </rv>
  <rv s="1">
    <fb>0.46500000000000002</fb>
    <v>29</v>
  </rv>
  <rv s="1">
    <fb>9.9000000000000005E-2</fb>
    <v>29</v>
  </rv>
  <rv s="1">
    <fb>0.61301998138427694</fb>
    <v>29</v>
  </rv>
  <rv s="0">
    <v>536870912</v>
    <v>Buenos Aires Province</v>
    <v>83e02b50-6d03-7c2c-eadf-7346066b2dea</v>
    <v>en-US</v>
    <v>Map</v>
  </rv>
  <rv s="0">
    <v>536870912</v>
    <v>Catamarca Province</v>
    <v>3c1c44fb-1be4-0807-a41a-389b53882281</v>
    <v>en-US</v>
    <v>Map</v>
  </rv>
  <rv s="0">
    <v>536870912</v>
    <v>Chaco Province</v>
    <v>7ba7eceb-7d6e-ca38-3de8-8edff91abe6c</v>
    <v>en-US</v>
    <v>Map</v>
  </rv>
  <rv s="0">
    <v>536870912</v>
    <v>Córdoba Province, Argentina</v>
    <v>ee360e95-eb6e-6500-1854-d0ba2979c8c5</v>
    <v>en-US</v>
    <v>Map</v>
  </rv>
  <rv s="0">
    <v>536870912</v>
    <v>Corrientes Province</v>
    <v>370306e6-e553-7210-5bdd-cba530b5bb5e</v>
    <v>en-US</v>
    <v>Map</v>
  </rv>
  <rv s="0">
    <v>536870912</v>
    <v>Entre Ríos Province</v>
    <v>8f271891-a2e7-4452-b33a-32b209204098</v>
    <v>en-US</v>
    <v>Map</v>
  </rv>
  <rv s="0">
    <v>536870912</v>
    <v>Formosa Province</v>
    <v>2c10e13d-832d-d54f-08b1-364c9870d186</v>
    <v>en-US</v>
    <v>Map</v>
  </rv>
  <rv s="0">
    <v>536870912</v>
    <v>Jujuy Province</v>
    <v>4336eba8-fc73-200e-9d91-4273dd01d498</v>
    <v>en-US</v>
    <v>Map</v>
  </rv>
  <rv s="0">
    <v>536870912</v>
    <v>La Pampa Province</v>
    <v>44de277d-e840-a824-59d9-b6a9740aba03</v>
    <v>en-US</v>
    <v>Map</v>
  </rv>
  <rv s="0">
    <v>536870912</v>
    <v>La Rioja Province, Argentina</v>
    <v>dac821c4-934d-98a0-3515-ecf294d05f34</v>
    <v>en-US</v>
    <v>Map</v>
  </rv>
  <rv s="0">
    <v>536870912</v>
    <v>Mendoza Province</v>
    <v>67d55d79-bbf5-f1ea-b2b6-9eaf7f8cbf5c</v>
    <v>en-US</v>
    <v>Map</v>
  </rv>
  <rv s="0">
    <v>536870912</v>
    <v>Misiones Province</v>
    <v>b5dd089e-a58d-3344-220d-67d53fbe2b62</v>
    <v>en-US</v>
    <v>Map</v>
  </rv>
  <rv s="0">
    <v>536870912</v>
    <v>Neuquén Province</v>
    <v>bf5efd04-a076-eedb-ad38-b133bbf30276</v>
    <v>en-US</v>
    <v>Map</v>
  </rv>
  <rv s="0">
    <v>536870912</v>
    <v>Río Negro Province</v>
    <v>d2c8f222-11b8-dd86-e0ab-8d14cb406edc</v>
    <v>en-US</v>
    <v>Map</v>
  </rv>
  <rv s="0">
    <v>536870912</v>
    <v>Salta Province</v>
    <v>f6ae2fbd-0520-148c-3526-8bf23d36cb82</v>
    <v>en-US</v>
    <v>Map</v>
  </rv>
  <rv s="0">
    <v>536870912</v>
    <v>San Juan Province, Argentina</v>
    <v>17fa2e93-239c-11e6-f03e-d1c2f5cce2fe</v>
    <v>en-US</v>
    <v>Map</v>
  </rv>
  <rv s="0">
    <v>536870912</v>
    <v>San Luis Province</v>
    <v>5bdf188c-b213-ac45-dd24-12759c1ef35f</v>
    <v>en-US</v>
    <v>Map</v>
  </rv>
  <rv s="0">
    <v>536870912</v>
    <v>Santa Cruz Province, Argentina</v>
    <v>33b38460-8bb6-75dd-5a16-ccfffb6378dc</v>
    <v>en-US</v>
    <v>Map</v>
  </rv>
  <rv s="0">
    <v>536870912</v>
    <v>Santa Fe Province</v>
    <v>7e0bc671-7ee3-bfe7-3fbf-0780b251b2f6</v>
    <v>en-US</v>
    <v>Map</v>
  </rv>
  <rv s="0">
    <v>536870912</v>
    <v>Santiago del Estero Province</v>
    <v>ec88ec56-2be0-4304-ab71-391ce9c013de</v>
    <v>en-US</v>
    <v>Map</v>
  </rv>
  <rv s="0">
    <v>536870912</v>
    <v>Tierra del Fuego Province, Argentina</v>
    <v>3bb8cbb1-ced9-fc53-1bf4-d1685a3435ea</v>
    <v>en-US</v>
    <v>Map</v>
  </rv>
  <rv s="0">
    <v>536870912</v>
    <v>Tucumán Province</v>
    <v>4f81112c-c69e-b6cc-2acc-73c36fc9a0aa</v>
    <v>en-US</v>
    <v>Map</v>
  </rv>
  <rv s="0">
    <v>536870912</v>
    <v>Chubut Province</v>
    <v>893cfb2e-6128-06e8-d927-6cdee06773f8</v>
    <v>en-US</v>
    <v>Map</v>
  </rv>
  <rv s="3">
    <v>127</v>
  </rv>
  <rv s="1">
    <fb>0.10087499305375699</fb>
    <v>29</v>
  </rv>
  <rv s="3">
    <v>128</v>
  </rv>
  <rv s="1">
    <fb>1.0629999999999999</fb>
    <v>29</v>
  </rv>
  <rv s="1">
    <fb>9.7889995574951205E-2</fb>
    <v>36</v>
  </rv>
  <rv s="1">
    <fb>41339571</fb>
    <v>8</v>
  </rv>
  <rv s="6">
    <v>#VALUE!</v>
    <v>328</v>
    <v>27</v>
    <v>Argentina</v>
    <v>4</v>
    <v>5</v>
    <v>Map</v>
    <v>6</v>
    <v>329</v>
    <v>en-US</v>
    <v>87153d87-9bb0-166a-3d56-613bdc274e1b</v>
    <v>536870912</v>
    <v>1</v>
    <v>AR</v>
    <v>2122</v>
    <v>2123</v>
    <v>2124</v>
    <v>2125</v>
    <v>2126</v>
    <v>2127</v>
    <v>2128</v>
    <v>2129</v>
    <v>2130</v>
    <v>ARS</v>
    <v>Argentina, officially the Argentine Republic, is a country in the southern half of South America. It covers an area of 2,780,085 km², making it the second-largest country in South America after Brazil, the fourth-largest country in the Americas, ...</v>
    <v>2131</v>
    <v>2132</v>
    <v>2133</v>
    <v>2134</v>
    <v>2135</v>
    <v>2136</v>
    <v>2137</v>
    <v>2138</v>
    <v>2139</v>
    <v>2140</v>
    <v>2127</v>
    <v>2143</v>
    <v>2144</v>
    <v>2145</v>
    <v>2146</v>
    <v>2147</v>
    <v>2148</v>
    <v>Argentina</v>
    <v>Argentine National Anthem</v>
    <v>2149</v>
    <v>República Argentina</v>
    <v>2150</v>
    <v>2151</v>
    <v>2152</v>
    <v>2153</v>
    <v>2154</v>
    <v>2155</v>
    <v>332</v>
    <v>387</v>
    <v>2156</v>
    <v>242</v>
    <v>2157</v>
    <v>2181</v>
    <v>2182</v>
    <v>2183</v>
    <v>2184</v>
    <v>2185</v>
    <v>Argentina</v>
    <v>2186</v>
    <v>mdp/vdpid/11</v>
  </rv>
  <rv s="0">
    <v>536870912</v>
    <v>South Korea</v>
    <v>c0e15be0-5113-402c-c03f-516a6265e9cb</v>
    <v>en-US</v>
    <v>Map</v>
  </rv>
  <rv s="1">
    <fb>0.17446070640579101</fb>
    <v>29</v>
  </rv>
  <rv s="1">
    <fb>100295</fb>
    <v>8</v>
  </rv>
  <rv s="1">
    <fb>634000</fb>
    <v>8</v>
  </rv>
  <rv s="1">
    <fb>6.4</fb>
    <v>30</v>
  </rv>
  <rv s="1">
    <fb>82</fb>
    <v>31</v>
  </rv>
  <rv s="0">
    <v>536870912</v>
    <v>Seoul</v>
    <v>669b47ba-40b4-0147-3657-a7dd0861132c</v>
    <v>en-US</v>
    <v>Map</v>
  </rv>
  <rv s="1">
    <fb>620302.38600000006</fb>
    <v>8</v>
  </rv>
  <rv s="1">
    <fb>115.15858742558</fb>
    <v>32</v>
  </rv>
  <rv s="1">
    <fb>3.8294613224406E-3</fb>
    <v>29</v>
  </rv>
  <rv s="1">
    <fb>10496.5136719641</fb>
    <v>8</v>
  </rv>
  <rv s="1">
    <fb>0.97699999999999998</fb>
    <v>30</v>
  </rv>
  <rv s="1">
    <fb>0.63354836492977906</fb>
    <v>29</v>
  </rv>
  <rv s="1">
    <fb>81.028475807144503</fb>
    <v>33</v>
  </rv>
  <rv s="1">
    <fb>1.22</fb>
    <v>34</v>
  </rv>
  <rv s="1">
    <fb>2029000000000</fb>
    <v>35</v>
  </rv>
  <rv s="1">
    <fb>0.98088600000000004</fb>
    <v>29</v>
  </rv>
  <rv s="1">
    <fb>0.94349689999999997</fb>
    <v>29</v>
  </rv>
  <rv s="2">
    <v>67</v>
    <v>6</v>
    <v>331</v>
    <v>7</v>
    <v>0</v>
    <v>Image of South Korea</v>
  </rv>
  <rv s="1">
    <fb>2.7</fb>
    <v>33</v>
  </rv>
  <rv s="0">
    <v>805306368</v>
    <v>Yoon Suk Yeol (President)</v>
    <v>af8383ab-575b-52df-438a-1678504626cd</v>
    <v>en-US</v>
    <v>Generic</v>
  </rv>
  <rv s="0">
    <v>805306368</v>
    <v>Choi Sang-mok (President)</v>
    <v>6d3217c1-26df-bcef-6a5b-413608e6ec60</v>
    <v>en-US</v>
    <v>Generic</v>
  </rv>
  <rv s="0">
    <v>805306368</v>
    <v>Han Duck-soo (Prime minister)</v>
    <v>058dfd81-df36-7fb6-eadf-9736baef167f</v>
    <v>en-US</v>
    <v>Generic</v>
  </rv>
  <rv s="0">
    <v>805306368</v>
    <v>Choi Sang-mok (Prime minister)</v>
    <v>6d3217c1-26df-bcef-6a5b-413608e6ec60</v>
    <v>en-US</v>
    <v>Generic</v>
  </rv>
  <rv s="3">
    <v>129</v>
  </rv>
  <rv s="4">
    <v>https://www.bing.com/search?q=south+korea&amp;form=skydnc</v>
    <v>Learn more on Bing</v>
  </rv>
  <rv s="1">
    <fb>82.626829268292695</fb>
    <v>33</v>
  </rv>
  <rv s="1">
    <fb>1413716510000</fb>
    <v>35</v>
  </rv>
  <rv s="1">
    <fb>6.49</fb>
    <v>34</v>
  </rv>
  <rv s="3">
    <v>130</v>
  </rv>
  <rv s="1">
    <fb>0.36792971710000005</fb>
    <v>29</v>
  </rv>
  <rv s="1">
    <fb>2.3607999999999998</fb>
    <v>30</v>
  </rv>
  <rv s="1">
    <fb>51628117</fb>
    <v>8</v>
  </rv>
  <rv s="1">
    <fb>0.39</fb>
    <v>29</v>
  </rv>
  <rv s="1">
    <fb>2.6000000000000002E-2</fb>
    <v>29</v>
  </rv>
  <rv s="1">
    <fb>0.62970001220703098</fb>
    <v>29</v>
  </rv>
  <rv s="0">
    <v>536870912</v>
    <v>Busan</v>
    <v>ab78ce75-913b-16f3-a3d1-72a46c7e4c42</v>
    <v>en-US</v>
    <v>Map</v>
  </rv>
  <rv s="0">
    <v>536870912</v>
    <v>Daegu</v>
    <v>ed9efeb7-692d-e93b-eeff-c93b6f906f73</v>
    <v>en-US</v>
    <v>Map</v>
  </rv>
  <rv s="0">
    <v>536870912</v>
    <v>Incheon</v>
    <v>251c93a5-c29d-4e48-dd3f-1d5ac7861fa3</v>
    <v>en-US</v>
    <v>Map</v>
  </rv>
  <rv s="0">
    <v>536870912</v>
    <v>Gwangju</v>
    <v>1ceff0b5-a865-dd51-d697-9fee8740447e</v>
    <v>en-US</v>
    <v>Map</v>
  </rv>
  <rv s="0">
    <v>536870912</v>
    <v>Daejeon</v>
    <v>6f5216bc-1581-3eaa-8a74-f4122af47cdd</v>
    <v>en-US</v>
    <v>Map</v>
  </rv>
  <rv s="0">
    <v>536870912</v>
    <v>Ulsan</v>
    <v>91c0546f-5834-7fd6-735f-542bc70be1cf</v>
    <v>en-US</v>
    <v>Map</v>
  </rv>
  <rv s="0">
    <v>536870912</v>
    <v>Sejong City</v>
    <v>4b3538fb-9c24-d852-b122-f107916a0663</v>
    <v>en-US</v>
    <v>Map</v>
  </rv>
  <rv s="0">
    <v>536870912</v>
    <v>Gyeonggi Province</v>
    <v>6b578621-8b2d-13ef-1af0-281a90a0fd92</v>
    <v>en-US</v>
    <v>Map</v>
  </rv>
  <rv s="0">
    <v>536870912</v>
    <v>Gangwon Province, South Korea</v>
    <v>969f749a-ed96-7379-b76c-a7fc63af8e94</v>
    <v>en-US</v>
    <v>Map</v>
  </rv>
  <rv s="0">
    <v>536870912</v>
    <v>North Chungcheong Province</v>
    <v>ea7cdefc-04fe-45be-8ac1-07b9a4d6dc32</v>
    <v>en-US</v>
    <v>Map</v>
  </rv>
  <rv s="0">
    <v>536870912</v>
    <v>South Chungcheong Province</v>
    <v>302fa333-ce2a-affc-c170-5f8d18500d9b</v>
    <v>en-US</v>
    <v>Map</v>
  </rv>
  <rv s="0">
    <v>536870912</v>
    <v>North Jeolla Province</v>
    <v>d8cda014-25af-90ec-91e8-3b7ffccc6380</v>
    <v>en-US</v>
    <v>Map</v>
  </rv>
  <rv s="0">
    <v>536870912</v>
    <v>South Jeolla Province</v>
    <v>9a4dcd3b-649f-605b-aee3-3f6dcf5c3680</v>
    <v>en-US</v>
    <v>Map</v>
  </rv>
  <rv s="0">
    <v>536870912</v>
    <v>North Gyeongsang Province</v>
    <v>44899bdf-131d-a103-5b55-bb862b8d3bf3</v>
    <v>en-US</v>
    <v>Map</v>
  </rv>
  <rv s="0">
    <v>536870912</v>
    <v>South Gyeongsang Province</v>
    <v>86e32791-8efc-1d3b-3a8f-1b9d6fd990a1</v>
    <v>en-US</v>
    <v>Map</v>
  </rv>
  <rv s="0">
    <v>536870912</v>
    <v>Jeju Province</v>
    <v>30be7545-0861-845d-8d83-ec99d53fc5d9</v>
    <v>en-US</v>
    <v>Map</v>
  </rv>
  <rv s="3">
    <v>131</v>
  </rv>
  <rv s="1">
    <fb>0.15574911728035101</fb>
    <v>29</v>
  </rv>
  <rv s="3">
    <v>132</v>
  </rv>
  <rv s="1">
    <fb>0.33200000000000002</fb>
    <v>29</v>
  </rv>
  <rv s="1">
    <fb>4.1479997634887703E-2</fb>
    <v>36</v>
  </rv>
  <rv s="1">
    <fb>42106719</fb>
    <v>8</v>
  </rv>
  <rv s="6">
    <v>#VALUE!</v>
    <v>335</v>
    <v>27</v>
    <v>South Korea</v>
    <v>4</v>
    <v>5</v>
    <v>Map</v>
    <v>6</v>
    <v>336</v>
    <v>en-US</v>
    <v>c0e15be0-5113-402c-c03f-516a6265e9cb</v>
    <v>536870912</v>
    <v>1</v>
    <v>KR</v>
    <v>2189</v>
    <v>2190</v>
    <v>2191</v>
    <v>2192</v>
    <v>2193</v>
    <v>2194</v>
    <v>2195</v>
    <v>2196</v>
    <v>2197</v>
    <v>KRW</v>
    <v>South Korea, officially the Republic of Korea, is a country in East Asia. It constitutes the southern half of the Korean Peninsula and borders North Korea along the Korean Demilitarized Zone, with the Yellow Sea to the west and the Sea of Japan ...</v>
    <v>2198</v>
    <v>2199</v>
    <v>2200</v>
    <v>2201</v>
    <v>2202</v>
    <v>2203</v>
    <v>2204</v>
    <v>2205</v>
    <v>2206</v>
    <v>2207</v>
    <v>2194</v>
    <v>2212</v>
    <v>2213</v>
    <v>2214</v>
    <v>2215</v>
    <v>2013</v>
    <v>2216</v>
    <v>South Korea</v>
    <v>Aegukga</v>
    <v>2217</v>
    <v>대한민국</v>
    <v>2218</v>
    <v>2219</v>
    <v>2220</v>
    <v>2153</v>
    <v>1990</v>
    <v>2221</v>
    <v>2222</v>
    <v>391</v>
    <v>200</v>
    <v>1081</v>
    <v>2223</v>
    <v>2240</v>
    <v>2241</v>
    <v>2242</v>
    <v>2243</v>
    <v>2244</v>
    <v>South Korea</v>
    <v>2245</v>
    <v>mdp/vdpid/134</v>
  </rv>
  <rv s="0">
    <v>536870912</v>
    <v>Prague</v>
    <v>a3446df9-1e81-03b1-d08c-0593eead811a</v>
    <v>en-US</v>
    <v>Map</v>
  </rv>
  <rv s="1">
    <fb>496.21</fb>
    <v>8</v>
  </rv>
  <rv s="0">
    <v>536870912</v>
    <v>Austria-Hungary</v>
    <v>09b8630d-3ac1-93e8-a27e-b8a55de26a17</v>
    <v>en-US</v>
    <v>Map</v>
  </rv>
  <rv s="2">
    <v>68</v>
    <v>6</v>
    <v>337</v>
    <v>7</v>
    <v>0</v>
    <v>Image of Prague</v>
  </rv>
  <rv s="0">
    <v>805306368</v>
    <v>Bohuslav Svoboda (Mayor)</v>
    <v>d22dc65d-617c-120b-8290-4e1215938b85</v>
    <v>en-US</v>
    <v>Generic</v>
  </rv>
  <rv s="3">
    <v>133</v>
  </rv>
  <rv s="4">
    <v>https://www.bing.com/search?q=prague+czech+republic&amp;form=skydnc</v>
    <v>Learn more on Bing</v>
  </rv>
  <rv s="1">
    <fb>1357326</fb>
    <v>8</v>
  </rv>
  <rv s="23">
    <v>#VALUE!</v>
    <v>339</v>
    <v>340</v>
    <v>Prague</v>
    <v>4</v>
    <v>5</v>
    <v>Map</v>
    <v>6</v>
    <v>155</v>
    <v>en-US</v>
    <v>a3446df9-1e81-03b1-d08c-0593eead811a</v>
    <v>536870912</v>
    <v>1</v>
    <v>CZ-10</v>
    <v>2248</v>
    <v>2249</v>
    <v>Prague is the capital and largest city of the Czech Republic and the historical capital of Bohemia. Situated on the Vltava river, Prague is home to about 1.4 million people. Prague is a political, cultural, and economic hub of Central Europe, ...</v>
    <v>2250</v>
    <v>2252</v>
    <v>2253</v>
    <v>Prague</v>
    <v>2254</v>
    <v>804</v>
    <v>Prague</v>
    <v>mdp/vdpid/9446826</v>
  </rv>
  <rv s="0">
    <v>536870912</v>
    <v>Slovakia</v>
    <v>edb4720a-f85f-2ef3-4669-e9de895513b0</v>
    <v>en-US</v>
    <v>Map</v>
  </rv>
  <rv s="1">
    <fb>0.39226289517470903</fb>
    <v>29</v>
  </rv>
  <rv s="1">
    <fb>49035</fb>
    <v>8</v>
  </rv>
  <rv s="1">
    <fb>16000</fb>
    <v>8</v>
  </rv>
  <rv s="1">
    <fb>421</fb>
    <v>31</v>
  </rv>
  <rv s="0">
    <v>536870912</v>
    <v>Bratislava</v>
    <v>58b70fde-dfcf-1beb-05ed-c5baeec68486</v>
    <v>en-US</v>
    <v>Map</v>
  </rv>
  <rv s="1">
    <fb>32423.614000000001</fb>
    <v>8</v>
  </rv>
  <rv s="1">
    <fb>115.338987748767</fb>
    <v>32</v>
  </rv>
  <rv s="1">
    <fb>2.6645613342544297E-2</fb>
    <v>29</v>
  </rv>
  <rv s="1">
    <fb>5137.0738351939799</fb>
    <v>8</v>
  </rv>
  <rv s="1">
    <fb>0.40353576355488302</fb>
    <v>29</v>
  </rv>
  <rv s="1">
    <fb>64.091495098880202</fb>
    <v>33</v>
  </rv>
  <rv s="1">
    <fb>1.32</fb>
    <v>34</v>
  </rv>
  <rv s="1">
    <fb>105422304975.576</fb>
    <v>35</v>
  </rv>
  <rv s="1">
    <fb>0.98732050000000005</fb>
    <v>29</v>
  </rv>
  <rv s="1">
    <fb>0.46634390000000003</fb>
    <v>29</v>
  </rv>
  <rv s="2">
    <v>69</v>
    <v>6</v>
    <v>342</v>
    <v>7</v>
    <v>0</v>
    <v>Image of Slovakia</v>
  </rv>
  <rv s="1">
    <fb>4.5999999999999996</fb>
    <v>33</v>
  </rv>
  <rv s="0">
    <v>805306368</v>
    <v>Peter Pellegrini (President)</v>
    <v>f629decd-819c-5335-3056-a303e967b3ef</v>
    <v>en-US</v>
    <v>Generic</v>
  </rv>
  <rv s="0">
    <v>805306368</v>
    <v>Robert Fico (Prime minister)</v>
    <v>8e083165-c1e0-fe2d-8b3f-c60ab5f7ccbc</v>
    <v>en-US</v>
    <v>Generic</v>
  </rv>
  <rv s="3">
    <v>134</v>
  </rv>
  <rv s="4">
    <v>https://www.bing.com/search?q=slovakia&amp;form=skydnc</v>
    <v>Learn more on Bing</v>
  </rv>
  <rv s="1">
    <fb>77.165853658536605</fb>
    <v>33</v>
  </rv>
  <rv s="1">
    <fb>4801320000</fb>
    <v>35</v>
  </rv>
  <rv s="1">
    <fb>3.11</fb>
    <v>34</v>
  </rv>
  <rv s="3">
    <v>135</v>
  </rv>
  <rv s="1">
    <fb>0.18443573520000001</fb>
    <v>29</v>
  </rv>
  <rv s="1">
    <fb>3.4156</fb>
    <v>30</v>
  </rv>
  <rv s="1">
    <fb>5431752</fb>
    <v>8</v>
  </rv>
  <rv s="1">
    <fb>8.6999999999999994E-2</fb>
    <v>29</v>
  </rv>
  <rv s="1">
    <fb>0.151</fb>
    <v>29</v>
  </rv>
  <rv s="1">
    <fb>0.19</fb>
    <v>29</v>
  </rv>
  <rv s="1">
    <fb>0.59541000366210906</fb>
    <v>29</v>
  </rv>
  <rv s="0">
    <v>536870912</v>
    <v>Bratislava Region</v>
    <v>e637bf19-eeaa-4459-9caf-f56123dbf175</v>
    <v>en-US</v>
    <v>Map</v>
  </rv>
  <rv s="0">
    <v>536870912</v>
    <v>Trnava Region</v>
    <v>4f2bb7cb-6583-4c39-9bf0-d4e3bb63dc18</v>
    <v>en-US</v>
    <v>Map</v>
  </rv>
  <rv s="0">
    <v>536870912</v>
    <v>Nitra Region</v>
    <v>d1ead58e-466d-468e-a927-7b14d511bee9</v>
    <v>en-US</v>
    <v>Map</v>
  </rv>
  <rv s="0">
    <v>536870912</v>
    <v>Trenčín Region</v>
    <v>20297534-639a-464f-90d3-81da4026bd2b</v>
    <v>en-US</v>
    <v>Map</v>
  </rv>
  <rv s="0">
    <v>536870912</v>
    <v>Žilina Region</v>
    <v>712f0aa7-5c71-4ca0-b231-743ce5252eb2</v>
    <v>en-US</v>
    <v>Map</v>
  </rv>
  <rv s="0">
    <v>536870912</v>
    <v>Banská Bystrica Region</v>
    <v>2e442f08-059f-48a2-8f6e-cbe382c50935</v>
    <v>en-US</v>
    <v>Map</v>
  </rv>
  <rv s="0">
    <v>536870912</v>
    <v>Košice Region</v>
    <v>d93306fe-d07e-40fc-876e-e0ebf15d5b24</v>
    <v>en-US</v>
    <v>Map</v>
  </rv>
  <rv s="0">
    <v>536870912</v>
    <v>Prešov Region</v>
    <v>9ed1d64f-c597-423c-8a57-6c255167c0ef</v>
    <v>en-US</v>
    <v>Map</v>
  </rv>
  <rv s="3">
    <v>136</v>
  </rv>
  <rv s="1">
    <fb>0.18701973520562698</fb>
    <v>29</v>
  </rv>
  <rv s="1">
    <fb>0.49700000000000005</fb>
    <v>29</v>
  </rv>
  <rv s="1">
    <fb>5.56099987030029E-2</fb>
    <v>36</v>
  </rv>
  <rv s="1">
    <fb>2930419</fb>
    <v>8</v>
  </rv>
  <rv s="6">
    <v>#VALUE!</v>
    <v>345</v>
    <v>27</v>
    <v>Slovakia</v>
    <v>4</v>
    <v>5</v>
    <v>Map</v>
    <v>6</v>
    <v>346</v>
    <v>en-US</v>
    <v>edb4720a-f85f-2ef3-4669-e9de895513b0</v>
    <v>536870912</v>
    <v>1</v>
    <v>SK</v>
    <v>2257</v>
    <v>2258</v>
    <v>2259</v>
    <v>1955</v>
    <v>2260</v>
    <v>2261</v>
    <v>2262</v>
    <v>2263</v>
    <v>2264</v>
    <v>EUR</v>
    <v>Slovakia, officially the Slovak Republic, is a landlocked country in Central Europe. It is bordered by Poland to the north, Ukraine to the east, Hungary to the south, Austria to the west, and the Czech Republic to the northwest. Slovakia's ...</v>
    <v>2265</v>
    <v>1626</v>
    <v>2266</v>
    <v>2267</v>
    <v>2268</v>
    <v>2269</v>
    <v>2270</v>
    <v>2271</v>
    <v>2272</v>
    <v>2273</v>
    <v>2261</v>
    <v>2276</v>
    <v>2277</v>
    <v>2278</v>
    <v>2279</v>
    <v>721</v>
    <v>2280</v>
    <v>Slovakia</v>
    <v>Nad Tatrou sa blýska</v>
    <v>2281</v>
    <v>Slovenská republika</v>
    <v>2282</v>
    <v>2283</v>
    <v>2284</v>
    <v>2153</v>
    <v>1321</v>
    <v>1023</v>
    <v>210</v>
    <v>2285</v>
    <v>2286</v>
    <v>2287</v>
    <v>2288</v>
    <v>2297</v>
    <v>2298</v>
    <v>957</v>
    <v>2299</v>
    <v>2300</v>
    <v>Slovakia</v>
    <v>2301</v>
    <v>mdp/vdpid/143</v>
  </rv>
  <rv s="0">
    <v>536870912</v>
    <v>Indianapolis</v>
    <v>28ad13c5-50fe-aae3-acb8-c5dea28be321</v>
    <v>en-US</v>
    <v>Map</v>
  </rv>
  <rv s="0">
    <v>536870912</v>
    <v>Marion County, Indiana</v>
    <v>ab457602-8310-1e9c-f76e-b62f7c980071</v>
    <v>en-US</v>
    <v>Map</v>
  </rv>
  <rv s="1">
    <fb>953.18073600000002</fb>
    <v>8</v>
  </rv>
  <rv s="2">
    <v>70</v>
    <v>6</v>
    <v>347</v>
    <v>7</v>
    <v>0</v>
    <v>Image of Indianapolis</v>
  </rv>
  <rv s="1">
    <fb>39.768611111110999</fb>
    <v>9</v>
  </rv>
  <rv s="0">
    <v>805306368</v>
    <v>Joe Hogsett (Mayor)</v>
    <v>35a12ddd-c281-8321-ccbb-63acd394f368</v>
    <v>en-US</v>
    <v>Generic</v>
  </rv>
  <rv s="3">
    <v>137</v>
  </rv>
  <rv s="4">
    <v>https://www.bing.com/search?q=indianapolis&amp;form=skydnc</v>
    <v>Learn more on Bing</v>
  </rv>
  <rv s="1">
    <fb>-86.158055555556004</fb>
    <v>9</v>
  </rv>
  <rv s="1">
    <fb>887642</fb>
    <v>8</v>
  </rv>
  <rv s="3">
    <v>138</v>
  </rv>
  <rv s="11">
    <v>#VALUE!</v>
    <v>348</v>
    <v>113</v>
    <v>Indianapolis</v>
    <v>4</v>
    <v>5</v>
    <v>Map</v>
    <v>6</v>
    <v>7</v>
    <v>en-US</v>
    <v>28ad13c5-50fe-aae3-acb8-c5dea28be321</v>
    <v>536870912</v>
    <v>1</v>
    <v>67</v>
    <v>2304</v>
    <v>2305</v>
    <v>594</v>
    <v>Indianapolis, colloquially known as Indy, is the capital and most populous city of the U.S. state of Indiana and the seat of Marion County. Indianapolis is situated in the state's central till plain region along the west fork of the White River. ...</v>
    <v>2306</v>
    <v>2307</v>
    <v>2309</v>
    <v>2310</v>
    <v>2311</v>
    <v>Indianapolis</v>
    <v>2312</v>
    <v>2313</v>
    <v>Indianapolis</v>
    <v>mdp/vdpid/5478461750934241282</v>
  </rv>
  <rv s="0">
    <v>536870912</v>
    <v>Portland, Oregon</v>
    <v>5658ef8a-9267-4851-b335-72bc82329a4e</v>
    <v>en-US</v>
    <v>Map</v>
  </rv>
  <rv s="0">
    <v>536870912</v>
    <v>Multnomah County, Oregon</v>
    <v>09a9dfb0-af26-d1d9-c818-43e2fdd19867</v>
    <v>en-US</v>
    <v>Map</v>
  </rv>
  <rv s="1">
    <fb>375.80552599999999</fb>
    <v>8</v>
  </rv>
  <rv s="2">
    <v>71</v>
    <v>6</v>
    <v>349</v>
    <v>7</v>
    <v>0</v>
    <v>Image of Portland, Oregon</v>
  </rv>
  <rv s="1">
    <fb>45.516666666667</fb>
    <v>9</v>
  </rv>
  <rv s="0">
    <v>805306368</v>
    <v>Keith Wilson (Mayor)</v>
    <v>5ef72d86-7eea-2ea5-3eee-42f15a9430b3</v>
    <v>en-US</v>
    <v>Generic</v>
  </rv>
  <rv s="3">
    <v>139</v>
  </rv>
  <rv s="4">
    <v>https://www.bing.com/search?q=portland+oregon&amp;form=skydnc</v>
    <v>Learn more on Bing</v>
  </rv>
  <rv s="1">
    <fb>-122.66666666667</fb>
    <v>9</v>
  </rv>
  <rv s="1">
    <fb>652503</fb>
    <v>8</v>
  </rv>
  <rv s="11">
    <v>#VALUE!</v>
    <v>350</v>
    <v>113</v>
    <v>Portland, Oregon</v>
    <v>4</v>
    <v>5</v>
    <v>Map</v>
    <v>6</v>
    <v>7</v>
    <v>en-US</v>
    <v>5658ef8a-9267-4851-b335-72bc82329a4e</v>
    <v>536870912</v>
    <v>1</v>
    <v>89</v>
    <v>2316</v>
    <v>2317</v>
    <v>594</v>
    <v>Portland is the most populous city in the U.S. state of Oregon, located in the Pacific Northwest region. Situated close to northwest Oregon at the confluence of the Willamette and Columbia rivers, it is the county seat of Multnomah County, ...</v>
    <v>2318</v>
    <v>2319</v>
    <v>2321</v>
    <v>2322</v>
    <v>2323</v>
    <v>Portland, Oregon</v>
    <v>2324</v>
    <v>180</v>
    <v>Portland, Oregon</v>
    <v>mdp/vdpid/4860910142754914306</v>
  </rv>
  <rv s="0">
    <v>536870912</v>
    <v>Pittsburgh</v>
    <v>67b9bd42-dc58-455c-9858-ece11da6a2fd</v>
    <v>en-US</v>
    <v>Map</v>
  </rv>
  <rv s="0">
    <v>536870912</v>
    <v>Allegheny County, Pennsylvania</v>
    <v>0545943c-8c71-ab81-283b-fb5f8f3bcb81</v>
    <v>en-US</v>
    <v>Map</v>
  </rv>
  <rv s="1">
    <fb>151</fb>
    <v>8</v>
  </rv>
  <rv s="2">
    <v>72</v>
    <v>6</v>
    <v>351</v>
    <v>7</v>
    <v>0</v>
    <v>Image of Pittsburgh</v>
  </rv>
  <rv s="1">
    <fb>40.441666666666698</fb>
    <v>9</v>
  </rv>
  <rv s="0">
    <v>805306368</v>
    <v>Ed Gainey (Mayor)</v>
    <v>2e529e45-5c30-976a-b3a8-08cde96efdc4</v>
    <v>en-US</v>
    <v>Generic</v>
  </rv>
  <rv s="3">
    <v>140</v>
  </rv>
  <rv s="4">
    <v>https://www.bing.com/search?q=pittsburgh&amp;form=skydnc</v>
    <v>Learn more on Bing</v>
  </rv>
  <rv s="1">
    <fb>-80</fb>
    <v>9</v>
  </rv>
  <rv s="1">
    <fb>303255</fb>
    <v>8</v>
  </rv>
  <rv s="11">
    <v>#VALUE!</v>
    <v>352</v>
    <v>113</v>
    <v>Pittsburgh</v>
    <v>4</v>
    <v>5</v>
    <v>Map</v>
    <v>6</v>
    <v>155</v>
    <v>en-US</v>
    <v>67b9bd42-dc58-455c-9858-ece11da6a2fd</v>
    <v>536870912</v>
    <v>1</v>
    <v>90</v>
    <v>2327</v>
    <v>2328</v>
    <v>594</v>
    <v>Pittsburgh is a city in and the county seat of Allegheny County, Pennsylvania, United States. It is the second-most populous city in Pennsylvania and the 68th-most populous city in the U.S., with a population of 302,971 as of the 2020 census. ...</v>
    <v>2329</v>
    <v>2330</v>
    <v>2332</v>
    <v>2333</v>
    <v>2334</v>
    <v>Pittsburgh</v>
    <v>2335</v>
    <v>11</v>
    <v>Pittsburgh</v>
    <v>mdp/vdpid/5480746593323843587</v>
  </rv>
</rvData>
</file>

<file path=xl/richData/rdrichvaluestructure.xml><?xml version="1.0" encoding="utf-8"?>
<rvStructures xmlns="http://schemas.microsoft.com/office/spreadsheetml/2017/richdata" count="24">
  <s t="_linkedentity2">
    <k n="%EntityServiceId" t="i"/>
    <k n="_DisplayString" t="s"/>
    <k n="%EntityId" t="s"/>
    <k n="%EntityCulture" t="s"/>
    <k n="_Icon" t="s"/>
  </s>
  <s t="_formattednumber">
    <k n="_Format" t="spb"/>
  </s>
  <s t="_webimage">
    <k n="WebImageIdentifier" t="i"/>
    <k n="_Provider" t="spb"/>
    <k n="Attribution" t="spb"/>
    <k n="CalcOrigin" t="i"/>
    <k n="ComputedImage" t="b"/>
    <k n="Text" t="s"/>
  </s>
  <s t="_array">
    <k n="array" t="a"/>
  </s>
  <s t="_hyperlink">
    <k n="Address" t="s"/>
    <k n="Text"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rea" t="r"/>
    <k n="Country/region" t="r"/>
    <k n="Description" t="s"/>
    <k n="Image" t="r"/>
    <k n="Latitude" t="r"/>
    <k n="Leader(s)" t="r"/>
    <k n="LearnMoreOnLink" t="r"/>
    <k n="Longitude" t="r"/>
    <k n="Name" t="s"/>
    <k n="Population"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rea" t="r"/>
    <k n="Building permits" t="r"/>
    <k n="Country/region" t="r"/>
    <k n="Description" t="s"/>
    <k n="Households" t="r"/>
    <k n="Housing units" t="r"/>
    <k n="Image" t="r"/>
    <k n="Leader(s)" t="r"/>
    <k n="LearnMoreOnLink" t="r"/>
    <k n="Median gross rent" t="r"/>
    <k n="Median household income" t="r"/>
    <k n="Median value, owner-occupied housing units" t="r"/>
    <k n="Name" t="s"/>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Official language" t="r"/>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Official language" t="r"/>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dmin Division 2 (County/district/other)" t="r"/>
    <k n="Area" t="r"/>
    <k n="Country/region" t="r"/>
    <k n="Description" t="s"/>
    <k n="Image" t="r"/>
    <k n="Latitude" t="r"/>
    <k n="Leader(s)" t="r"/>
    <k n="LearnMoreOnLink" t="r"/>
    <k n="Longitude" t="r"/>
    <k n="Name" t="s"/>
    <k n="Population"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rea" t="r"/>
    <k n="Building permits" t="r"/>
    <k n="Capital/Major City" t="r"/>
    <k n="Country/region" t="r"/>
    <k n="Description" t="s"/>
    <k n="Households" t="r"/>
    <k n="Housing units" t="r"/>
    <k n="Image" t="r"/>
    <k n="Largest city" t="r"/>
    <k n="Leader(s)" t="r"/>
    <k n="LearnMoreOnLink" t="r"/>
    <k n="Median household income" t="r"/>
    <k n="Name" t="s"/>
    <k n="Official language" t="r"/>
    <k n="Persons per household" t="r"/>
    <k n="Population"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rea" t="r"/>
    <k n="Capital/Major City" t="r"/>
    <k n="Country/region" t="r"/>
    <k n="Description" t="s"/>
    <k n="Image" t="r"/>
    <k n="Largest city" t="r"/>
    <k n="Leader(s)" t="r"/>
    <k n="LearnMoreOnLink" t="r"/>
    <k n="Name" t="s"/>
    <k n="Population"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rea" t="r"/>
    <k n="Country/region" t="r"/>
    <k n="Description" t="s"/>
    <k n="Image" t="r"/>
    <k n="Latitude" t="r"/>
    <k n="Leader(s)" t="r"/>
    <k n="LearnMoreOnLink" t="r"/>
    <k n="Longitude" t="r"/>
    <k n="Name" t="s"/>
    <k n="Population"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dmin Division 2 (County/district/other)" t="r"/>
    <k n="Area" t="r"/>
    <k n="Country/region" t="r"/>
    <k n="Description" t="s"/>
    <k n="Image" t="r"/>
    <k n="Latitude" t="r"/>
    <k n="LearnMoreOnLink" t="r"/>
    <k n="Longitude" t="r"/>
    <k n="Name" t="s"/>
    <k n="Population"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dmin Division 2 (County/district/other)" t="r"/>
    <k n="Area" t="r"/>
    <k n="Country/region" t="r"/>
    <k n="Description" t="s"/>
    <k n="Image" t="r"/>
    <k n="Latitude" t="r"/>
    <k n="Leader(s)" t="r"/>
    <k n="LearnMoreOnLink" t="r"/>
    <k n="Longitude" t="r"/>
    <k n="Name" t="s"/>
    <k n="Population"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rea" t="r"/>
    <k n="Country/region" t="r"/>
    <k n="Description" t="s"/>
    <k n="Households" t="r"/>
    <k n="Housing units" t="r"/>
    <k n="Image" t="r"/>
    <k n="Leader(s)" t="r"/>
    <k n="LearnMoreOnLink" t="r"/>
    <k n="Name" t="s"/>
    <k n="Official language" t="r"/>
    <k n="Persons per household" t="r"/>
    <k n="Population"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rea" t="r"/>
    <k n="Country/region" t="r"/>
    <k n="Description" t="s"/>
    <k n="Image" t="r"/>
    <k n="Latitude" t="r"/>
    <k n="LearnMoreOnLink" t="r"/>
    <k n="Longitude" t="r"/>
    <k n="Name" t="s"/>
    <k n="Population"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rea" t="r"/>
    <k n="Country/region" t="r"/>
    <k n="Description" t="s"/>
    <k n="Latitude" t="r"/>
    <k n="LearnMoreOnLink" t="r"/>
    <k n="Longitude" t="r"/>
    <k n="Name" t="s"/>
    <k n="Population"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dmin Division 2 (County/district/other)" t="r"/>
    <k n="Area" t="r"/>
    <k n="Country/region" t="r"/>
    <k n="Description" t="s"/>
    <k n="Latitude" t="r"/>
    <k n="LearnMoreOnLink" t="r"/>
    <k n="Longitude" t="r"/>
    <k n="Name" t="s"/>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rea" t="r"/>
    <k n="Country/region" t="r"/>
    <k n="Description" t="s"/>
    <k n="Image" t="r"/>
    <k n="LearnMoreOnLink" t="r"/>
    <k n="Name" t="s"/>
    <k n="Population"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rea" t="r"/>
    <k n="Country/region" t="r"/>
    <k n="Description" t="s"/>
    <k n="Image" t="r"/>
    <k n="Leader(s)" t="r"/>
    <k n="LearnMoreOnLink" t="r"/>
    <k n="Name" t="s"/>
    <k n="Population" t="r"/>
    <k n="Time zone(s)" t="r"/>
    <k n="UniqueName" t="s"/>
    <k n="VDPID/VSID" t="s"/>
  </s>
</rvStructures>
</file>

<file path=xl/richData/rdsupportingpropertybag.xml><?xml version="1.0" encoding="utf-8"?>
<supportingPropertyBags xmlns="http://schemas.microsoft.com/office/spreadsheetml/2017/richdata2">
  <spbArrays count="19">
    <a count="26">
      <v t="s">%EntityServiceId</v>
      <v t="s">%IsRefreshable</v>
      <v t="s">%EntityCulture</v>
      <v t="s">%EntityId</v>
      <v t="s">_Icon</v>
      <v t="s">_Provider</v>
      <v t="s">_Attribution</v>
      <v t="s">_Display</v>
      <v t="s">Name</v>
      <v t="s">_Format</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64">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Minimum wage</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47">
      <v t="s">%EntityServiceId</v>
      <v t="s">%IsRefreshable</v>
      <v t="s">%EntityCulture</v>
      <v t="s">%EntityId</v>
      <v t="s">_Icon</v>
      <v t="s">_Provider</v>
      <v t="s">_Attribution</v>
      <v t="s">_Display</v>
      <v t="s">Name</v>
      <v t="s">_Format</v>
      <v t="s">Leader(s)</v>
      <v t="s">Country/region</v>
      <v t="s">_SubLabel</v>
      <v t="s">Population</v>
      <v t="s">Area</v>
      <v t="s">Abbreviation</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50">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49">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49">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32">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Households</v>
      <v t="s">Housing units</v>
      <v t="s">Persons per household</v>
      <v t="s">Median household income</v>
      <v t="s">Building permits</v>
      <v t="s">Time zone(s)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Time zone(s)</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Admin Division 1 (State/province/other)</v>
      <v t="s">Country/region</v>
      <v t="s">Leader(s)</v>
      <v t="s">_SubLabel</v>
      <v t="s">Population</v>
      <v t="s">Area</v>
      <v t="s">Latitude</v>
      <v t="s">Longitude</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2 (County/district/other)</v>
      <v t="s">Admin Division 1 (State/province/other)</v>
      <v t="s">Country/region</v>
      <v t="s">_SubLabel</v>
      <v t="s">Population</v>
      <v t="s">Area</v>
      <v t="s">Latitude</v>
      <v t="s">Longitude</v>
      <v t="s">Time zone(s)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Leader(s)</v>
      <v t="s">Country/region</v>
      <v t="s">_SubLabel</v>
      <v t="s">Population</v>
      <v t="s">Area</v>
      <v t="s">Abbreviation</v>
      <v t="s">Official language</v>
      <v t="s">Households</v>
      <v t="s">Housing units</v>
      <v t="s">Persons per household</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Admin Division 1 (State/province/other)</v>
      <v t="s">Country/region</v>
      <v t="s">_SubLabel</v>
      <v t="s">Population</v>
      <v t="s">Area</v>
      <v t="s">Latitude</v>
      <v t="s">Longitude</v>
      <v t="s">_Flags</v>
      <v t="s">VDPID/VSID</v>
      <v t="s">UniqueName</v>
      <v t="s">_DisplayString</v>
      <v t="s">LearnMoreOnLink</v>
      <v t="s">Image</v>
      <v t="s">Description</v>
    </a>
    <a count="63">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23">
      <v t="s">%EntityServiceId</v>
      <v t="s">%IsRefreshable</v>
      <v t="s">%EntityCulture</v>
      <v t="s">%EntityId</v>
      <v t="s">_Icon</v>
      <v t="s">_Provider</v>
      <v t="s">_Attribution</v>
      <v t="s">_Display</v>
      <v t="s">Name</v>
      <v t="s">_Format</v>
      <v t="s">Admin Division 1 (State/province/other)</v>
      <v t="s">Country/region</v>
      <v t="s">_SubLabel</v>
      <v t="s">Population</v>
      <v t="s">Area</v>
      <v t="s">Latitude</v>
      <v t="s">Longitude</v>
      <v t="s">_Flags</v>
      <v t="s">VDPID/VSID</v>
      <v t="s">UniqueName</v>
      <v t="s">_DisplayString</v>
      <v t="s">LearnMoreOnLink</v>
      <v t="s">Description</v>
    </a>
    <a count="23">
      <v t="s">%EntityServiceId</v>
      <v t="s">%IsRefreshable</v>
      <v t="s">%EntityCulture</v>
      <v t="s">%EntityId</v>
      <v t="s">_Icon</v>
      <v t="s">_Provider</v>
      <v t="s">_Attribution</v>
      <v t="s">_Display</v>
      <v t="s">Name</v>
      <v t="s">_Format</v>
      <v t="s">Admin Division 2 (County/district/other)</v>
      <v t="s">Admin Division 1 (State/province/other)</v>
      <v t="s">Country/region</v>
      <v t="s">_SubLabel</v>
      <v t="s">Area</v>
      <v t="s">Latitude</v>
      <v t="s">Longitude</v>
      <v t="s">_Flags</v>
      <v t="s">VDPID/VSID</v>
      <v t="s">UniqueName</v>
      <v t="s">_DisplayString</v>
      <v t="s">LearnMoreOnLink</v>
      <v t="s">Description</v>
    </a>
    <a count="22">
      <v t="s">%EntityServiceId</v>
      <v t="s">%IsRefreshable</v>
      <v t="s">%EntityCulture</v>
      <v t="s">%EntityId</v>
      <v t="s">_Icon</v>
      <v t="s">_Provider</v>
      <v t="s">_Attribution</v>
      <v t="s">_Display</v>
      <v t="s">Name</v>
      <v t="s">_Format</v>
      <v t="s">Admin Division 1 (State/province/other)</v>
      <v t="s">Country/region</v>
      <v t="s">_SubLabel</v>
      <v t="s">Population</v>
      <v t="s">Area</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Leader(s)</v>
      <v t="s">Country/region</v>
      <v t="s">_SubLabel</v>
      <v t="s">Population</v>
      <v t="s">Area</v>
      <v t="s">Abbreviation</v>
      <v t="s">Time zone(s)</v>
      <v t="s">_Flags</v>
      <v t="s">VDPID/VSID</v>
      <v t="s">UniqueName</v>
      <v t="s">_DisplayString</v>
      <v t="s">LearnMoreOnLink</v>
      <v t="s">Image</v>
      <v t="s">Description</v>
    </a>
  </spbArrays>
  <spbData count="353">
    <spb s="0">
      <v xml:space="preserve">Wikipedia	</v>
      <v xml:space="preserve">CC BY-SA 3.0	</v>
      <v xml:space="preserve">https://en.wikipedia.org/wiki/New_York_City	</v>
      <v xml:space="preserve">https://creativecommons.org/licenses/by-sa/3.0	</v>
    </spb>
    <spb s="1">
      <v>0</v>
      <v>0</v>
      <v>0</v>
      <v>0</v>
      <v>0</v>
      <v>0</v>
      <v>0</v>
      <v>0</v>
      <v>0</v>
    </spb>
    <spb s="2">
      <v>0</v>
      <v>Name</v>
      <v>LearnMoreOnLink</v>
    </spb>
    <spb s="3">
      <v>0</v>
      <v>0</v>
      <v>0</v>
    </spb>
    <spb s="4">
      <v>3</v>
      <v>3</v>
      <v>3</v>
    </spb>
    <spb s="5">
      <v>1</v>
      <v>2</v>
    </spb>
    <spb s="6">
      <v>https://www.bing.com</v>
      <v>https://www.bing.com/th?id=Ga%5Cbing_yt.png&amp;w=100&amp;h=40&amp;c=0&amp;pid=0.1</v>
      <v>Powered by Bing</v>
    </spb>
    <spb s="7">
      <v>square km</v>
      <v>2020</v>
    </spb>
    <spb s="8">
      <v>3</v>
    </spb>
    <spb s="8">
      <v>4</v>
    </spb>
    <spb s="0">
      <v xml:space="preserve">data.worldbank.org	</v>
      <v xml:space="preserve">	</v>
      <v xml:space="preserve">http://data.worldbank.org/indicator/FP.CPI.TOTL	</v>
      <v xml:space="preserve">	</v>
    </spb>
    <spb s="0">
      <v xml:space="preserve">Wikipedia	US Census	US Census	</v>
      <v xml:space="preserve">CC-BY-SA			</v>
      <v xml:space="preserve">http://en.wikipedia.org/wiki/United_States	https://www.census.gov/popest/data/state/asrh/2014/files/SC-EST2014-AGESEX-CIV.csv	http://www.census.gov/quickfacts/table/VET605214/	</v>
      <v xml:space="preserve">http://creativecommons.org/licenses/by-sa/3.0/			</v>
    </spb>
    <spb s="0">
      <v xml:space="preserve">Wikipedia	</v>
      <v xml:space="preserve">CC BY-SA 3.0	</v>
      <v xml:space="preserve">https://en.wikipedia.org/wiki/United_States	</v>
      <v xml:space="preserve">https://creativecommons.org/licenses/by-sa/3.0	</v>
    </spb>
    <spb s="0">
      <v xml:space="preserve">data.worldbank.org	</v>
      <v xml:space="preserve">	</v>
      <v xml:space="preserve">http://data.worldbank.org/indicator/SP.DYN.CBRT.IN	</v>
      <v xml:space="preserve">	</v>
    </spb>
    <spb s="0">
      <v xml:space="preserve">Wikipedia	</v>
      <v xml:space="preserve">CC-BY-SA	</v>
      <v xml:space="preserve">http://en.wikipedia.org/wiki/United_States	</v>
      <v xml:space="preserve">http://creativecommons.org/licenses/by-sa/3.0/	</v>
    </spb>
    <spb s="0">
      <v xml:space="preserve">data.worldbank.org	</v>
      <v xml:space="preserve">	</v>
      <v xml:space="preserve">http://data.worldbank.org/indicator/SP.DYN.TFRT.IN	</v>
      <v xml:space="preserve">	</v>
    </spb>
    <spb s="0">
      <v xml:space="preserve">US Census	</v>
      <v xml:space="preserve">	</v>
      <v xml:space="preserve">https://www.census.gov/popest/data/state/asrh/2014/files/SC-EST2014-AGESEX-CIV.csv	</v>
      <v xml:space="preserve">	</v>
    </spb>
    <spb s="0">
      <v xml:space="preserve">data.worldbank.org	</v>
      <v xml:space="preserve">	</v>
      <v xml:space="preserve">http://data.worldbank.org/indicator/SP.DYN.LE00.IN	</v>
      <v xml:space="preserve">	</v>
    </spb>
    <spb s="0">
      <v xml:space="preserve">data.worldbank.org	</v>
      <v xml:space="preserve">	</v>
      <v xml:space="preserve">http://data.worldbank.org/indicator/SP.DYN.IMRT.IN	</v>
      <v xml:space="preserve">	</v>
    </spb>
    <spb s="0">
      <v xml:space="preserve">data.worldbank.org	</v>
      <v xml:space="preserve">	</v>
      <v xml:space="preserve">http://data.worldbank.org/indicator/SP.URB.TOTL	</v>
      <v xml:space="preserve">	</v>
    </spb>
    <spb s="0">
      <v xml:space="preserve">data.worldbank.org	</v>
      <v xml:space="preserve">	</v>
      <v xml:space="preserve">http://data.worldbank.org/indicator/MS.MIL.TOTL.P1	</v>
      <v xml:space="preserve">	</v>
    </spb>
    <spb s="0">
      <v xml:space="preserve">data.worldbank.org	</v>
      <v xml:space="preserve">	</v>
      <v xml:space="preserve">http://data.worldbank.org/indicator/SH.MED.PHYS.ZS	</v>
      <v xml:space="preserve">	</v>
    </spb>
    <spb s="0">
      <v xml:space="preserve">data.worldbank.org	</v>
      <v xml:space="preserve">	</v>
      <v xml:space="preserve">http://data.worldbank.org/indicator/EN.ATM.CO2E.KT	</v>
      <v xml:space="preserve">	</v>
    </spb>
    <spb s="0">
      <v xml:space="preserve">data.worldbank.org	</v>
      <v xml:space="preserve">	</v>
      <v xml:space="preserve">http://data.worldbank.org/indicator/SH.STA.MMRT	</v>
      <v xml:space="preserve">	</v>
    </spb>
    <spb s="0">
      <v xml:space="preserve">data.worldbank.org	</v>
      <v xml:space="preserve">	</v>
      <v xml:space="preserve">http://data.worldbank.org/indicator/EG.USE.ELEC.KH.PC	</v>
      <v xml:space="preserve">	</v>
    </spb>
    <spb s="0">
      <v xml:space="preserve">data.worldbank.org	</v>
      <v xml:space="preserve">	</v>
      <v xml:space="preserve">http://data.worldbank.org/indicator/SL.TLF.CACT.ZS	</v>
      <v xml:space="preserve">	</v>
    </spb>
    <spb s="9">
      <v>10</v>
      <v>11</v>
      <v>12</v>
      <v>12</v>
      <v>13</v>
      <v>12</v>
      <v>12</v>
      <v>12</v>
      <v>14</v>
      <v>12</v>
      <v>12</v>
      <v>14</v>
      <v>12</v>
      <v>12</v>
      <v>15</v>
      <v>11</v>
      <v>16</v>
      <v>17</v>
      <v>12</v>
      <v>16</v>
      <v>18</v>
      <v>19</v>
      <v>20</v>
      <v>16</v>
      <v>12</v>
      <v>16</v>
      <v>21</v>
      <v>22</v>
      <v>23</v>
      <v>24</v>
      <v>16</v>
      <v>11</v>
      <v>16</v>
      <v>16</v>
      <v>16</v>
      <v>16</v>
      <v>16</v>
      <v>16</v>
      <v>16</v>
      <v>16</v>
      <v>16</v>
      <v>16</v>
      <v>25</v>
    </spb>
    <spb s="2">
      <v>1</v>
      <v>Name</v>
      <v>LearnMoreOnLink</v>
    </spb>
    <spb s="10">
      <v>2019</v>
      <v>2019</v>
      <v>square km</v>
      <v>per thousand (2018)</v>
      <v>2022</v>
      <v>2022</v>
      <v>2018</v>
      <v>per liter (2016)</v>
      <v>2019</v>
      <v>years (2018)</v>
      <v>2019</v>
      <v>per thousand (2018)</v>
      <v>2019</v>
      <v>2017</v>
      <v>2016</v>
      <v>2020</v>
      <v>2016</v>
      <v>2017</v>
      <v>kilotons per year (2016)</v>
      <v>deaths per 100,000 (2017)</v>
      <v>kWh (2014)</v>
      <v>2015</v>
      <v>2018</v>
      <v>2016</v>
      <v>2016</v>
      <v>2016</v>
      <v>2016</v>
      <v>2016</v>
      <v>2015</v>
      <v>2016</v>
      <v>2016</v>
      <v>2017</v>
      <v>2017</v>
      <v>2019</v>
    </spb>
    <spb s="8">
      <v>5</v>
    </spb>
    <spb s="8">
      <v>6</v>
    </spb>
    <spb s="8">
      <v>7</v>
    </spb>
    <spb s="8">
      <v>8</v>
    </spb>
    <spb s="8">
      <v>9</v>
    </spb>
    <spb s="8">
      <v>10</v>
    </spb>
    <spb s="8">
      <v>11</v>
    </spb>
    <spb s="8">
      <v>12</v>
    </spb>
    <spb s="0">
      <v xml:space="preserve">Wikipedia	</v>
      <v xml:space="preserve">CC BY-SA 3.0	</v>
      <v xml:space="preserve">https://en.wikipedia.org/wiki/Washington,_D.C.	</v>
      <v xml:space="preserve">https://creativecommons.org/licenses/by-sa/3.0	</v>
    </spb>
    <spb s="0">
      <v xml:space="preserve">Wikipedia	</v>
      <v xml:space="preserve">CC-BY-SA	</v>
      <v xml:space="preserve">http://en.wikipedia.org/wiki/Washington,_D.C.	</v>
      <v xml:space="preserve">http://creativecommons.org/licenses/by-sa/3.0/	</v>
    </spb>
    <spb s="0">
      <v xml:space="preserve">Wikipedia	US Census	US Census	</v>
      <v xml:space="preserve">CC-BY-SA			</v>
      <v xml:space="preserve">http://en.wikipedia.org/wiki/Washington,_D.C.	https://www.census.gov/popest/data/state/asrh/2014/files/SC-EST2014-AGESEX-CIV.csv	http://www.census.gov/quickfacts/table/WTN220212/11	</v>
      <v xml:space="preserve">http://creativecommons.org/licenses/by-sa/3.0/			</v>
    </spb>
    <spb s="11">
      <v>37</v>
      <v>37</v>
      <v>16</v>
      <v>37</v>
      <v>37</v>
      <v>37</v>
      <v>38</v>
      <v>16</v>
      <v>37</v>
      <v>16</v>
      <v>39</v>
      <v>16</v>
      <v>16</v>
      <v>16</v>
      <v>16</v>
      <v>39</v>
      <v>16</v>
      <v>16</v>
      <v>16</v>
      <v>16</v>
      <v>16</v>
      <v>16</v>
      <v>16</v>
      <v>16</v>
      <v>16</v>
      <v>39</v>
      <v>16</v>
      <v>16</v>
      <v>16</v>
      <v>16</v>
    </spb>
    <spb s="2">
      <v>2</v>
      <v>Name</v>
      <v>LearnMoreOnLink</v>
    </spb>
    <spb s="12">
      <v>square km</v>
      <v>2015</v>
      <v>2020</v>
      <v>2016</v>
      <v>2016</v>
      <v>2015</v>
      <v>2015</v>
      <v>2010, 2016</v>
      <v>persons (2015)</v>
      <v>persons (2015)</v>
      <v>2015</v>
      <v>2015</v>
      <v>2015</v>
      <v>2015</v>
      <v>persons (2015)</v>
      <v>persons (2015)</v>
      <v>2015</v>
      <v>persons age 16+, 2015</v>
      <v>persons (2015)</v>
      <v>under age 65, 2015</v>
      <v>2015</v>
      <v>persons age 25+, 2015</v>
      <v>persons (2015)</v>
      <v>persons (2015)</v>
      <v>persons (2015)</v>
    </spb>
    <spb s="8">
      <v>13</v>
    </spb>
    <spb s="0">
      <v xml:space="preserve">Wikipedia	</v>
      <v xml:space="preserve">CC BY-SA 3.0	</v>
      <v xml:space="preserve">https://en.wikipedia.org/wiki/California	</v>
      <v xml:space="preserve">https://creativecommons.org/licenses/by-sa/3.0	</v>
    </spb>
    <spb s="0">
      <v xml:space="preserve">Wikipedia	</v>
      <v xml:space="preserve">CC-BY-SA	</v>
      <v xml:space="preserve">http://en.wikipedia.org/wiki/California	</v>
      <v xml:space="preserve">http://creativecommons.org/licenses/by-sa/3.0/	</v>
    </spb>
    <spb s="0">
      <v xml:space="preserve">Wikipedia	US Census	US Census	</v>
      <v xml:space="preserve">CC-BY-SA			</v>
      <v xml:space="preserve">http://en.wikipedia.org/wiki/California	https://www.census.gov/popest/data/state/asrh/2014/files/SC-EST2014-AGESEX-CIV.csv	http://www.census.gov/quickfacts/table/VET605214/06	</v>
      <v xml:space="preserve">http://creativecommons.org/licenses/by-sa/3.0/			</v>
    </spb>
    <spb s="13">
      <v>44</v>
      <v>44</v>
      <v>16</v>
      <v>44</v>
      <v>44</v>
      <v>44</v>
      <v>45</v>
      <v>44</v>
      <v>16</v>
      <v>44</v>
      <v>16</v>
      <v>46</v>
      <v>44</v>
      <v>16</v>
      <v>16</v>
      <v>16</v>
      <v>16</v>
      <v>46</v>
      <v>16</v>
      <v>16</v>
      <v>16</v>
      <v>16</v>
      <v>16</v>
      <v>16</v>
      <v>16</v>
      <v>16</v>
      <v>16</v>
      <v>46</v>
      <v>16</v>
      <v>16</v>
      <v>16</v>
      <v>16</v>
    </spb>
    <spb s="2">
      <v>3</v>
      <v>Name</v>
      <v>LearnMoreOnLink</v>
    </spb>
    <spb s="12">
      <v>square km</v>
      <v>2015</v>
      <v>2024</v>
      <v>2016</v>
      <v>2016</v>
      <v>2015</v>
      <v>2015</v>
      <v>2010, 2016</v>
      <v>persons (2015)</v>
      <v>persons (2015)</v>
      <v>2015</v>
      <v>2015</v>
      <v>2015</v>
      <v>2015</v>
      <v>persons (2015)</v>
      <v>persons (2015)</v>
      <v>2015</v>
      <v>persons age 16+, 2015</v>
      <v>persons (2015)</v>
      <v>under age 65, 2015</v>
      <v>2015</v>
      <v>persons age 25+, 2015</v>
      <v>persons (2015)</v>
      <v>persons (2015)</v>
      <v>persons (2015)</v>
    </spb>
    <spb s="0">
      <v xml:space="preserve">Wikipedia	</v>
      <v xml:space="preserve">CC BY-SA 3.0	</v>
      <v xml:space="preserve">https://en.wikipedia.org/wiki/Colorado	</v>
      <v xml:space="preserve">https://creativecommons.org/licenses/by-sa/3.0	</v>
    </spb>
    <spb s="0">
      <v xml:space="preserve">Wikipedia	</v>
      <v xml:space="preserve">CC-BY-SA	</v>
      <v xml:space="preserve">http://en.wikipedia.org/wiki/Colorado	</v>
      <v xml:space="preserve">http://creativecommons.org/licenses/by-sa/3.0/	</v>
    </spb>
    <spb s="0">
      <v xml:space="preserve">Wikipedia	US Census	US Census	</v>
      <v xml:space="preserve">CC-BY-SA			</v>
      <v xml:space="preserve">http://en.wikipedia.org/wiki/Colorado	https://www.census.gov/popest/data/state/asrh/2014/files/SC-EST2014-AGESEX-CIV.csv	http://www.census.gov/quickfacts/table/WTN220212/08	</v>
      <v xml:space="preserve">http://creativecommons.org/licenses/by-sa/3.0/			</v>
    </spb>
    <spb s="13">
      <v>50</v>
      <v>50</v>
      <v>16</v>
      <v>50</v>
      <v>50</v>
      <v>50</v>
      <v>51</v>
      <v>50</v>
      <v>16</v>
      <v>50</v>
      <v>16</v>
      <v>52</v>
      <v>50</v>
      <v>16</v>
      <v>16</v>
      <v>16</v>
      <v>16</v>
      <v>52</v>
      <v>16</v>
      <v>16</v>
      <v>16</v>
      <v>16</v>
      <v>16</v>
      <v>16</v>
      <v>16</v>
      <v>16</v>
      <v>16</v>
      <v>52</v>
      <v>16</v>
      <v>16</v>
      <v>16</v>
      <v>16</v>
    </spb>
    <spb s="0">
      <v xml:space="preserve">Wikipedia	</v>
      <v xml:space="preserve">CC BY-SA 3.0	</v>
      <v xml:space="preserve">https://en.wikipedia.org/wiki/Connecticut	</v>
      <v xml:space="preserve">https://creativecommons.org/licenses/by-sa/3.0	</v>
    </spb>
    <spb s="0">
      <v xml:space="preserve">Wikipedia	</v>
      <v xml:space="preserve">CC-BY-SA	</v>
      <v xml:space="preserve">http://en.wikipedia.org/wiki/Connecticut	</v>
      <v xml:space="preserve">http://creativecommons.org/licenses/by-sa/3.0/	</v>
    </spb>
    <spb s="0">
      <v xml:space="preserve">Wikipedia	US Census	Bookdepository	</v>
      <v xml:space="preserve">CC-BY-SA			</v>
      <v xml:space="preserve">http://en.wikipedia.org/wiki/Connecticut	https://www.census.gov/popest/data/state/asrh/2014/files/SC-EST2014-AGESEX-CIV.csv	https://www.bookdepository.com/author/Etc-Connecticut-Laws	</v>
      <v xml:space="preserve">http://creativecommons.org/licenses/by-sa/3.0/			</v>
    </spb>
    <spb s="13">
      <v>54</v>
      <v>54</v>
      <v>16</v>
      <v>54</v>
      <v>54</v>
      <v>54</v>
      <v>55</v>
      <v>54</v>
      <v>16</v>
      <v>54</v>
      <v>16</v>
      <v>56</v>
      <v>54</v>
      <v>16</v>
      <v>16</v>
      <v>16</v>
      <v>16</v>
      <v>56</v>
      <v>16</v>
      <v>16</v>
      <v>16</v>
      <v>16</v>
      <v>16</v>
      <v>16</v>
      <v>16</v>
      <v>16</v>
      <v>16</v>
      <v>56</v>
      <v>16</v>
      <v>16</v>
      <v>16</v>
      <v>16</v>
    </spb>
    <spb s="2">
      <v>4</v>
      <v>Name</v>
      <v>LearnMoreOnLink</v>
    </spb>
    <spb s="0">
      <v xml:space="preserve">Wikipedia	</v>
      <v xml:space="preserve">CC BY-SA 3.0	</v>
      <v xml:space="preserve">https://en.wikipedia.org/wiki/Florida	</v>
      <v xml:space="preserve">https://creativecommons.org/licenses/by-sa/3.0	</v>
    </spb>
    <spb s="0">
      <v xml:space="preserve">Wikipedia	</v>
      <v xml:space="preserve">CC-BY-SA	</v>
      <v xml:space="preserve">http://en.wikipedia.org/wiki/Florida	</v>
      <v xml:space="preserve">http://creativecommons.org/licenses/by-sa/3.0/	</v>
    </spb>
    <spb s="0">
      <v xml:space="preserve">Wikipedia	US Census	US Census	</v>
      <v xml:space="preserve">CC-BY-SA			</v>
      <v xml:space="preserve">http://en.wikipedia.org/wiki/Florida	https://www.census.gov/popest/data/state/asrh/2014/files/SC-EST2014-AGESEX-CIV.csv	http://www.census.gov/quickfacts/table/WTN220212/12	</v>
      <v xml:space="preserve">http://creativecommons.org/licenses/by-sa/3.0/			</v>
    </spb>
    <spb s="13">
      <v>59</v>
      <v>59</v>
      <v>16</v>
      <v>59</v>
      <v>59</v>
      <v>59</v>
      <v>60</v>
      <v>59</v>
      <v>16</v>
      <v>59</v>
      <v>16</v>
      <v>61</v>
      <v>59</v>
      <v>16</v>
      <v>16</v>
      <v>16</v>
      <v>16</v>
      <v>61</v>
      <v>16</v>
      <v>16</v>
      <v>16</v>
      <v>16</v>
      <v>16</v>
      <v>16</v>
      <v>16</v>
      <v>16</v>
      <v>16</v>
      <v>61</v>
      <v>16</v>
      <v>16</v>
      <v>16</v>
      <v>16</v>
    </spb>
    <spb s="0">
      <v xml:space="preserve">Wikipedia	</v>
      <v xml:space="preserve">CC BY-SA 3.0	</v>
      <v xml:space="preserve">https://en.wikipedia.org/wiki/Georgia_(U.S._state)	</v>
      <v xml:space="preserve">https://creativecommons.org/licenses/by-sa/3.0	</v>
    </spb>
    <spb s="0">
      <v xml:space="preserve">Wikipedia	</v>
      <v xml:space="preserve">CC-BY-SA	</v>
      <v xml:space="preserve">http://en.wikipedia.org/wiki/Georgia_(U.S._state)	</v>
      <v xml:space="preserve">http://creativecommons.org/licenses/by-sa/3.0/	</v>
    </spb>
    <spb s="0">
      <v xml:space="preserve">Wikipedia	US Census	US Census	</v>
      <v xml:space="preserve">CC-BY-SA			</v>
      <v xml:space="preserve">http://en.wikipedia.org/wiki/Georgia_(U.S._state)	https://www.census.gov/popest/data/state/asrh/2014/files/SC-EST2014-AGESEX-CIV.csv	http://www.census.gov/quickfacts/table/WTN220212/13	</v>
      <v xml:space="preserve">http://creativecommons.org/licenses/by-sa/3.0/			</v>
    </spb>
    <spb s="13">
      <v>63</v>
      <v>63</v>
      <v>16</v>
      <v>63</v>
      <v>63</v>
      <v>63</v>
      <v>64</v>
      <v>63</v>
      <v>16</v>
      <v>63</v>
      <v>16</v>
      <v>65</v>
      <v>63</v>
      <v>16</v>
      <v>16</v>
      <v>16</v>
      <v>16</v>
      <v>65</v>
      <v>16</v>
      <v>16</v>
      <v>16</v>
      <v>16</v>
      <v>16</v>
      <v>16</v>
      <v>16</v>
      <v>16</v>
      <v>16</v>
      <v>65</v>
      <v>16</v>
      <v>16</v>
      <v>16</v>
      <v>16</v>
    </spb>
    <spb s="0">
      <v xml:space="preserve">Wikipedia	</v>
      <v xml:space="preserve">CC BY-SA 3.0	</v>
      <v xml:space="preserve">https://en.wikipedia.org/wiki/Iowa	</v>
      <v xml:space="preserve">https://creativecommons.org/licenses/by-sa/3.0	</v>
    </spb>
    <spb s="0">
      <v xml:space="preserve">Wikipedia	</v>
      <v xml:space="preserve">CC-BY-SA	</v>
      <v xml:space="preserve">http://en.wikipedia.org/wiki/Iowa	</v>
      <v xml:space="preserve">http://creativecommons.org/licenses/by-sa/3.0/	</v>
    </spb>
    <spb s="0">
      <v xml:space="preserve">Wikipedia	US Census	US Census	</v>
      <v xml:space="preserve">CC-BY-SA			</v>
      <v xml:space="preserve">http://en.wikipedia.org/wiki/Iowa	https://www.census.gov/popest/data/state/asrh/2014/files/SC-EST2014-AGESEX-CIV.csv	http://www.census.gov/quickfacts/table/WTN220212/19	</v>
      <v xml:space="preserve">http://creativecommons.org/licenses/by-sa/3.0/			</v>
    </spb>
    <spb s="13">
      <v>67</v>
      <v>67</v>
      <v>16</v>
      <v>67</v>
      <v>67</v>
      <v>67</v>
      <v>68</v>
      <v>67</v>
      <v>16</v>
      <v>67</v>
      <v>16</v>
      <v>69</v>
      <v>67</v>
      <v>16</v>
      <v>16</v>
      <v>16</v>
      <v>16</v>
      <v>69</v>
      <v>16</v>
      <v>16</v>
      <v>16</v>
      <v>16</v>
      <v>16</v>
      <v>16</v>
      <v>16</v>
      <v>16</v>
      <v>16</v>
      <v>69</v>
      <v>16</v>
      <v>16</v>
      <v>16</v>
      <v>16</v>
    </spb>
    <spb s="0">
      <v xml:space="preserve">Wikipedia	</v>
      <v xml:space="preserve">CC BY-SA 3.0	</v>
      <v xml:space="preserve">https://en.wikipedia.org/wiki/Minnesota	</v>
      <v xml:space="preserve">https://creativecommons.org/licenses/by-sa/3.0	</v>
    </spb>
    <spb s="0">
      <v xml:space="preserve">Wikipedia	</v>
      <v xml:space="preserve">CC-BY-SA	</v>
      <v xml:space="preserve">http://en.wikipedia.org/wiki/Minnesota	</v>
      <v xml:space="preserve">http://creativecommons.org/licenses/by-sa/3.0/	</v>
    </spb>
    <spb s="0">
      <v xml:space="preserve">Wikipedia	US Census	US Census	</v>
      <v xml:space="preserve">CC-BY-SA			</v>
      <v xml:space="preserve">http://en.wikipedia.org/wiki/Minnesota	https://www.census.gov/popest/data/state/asrh/2014/files/SC-EST2014-AGESEX-CIV.csv	http://www.census.gov/quickfacts/table/WTN220212/27	</v>
      <v xml:space="preserve">http://creativecommons.org/licenses/by-sa/3.0/			</v>
    </spb>
    <spb s="13">
      <v>71</v>
      <v>71</v>
      <v>16</v>
      <v>71</v>
      <v>71</v>
      <v>71</v>
      <v>72</v>
      <v>71</v>
      <v>16</v>
      <v>71</v>
      <v>16</v>
      <v>73</v>
      <v>71</v>
      <v>16</v>
      <v>16</v>
      <v>16</v>
      <v>16</v>
      <v>73</v>
      <v>16</v>
      <v>16</v>
      <v>16</v>
      <v>16</v>
      <v>16</v>
      <v>16</v>
      <v>16</v>
      <v>16</v>
      <v>16</v>
      <v>73</v>
      <v>16</v>
      <v>16</v>
      <v>16</v>
      <v>16</v>
    </spb>
    <spb s="0">
      <v xml:space="preserve">Wikipedia	</v>
      <v xml:space="preserve">CC BY-SA 3.0	</v>
      <v xml:space="preserve">https://en.wikipedia.org/wiki/Nebraska	</v>
      <v xml:space="preserve">https://creativecommons.org/licenses/by-sa/3.0	</v>
    </spb>
    <spb s="0">
      <v xml:space="preserve">Wikipedia	</v>
      <v xml:space="preserve">CC-BY-SA	</v>
      <v xml:space="preserve">http://en.wikipedia.org/wiki/Nebraska	</v>
      <v xml:space="preserve">http://creativecommons.org/licenses/by-sa/3.0/	</v>
    </spb>
    <spb s="0">
      <v xml:space="preserve">Wikipedia	US Census	LinkedIn	</v>
      <v xml:space="preserve">CC-BY-SA			</v>
      <v xml:space="preserve">http://en.wikipedia.org/wiki/Nebraska	https://www.census.gov/popest/data/state/asrh/2014/files/SC-EST2014-AGESEX-CIV.csv	https://www.linkedin.com/company/audubon-nebraska	</v>
      <v xml:space="preserve">http://creativecommons.org/licenses/by-sa/3.0/			</v>
    </spb>
    <spb s="13">
      <v>75</v>
      <v>75</v>
      <v>16</v>
      <v>75</v>
      <v>75</v>
      <v>75</v>
      <v>76</v>
      <v>75</v>
      <v>16</v>
      <v>75</v>
      <v>16</v>
      <v>77</v>
      <v>75</v>
      <v>16</v>
      <v>16</v>
      <v>16</v>
      <v>16</v>
      <v>77</v>
      <v>16</v>
      <v>16</v>
      <v>16</v>
      <v>16</v>
      <v>16</v>
      <v>16</v>
      <v>16</v>
      <v>16</v>
      <v>16</v>
      <v>77</v>
      <v>16</v>
      <v>16</v>
      <v>16</v>
      <v>16</v>
    </spb>
    <spb s="0">
      <v xml:space="preserve">Wikipedia	</v>
      <v xml:space="preserve">CC BY-SA 3.0	</v>
      <v xml:space="preserve">https://en.wikipedia.org/wiki/Oklahoma	</v>
      <v xml:space="preserve">https://creativecommons.org/licenses/by-sa/3.0	</v>
    </spb>
    <spb s="0">
      <v xml:space="preserve">Wikipedia	</v>
      <v xml:space="preserve">CC-BY-SA	</v>
      <v xml:space="preserve">http://en.wikipedia.org/wiki/Oklahoma	</v>
      <v xml:space="preserve">http://creativecommons.org/licenses/by-sa/3.0/	</v>
    </spb>
    <spb s="0">
      <v xml:space="preserve">Wikipedia	US Census	US Census	</v>
      <v xml:space="preserve">CC-BY-SA			</v>
      <v xml:space="preserve">http://en.wikipedia.org/wiki/Oklahoma	https://www.census.gov/popest/data/state/asrh/2014/files/SC-EST2014-AGESEX-CIV.csv	http://www.census.gov/quickfacts/table/WTN220212/40	</v>
      <v xml:space="preserve">http://creativecommons.org/licenses/by-sa/3.0/			</v>
    </spb>
    <spb s="13">
      <v>79</v>
      <v>79</v>
      <v>16</v>
      <v>79</v>
      <v>79</v>
      <v>79</v>
      <v>80</v>
      <v>79</v>
      <v>16</v>
      <v>79</v>
      <v>16</v>
      <v>81</v>
      <v>79</v>
      <v>16</v>
      <v>16</v>
      <v>16</v>
      <v>16</v>
      <v>81</v>
      <v>16</v>
      <v>16</v>
      <v>16</v>
      <v>16</v>
      <v>16</v>
      <v>16</v>
      <v>16</v>
      <v>16</v>
      <v>16</v>
      <v>81</v>
      <v>16</v>
      <v>16</v>
      <v>16</v>
      <v>16</v>
    </spb>
    <spb s="2">
      <v>5</v>
      <v>Name</v>
      <v>LearnMoreOnLink</v>
    </spb>
    <spb s="0">
      <v xml:space="preserve">Wikipedia	</v>
      <v xml:space="preserve">CC BY-SA 3.0	</v>
      <v xml:space="preserve">https://en.wikipedia.org/wiki/Pennsylvania	</v>
      <v xml:space="preserve">https://creativecommons.org/licenses/by-sa/3.0	</v>
    </spb>
    <spb s="0">
      <v xml:space="preserve">Wikipedia	</v>
      <v xml:space="preserve">CC-BY-SA	</v>
      <v xml:space="preserve">http://en.wikipedia.org/wiki/Pennsylvania	</v>
      <v xml:space="preserve">http://creativecommons.org/licenses/by-sa/3.0/	</v>
    </spb>
    <spb s="0">
      <v xml:space="preserve">Wikipedia	US Census	US Census	</v>
      <v xml:space="preserve">CC-BY-SA			</v>
      <v xml:space="preserve">http://en.wikipedia.org/wiki/Pennsylvania	https://www.census.gov/popest/data/state/asrh/2014/files/SC-EST2014-AGESEX-CIV.csv	http://www.census.gov/quickfacts/table/WTN220212/42	</v>
      <v xml:space="preserve">http://creativecommons.org/licenses/by-sa/3.0/			</v>
    </spb>
    <spb s="13">
      <v>84</v>
      <v>84</v>
      <v>16</v>
      <v>84</v>
      <v>84</v>
      <v>84</v>
      <v>85</v>
      <v>84</v>
      <v>16</v>
      <v>84</v>
      <v>16</v>
      <v>86</v>
      <v>84</v>
      <v>16</v>
      <v>16</v>
      <v>16</v>
      <v>16</v>
      <v>86</v>
      <v>16</v>
      <v>16</v>
      <v>16</v>
      <v>16</v>
      <v>16</v>
      <v>16</v>
      <v>16</v>
      <v>16</v>
      <v>16</v>
      <v>86</v>
      <v>16</v>
      <v>16</v>
      <v>16</v>
      <v>16</v>
    </spb>
    <spb s="0">
      <v xml:space="preserve">Wikipedia	</v>
      <v xml:space="preserve">CC BY-SA 3.0	</v>
      <v xml:space="preserve">https://en.wikipedia.org/wiki/South_Carolina	</v>
      <v xml:space="preserve">https://creativecommons.org/licenses/by-sa/3.0	</v>
    </spb>
    <spb s="0">
      <v xml:space="preserve">Wikipedia	</v>
      <v xml:space="preserve">CC-BY-SA	</v>
      <v xml:space="preserve">http://en.wikipedia.org/wiki/South_Carolina	</v>
      <v xml:space="preserve">http://creativecommons.org/licenses/by-sa/3.0/	</v>
    </spb>
    <spb s="0">
      <v xml:space="preserve">Wikipedia	US Census	US Census	</v>
      <v xml:space="preserve">CC-BY-SA			</v>
      <v xml:space="preserve">http://en.wikipedia.org/wiki/South_Carolina	https://www.census.gov/popest/data/state/asrh/2014/files/SC-EST2014-AGESEX-CIV.csv	http://www.census.gov/quickfacts/table/WTN220212/45	</v>
      <v xml:space="preserve">http://creativecommons.org/licenses/by-sa/3.0/			</v>
    </spb>
    <spb s="13">
      <v>88</v>
      <v>88</v>
      <v>16</v>
      <v>88</v>
      <v>88</v>
      <v>88</v>
      <v>89</v>
      <v>88</v>
      <v>16</v>
      <v>88</v>
      <v>16</v>
      <v>90</v>
      <v>88</v>
      <v>16</v>
      <v>16</v>
      <v>16</v>
      <v>16</v>
      <v>90</v>
      <v>16</v>
      <v>16</v>
      <v>16</v>
      <v>16</v>
      <v>16</v>
      <v>16</v>
      <v>16</v>
      <v>16</v>
      <v>16</v>
      <v>90</v>
      <v>16</v>
      <v>16</v>
      <v>16</v>
      <v>16</v>
    </spb>
    <spb s="0">
      <v xml:space="preserve">Wikipedia	</v>
      <v xml:space="preserve">CC BY-SA 3.0	</v>
      <v xml:space="preserve">https://en.wikipedia.org/wiki/Texas	</v>
      <v xml:space="preserve">https://creativecommons.org/licenses/by-sa/3.0	</v>
    </spb>
    <spb s="0">
      <v xml:space="preserve">Wikipedia	</v>
      <v xml:space="preserve">CC-BY-SA	</v>
      <v xml:space="preserve">http://en.wikipedia.org/wiki/Texas	</v>
      <v xml:space="preserve">http://creativecommons.org/licenses/by-sa/3.0/	</v>
    </spb>
    <spb s="0">
      <v xml:space="preserve">Wikipedia	US Census	US Census	</v>
      <v xml:space="preserve">CC-BY-SA			</v>
      <v xml:space="preserve">http://en.wikipedia.org/wiki/Texas	https://www.census.gov/popest/data/state/asrh/2014/files/SC-EST2014-AGESEX-CIV.csv	http://www.census.gov/quickfacts/table/WTN220212/48	</v>
      <v xml:space="preserve">http://creativecommons.org/licenses/by-sa/3.0/			</v>
    </spb>
    <spb s="13">
      <v>92</v>
      <v>92</v>
      <v>16</v>
      <v>92</v>
      <v>92</v>
      <v>92</v>
      <v>93</v>
      <v>92</v>
      <v>16</v>
      <v>92</v>
      <v>16</v>
      <v>94</v>
      <v>92</v>
      <v>16</v>
      <v>16</v>
      <v>16</v>
      <v>16</v>
      <v>94</v>
      <v>16</v>
      <v>16</v>
      <v>16</v>
      <v>16</v>
      <v>16</v>
      <v>16</v>
      <v>16</v>
      <v>16</v>
      <v>16</v>
      <v>94</v>
      <v>16</v>
      <v>16</v>
      <v>16</v>
      <v>16</v>
    </spb>
    <spb s="0">
      <v xml:space="preserve">Wikipedia	</v>
      <v xml:space="preserve">CC BY-SA 3.0	</v>
      <v xml:space="preserve">https://en.wikipedia.org/wiki/Utah	</v>
      <v xml:space="preserve">https://creativecommons.org/licenses/by-sa/3.0	</v>
    </spb>
    <spb s="0">
      <v xml:space="preserve">Wikipedia	</v>
      <v xml:space="preserve">CC-BY-SA	</v>
      <v xml:space="preserve">http://en.wikipedia.org/wiki/Utah	</v>
      <v xml:space="preserve">http://creativecommons.org/licenses/by-sa/3.0/	</v>
    </spb>
    <spb s="0">
      <v xml:space="preserve">Wikipedia	US Census	US Census	</v>
      <v xml:space="preserve">CC-BY-SA			</v>
      <v xml:space="preserve">http://en.wikipedia.org/wiki/Utah	https://www.census.gov/popest/data/state/asrh/2014/files/SC-EST2014-AGESEX-CIV.csv	http://www.census.gov/quickfacts/table/WTN220212/49	</v>
      <v xml:space="preserve">http://creativecommons.org/licenses/by-sa/3.0/			</v>
    </spb>
    <spb s="13">
      <v>96</v>
      <v>96</v>
      <v>16</v>
      <v>96</v>
      <v>96</v>
      <v>96</v>
      <v>97</v>
      <v>96</v>
      <v>16</v>
      <v>96</v>
      <v>16</v>
      <v>98</v>
      <v>96</v>
      <v>16</v>
      <v>16</v>
      <v>16</v>
      <v>16</v>
      <v>98</v>
      <v>16</v>
      <v>16</v>
      <v>16</v>
      <v>16</v>
      <v>16</v>
      <v>16</v>
      <v>16</v>
      <v>16</v>
      <v>16</v>
      <v>98</v>
      <v>16</v>
      <v>16</v>
      <v>16</v>
      <v>16</v>
    </spb>
    <spb s="0">
      <v xml:space="preserve">Wikipedia	</v>
      <v xml:space="preserve">CC BY-SA 3.0	</v>
      <v xml:space="preserve">https://en.wikipedia.org/wiki/Virginia	</v>
      <v xml:space="preserve">https://creativecommons.org/licenses/by-sa/3.0	</v>
    </spb>
    <spb s="0">
      <v xml:space="preserve">Wikipedia	</v>
      <v xml:space="preserve">CC-BY-SA	</v>
      <v xml:space="preserve">http://en.wikipedia.org/wiki/Virginia	</v>
      <v xml:space="preserve">http://creativecommons.org/licenses/by-sa/3.0/	</v>
    </spb>
    <spb s="0">
      <v xml:space="preserve">Wikipedia	US Census	US Census	</v>
      <v xml:space="preserve">CC-BY-SA			</v>
      <v xml:space="preserve">http://en.wikipedia.org/wiki/Virginia	https://www.census.gov/popest/data/state/asrh/2014/files/SC-EST2014-AGESEX-CIV.csv	http://www.census.gov/quickfacts/table/WTN220212/51	</v>
      <v xml:space="preserve">http://creativecommons.org/licenses/by-sa/3.0/			</v>
    </spb>
    <spb s="13">
      <v>100</v>
      <v>100</v>
      <v>16</v>
      <v>100</v>
      <v>100</v>
      <v>100</v>
      <v>101</v>
      <v>100</v>
      <v>16</v>
      <v>100</v>
      <v>16</v>
      <v>102</v>
      <v>100</v>
      <v>16</v>
      <v>16</v>
      <v>16</v>
      <v>16</v>
      <v>102</v>
      <v>16</v>
      <v>16</v>
      <v>16</v>
      <v>16</v>
      <v>16</v>
      <v>16</v>
      <v>16</v>
      <v>16</v>
      <v>16</v>
      <v>102</v>
      <v>16</v>
      <v>16</v>
      <v>16</v>
      <v>16</v>
    </spb>
    <spb s="0">
      <v xml:space="preserve">Wikipedia	</v>
      <v xml:space="preserve">CC BY-SA 3.0	</v>
      <v xml:space="preserve">https://en.wikipedia.org/wiki/Wisconsin	</v>
      <v xml:space="preserve">https://creativecommons.org/licenses/by-sa/3.0	</v>
    </spb>
    <spb s="0">
      <v xml:space="preserve">Wikipedia	</v>
      <v xml:space="preserve">CC-BY-SA	</v>
      <v xml:space="preserve">http://en.wikipedia.org/wiki/Wisconsin	</v>
      <v xml:space="preserve">http://creativecommons.org/licenses/by-sa/3.0/	</v>
    </spb>
    <spb s="0">
      <v xml:space="preserve">Wikipedia	US Census	US Census	</v>
      <v xml:space="preserve">CC-BY-SA			</v>
      <v xml:space="preserve">http://en.wikipedia.org/wiki/Wisconsin	https://www.census.gov/popest/data/state/asrh/2014/files/SC-EST2014-AGESEX-CIV.csv	http://www.census.gov/quickfacts/table/VET605214/55	</v>
      <v xml:space="preserve">http://creativecommons.org/licenses/by-sa/3.0/			</v>
    </spb>
    <spb s="13">
      <v>104</v>
      <v>104</v>
      <v>16</v>
      <v>104</v>
      <v>104</v>
      <v>104</v>
      <v>105</v>
      <v>104</v>
      <v>16</v>
      <v>104</v>
      <v>16</v>
      <v>106</v>
      <v>104</v>
      <v>16</v>
      <v>16</v>
      <v>16</v>
      <v>16</v>
      <v>106</v>
      <v>16</v>
      <v>16</v>
      <v>16</v>
      <v>16</v>
      <v>16</v>
      <v>16</v>
      <v>16</v>
      <v>16</v>
      <v>16</v>
      <v>106</v>
      <v>16</v>
      <v>16</v>
      <v>16</v>
      <v>16</v>
    </spb>
    <spb s="0">
      <v xml:space="preserve">Wikipedia	</v>
      <v xml:space="preserve">CC BY-SA 3.0	</v>
      <v xml:space="preserve">https://en.wikipedia.org/wiki/Richmond,_Virginia	</v>
      <v xml:space="preserve">https://creativecommons.org/licenses/by-sa/3.0	</v>
    </spb>
    <spb s="1">
      <v>108</v>
      <v>108</v>
      <v>108</v>
      <v>108</v>
      <v>108</v>
      <v>108</v>
      <v>108</v>
      <v>108</v>
      <v>108</v>
    </spb>
    <spb s="0">
      <v xml:space="preserve">Wikipedia	Wikipedia	</v>
      <v xml:space="preserve">CC-BY-SA	CC-BY-SA	</v>
      <v xml:space="preserve">http://en.wikipedia.org/wiki/Burnaby	http://de.wikipedia.org/wiki/Burnaby	</v>
      <v xml:space="preserve">http://creativecommons.org/licenses/by-sa/3.0/	http://creativecommons.org/licenses/by-sa/3.0/	</v>
    </spb>
    <spb s="0">
      <v xml:space="preserve">Wikipedia	</v>
      <v xml:space="preserve">CC BY-SA 3.0	</v>
      <v xml:space="preserve">https://en.wikipedia.org/wiki/Burnaby	</v>
      <v xml:space="preserve">https://creativecommons.org/licenses/by-sa/3.0	</v>
    </spb>
    <spb s="14">
      <v>110</v>
      <v>111</v>
      <v>111</v>
      <v>111</v>
      <v>111</v>
      <v>111</v>
      <v>111</v>
      <v>111</v>
      <v>111</v>
      <v>111</v>
    </spb>
    <spb s="2">
      <v>6</v>
      <v>Name</v>
      <v>LearnMoreOnLink</v>
    </spb>
    <spb s="7">
      <v>square km</v>
      <v>2021</v>
    </spb>
    <spb s="0">
      <v xml:space="preserve">Wikipedia	Cia	travel.state.gov	</v>
      <v xml:space="preserve">CC-BY-SA			</v>
      <v xml:space="preserve">http://en.wikipedia.org/wiki/Canada	https://www.cia.gov/library/publications/the-world-factbook/geos/ca.html?Transportation	https://travel.state.gov/content/travel/en/international-travel/International-Travel-Country-Information-Pages/Canada.html	</v>
      <v xml:space="preserve">http://creativecommons.org/licenses/by-sa/3.0/			</v>
    </spb>
    <spb s="0">
      <v xml:space="preserve">Wikipedia	</v>
      <v xml:space="preserve">CC BY-SA 3.0	</v>
      <v xml:space="preserve">https://en.wikipedia.org/wiki/Canada	</v>
      <v xml:space="preserve">https://creativecommons.org/licenses/by-sa/3.0	</v>
    </spb>
    <spb s="0">
      <v xml:space="preserve">Wikipedia	</v>
      <v xml:space="preserve">CC-BY-SA	</v>
      <v xml:space="preserve">http://en.wikipedia.org/wiki/Canada	</v>
      <v xml:space="preserve">http://creativecommons.org/licenses/by-sa/3.0/	</v>
    </spb>
    <spb s="0">
      <v xml:space="preserve">Cia	</v>
      <v xml:space="preserve">	</v>
      <v xml:space="preserve">https://www.cia.gov/library/publications/the-world-factbook/geos/ca.html?Transportation	</v>
      <v xml:space="preserve">	</v>
    </spb>
    <spb s="15">
      <v>10</v>
      <v>115</v>
      <v>116</v>
      <v>116</v>
      <v>13</v>
      <v>116</v>
      <v>116</v>
      <v>116</v>
      <v>117</v>
      <v>116</v>
      <v>116</v>
      <v>117</v>
      <v>116</v>
      <v>116</v>
      <v>118</v>
      <v>15</v>
      <v>115</v>
      <v>118</v>
      <v>17</v>
      <v>116</v>
      <v>118</v>
      <v>18</v>
      <v>19</v>
      <v>20</v>
      <v>118</v>
      <v>118</v>
      <v>116</v>
      <v>118</v>
      <v>21</v>
      <v>22</v>
      <v>23</v>
      <v>24</v>
      <v>118</v>
      <v>115</v>
      <v>118</v>
      <v>118</v>
      <v>118</v>
      <v>118</v>
      <v>118</v>
      <v>118</v>
      <v>118</v>
      <v>118</v>
      <v>118</v>
      <v>118</v>
      <v>25</v>
    </spb>
    <spb s="10">
      <v>2019</v>
      <v>2019</v>
      <v>square km</v>
      <v>per thousand (2018)</v>
      <v>2022</v>
      <v>2019</v>
      <v>2018</v>
      <v>per liter (2016)</v>
      <v>2019</v>
      <v>years (2018)</v>
      <v>2018</v>
      <v>per thousand (2018)</v>
      <v>2019</v>
      <v>2017</v>
      <v>2016</v>
      <v>2019</v>
      <v>2016</v>
      <v>2017</v>
      <v>kilotons per year (2016)</v>
      <v>deaths per 100,000 (2017)</v>
      <v>kWh (2014)</v>
      <v>2015</v>
      <v>2018</v>
      <v>2013</v>
      <v>2013</v>
      <v>2013</v>
      <v>2013</v>
      <v>2013</v>
      <v>2015</v>
      <v>2013</v>
      <v>2013</v>
      <v>2017</v>
      <v>2017</v>
      <v>2019</v>
    </spb>
    <spb s="0">
      <v xml:space="preserve">Wikipedia	</v>
      <v xml:space="preserve">CC BY-SA 3.0	</v>
      <v xml:space="preserve">https://en.wikipedia.org/wiki/Ontario	</v>
      <v xml:space="preserve">https://creativecommons.org/licenses/by-sa/3.0	</v>
    </spb>
    <spb s="0">
      <v xml:space="preserve">www150.statcan.gc.ca	</v>
      <v xml:space="preserve">	</v>
      <v xml:space="preserve">https://www150.statcan.gc.ca/t1/tbl1/en/tv.action?pid=3410000301	</v>
      <v xml:space="preserve">	</v>
    </spb>
    <spb s="0">
      <v xml:space="preserve">Wikipedia	</v>
      <v xml:space="preserve">CC-BY-SA	</v>
      <v xml:space="preserve">http://en.wikipedia.org/wiki/Ontario	</v>
      <v xml:space="preserve">http://creativecommons.org/licenses/by-sa/3.0/	</v>
    </spb>
    <spb s="0">
      <v xml:space="preserve">Wikipedia	www150.statcan.gc.ca	</v>
      <v xml:space="preserve">CC-BY-SA		</v>
      <v xml:space="preserve">http://en.wikipedia.org/wiki/Ontario	https://www150.statcan.gc.ca/t1/tbl1/en/tv.action?pid=3410000301	</v>
      <v xml:space="preserve">http://creativecommons.org/licenses/by-sa/3.0/		</v>
    </spb>
    <spb s="16">
      <v>121</v>
      <v>121</v>
      <v>122</v>
      <v>121</v>
      <v>121</v>
      <v>121</v>
      <v>123</v>
      <v>121</v>
      <v>122</v>
      <v>121</v>
      <v>122</v>
      <v>121</v>
      <v>122</v>
      <v>124</v>
    </spb>
    <spb s="2">
      <v>7</v>
      <v>Name</v>
      <v>LearnMoreOnLink</v>
    </spb>
    <spb s="17">
      <v>square km</v>
      <v>2016</v>
      <v>2020</v>
      <v>2016</v>
      <v>2017-12</v>
      <v>2016</v>
      <v>2016</v>
    </spb>
    <spb s="8">
      <v>14</v>
    </spb>
    <spb s="0">
      <v xml:space="preserve">Wikipedia	</v>
      <v xml:space="preserve">CC-BY-SA	</v>
      <v xml:space="preserve">http://en.wikipedia.org/wiki/Hamilton,_Ontario	</v>
      <v xml:space="preserve">http://creativecommons.org/licenses/by-sa/3.0/	</v>
    </spb>
    <spb s="0">
      <v xml:space="preserve">Wikipedia	</v>
      <v xml:space="preserve">CC BY-SA 3.0	</v>
      <v xml:space="preserve">https://en.wikipedia.org/wiki/Hamilton,_Ontario	</v>
      <v xml:space="preserve">https://creativecommons.org/licenses/by-sa/3.0	</v>
    </spb>
    <spb s="1">
      <v>129</v>
      <v>130</v>
      <v>130</v>
      <v>130</v>
      <v>130</v>
      <v>130</v>
      <v>130</v>
      <v>130</v>
      <v>130</v>
    </spb>
    <spb s="0">
      <v xml:space="preserve">Wikipedia	Cia	travel.state.gov	</v>
      <v xml:space="preserve">CC-BY-SA			</v>
      <v xml:space="preserve">http://en.wikipedia.org/wiki/Japan	https://www.cia.gov/library/publications/the-world-factbook/geos/ja.html?Transportation	https://travel.state.gov/content/travel/en/international-travel/International-Travel-Country-Information-Pages/Japan.html	</v>
      <v xml:space="preserve">http://creativecommons.org/licenses/by-sa/3.0/			</v>
    </spb>
    <spb s="0">
      <v xml:space="preserve">Wikipedia	</v>
      <v xml:space="preserve">CC BY-SA 3.0	</v>
      <v xml:space="preserve">https://en.wikipedia.org/wiki/Japan	</v>
      <v xml:space="preserve">https://creativecommons.org/licenses/by-sa/3.0	</v>
    </spb>
    <spb s="0">
      <v xml:space="preserve">Wikipedia	</v>
      <v xml:space="preserve">CC-BY-SA	</v>
      <v xml:space="preserve">http://en.wikipedia.org/wiki/Japan	</v>
      <v xml:space="preserve">http://creativecommons.org/licenses/by-sa/3.0/	</v>
    </spb>
    <spb s="0">
      <v xml:space="preserve">Cia	</v>
      <v xml:space="preserve">	</v>
      <v xml:space="preserve">https://www.cia.gov/library/publications/the-world-factbook/geos/ja.html?Transportation	</v>
      <v xml:space="preserve">	</v>
    </spb>
    <spb s="15">
      <v>10</v>
      <v>132</v>
      <v>133</v>
      <v>133</v>
      <v>13</v>
      <v>133</v>
      <v>133</v>
      <v>133</v>
      <v>134</v>
      <v>133</v>
      <v>133</v>
      <v>134</v>
      <v>133</v>
      <v>133</v>
      <v>135</v>
      <v>15</v>
      <v>132</v>
      <v>135</v>
      <v>17</v>
      <v>133</v>
      <v>135</v>
      <v>18</v>
      <v>19</v>
      <v>20</v>
      <v>135</v>
      <v>135</v>
      <v>133</v>
      <v>135</v>
      <v>21</v>
      <v>22</v>
      <v>23</v>
      <v>24</v>
      <v>135</v>
      <v>132</v>
      <v>135</v>
      <v>135</v>
      <v>135</v>
      <v>135</v>
      <v>135</v>
      <v>135</v>
      <v>135</v>
      <v>135</v>
      <v>135</v>
      <v>135</v>
      <v>25</v>
    </spb>
    <spb s="10">
      <v>2019</v>
      <v>2019</v>
      <v>square km</v>
      <v>per thousand (2018)</v>
      <v>2022</v>
      <v>2019</v>
      <v>2018</v>
      <v>per liter (2016)</v>
      <v>2019</v>
      <v>years (2018)</v>
      <v>2018</v>
      <v>per thousand (2018)</v>
      <v>2019</v>
      <v>2017</v>
      <v>2016</v>
      <v>2019</v>
      <v>2016</v>
      <v>2016</v>
      <v>kilotons per year (2016)</v>
      <v>deaths per 100,000 (2017)</v>
      <v>kWh (2014)</v>
      <v>2015</v>
      <v>2019</v>
      <v>2013</v>
      <v>2013</v>
      <v>2013</v>
      <v>2013</v>
      <v>2013</v>
      <v>2015</v>
      <v>2013</v>
      <v>2013</v>
      <v>2015</v>
      <v>2015</v>
      <v>2019</v>
    </spb>
    <spb s="0">
      <v xml:space="preserve">Wikipedia	</v>
      <v xml:space="preserve">CC BY-SA 3.0	</v>
      <v xml:space="preserve">https://en.wikipedia.org/wiki/Tokyo	</v>
      <v xml:space="preserve">https://creativecommons.org/licenses/by-sa/3.0	</v>
    </spb>
    <spb s="0">
      <v xml:space="preserve">Wikipedia	</v>
      <v xml:space="preserve">CC-BY-SA	</v>
      <v xml:space="preserve">http://en.wikipedia.org/wiki/Tokyo	</v>
      <v xml:space="preserve">http://creativecommons.org/licenses/by-sa/3.0/	</v>
    </spb>
    <spb s="18">
      <v>138</v>
      <v>138</v>
      <v>138</v>
      <v>138</v>
      <v>138</v>
      <v>139</v>
      <v>138</v>
      <v>138</v>
      <v>138</v>
    </spb>
    <spb s="2">
      <v>8</v>
      <v>Name</v>
      <v>LearnMoreOnLink</v>
    </spb>
    <spb s="7">
      <v>square km</v>
      <v>2024</v>
    </spb>
    <spb s="0">
      <v xml:space="preserve">Wikipedia	</v>
      <v xml:space="preserve">CC BY-SA 3.0	</v>
      <v xml:space="preserve">https://en.wikipedia.org/wiki/Reus	</v>
      <v xml:space="preserve">https://creativecommons.org/licenses/by-sa/3.0	</v>
    </spb>
    <spb s="14">
      <v>143</v>
      <v>143</v>
      <v>143</v>
      <v>143</v>
      <v>143</v>
      <v>143</v>
      <v>143</v>
      <v>143</v>
      <v>143</v>
      <v>143</v>
    </spb>
    <spb s="7">
      <v>square km</v>
      <v>2018</v>
    </spb>
    <spb s="0">
      <v xml:space="preserve">Wikipedia	Cia	Facebook	</v>
      <v xml:space="preserve">CC-BY-SA			</v>
      <v xml:space="preserve">http://en.wikipedia.org/wiki/Spain	https://www.cia.gov/library/publications/the-world-factbook/geos/sp.html?Transportation	https://www.facebook.com/spain.info.no	</v>
      <v xml:space="preserve">http://creativecommons.org/licenses/by-sa/3.0/			</v>
    </spb>
    <spb s="0">
      <v xml:space="preserve">Wikipedia	</v>
      <v xml:space="preserve">CC BY-SA 3.0	</v>
      <v xml:space="preserve">https://en.wikipedia.org/wiki/Spain	</v>
      <v xml:space="preserve">https://creativecommons.org/licenses/by-sa/3.0	</v>
    </spb>
    <spb s="0">
      <v xml:space="preserve">Wikipedia	</v>
      <v xml:space="preserve">CC-BY-SA	</v>
      <v xml:space="preserve">http://en.wikipedia.org/wiki/Spain	</v>
      <v xml:space="preserve">http://creativecommons.org/licenses/by-sa/3.0/	</v>
    </spb>
    <spb s="0">
      <v xml:space="preserve">Cia	</v>
      <v xml:space="preserve">	</v>
      <v xml:space="preserve">https://www.cia.gov/library/publications/the-world-factbook/geos/sp.html?Transportation	</v>
      <v xml:space="preserve">	</v>
    </spb>
    <spb s="15">
      <v>10</v>
      <v>146</v>
      <v>147</v>
      <v>147</v>
      <v>13</v>
      <v>147</v>
      <v>147</v>
      <v>147</v>
      <v>148</v>
      <v>147</v>
      <v>147</v>
      <v>148</v>
      <v>147</v>
      <v>147</v>
      <v>149</v>
      <v>15</v>
      <v>146</v>
      <v>149</v>
      <v>17</v>
      <v>147</v>
      <v>149</v>
      <v>18</v>
      <v>19</v>
      <v>20</v>
      <v>149</v>
      <v>149</v>
      <v>147</v>
      <v>149</v>
      <v>21</v>
      <v>22</v>
      <v>23</v>
      <v>24</v>
      <v>149</v>
      <v>146</v>
      <v>149</v>
      <v>149</v>
      <v>149</v>
      <v>149</v>
      <v>149</v>
      <v>149</v>
      <v>149</v>
      <v>149</v>
      <v>149</v>
      <v>149</v>
      <v>25</v>
    </spb>
    <spb s="10">
      <v>2019</v>
      <v>2019</v>
      <v>square km</v>
      <v>per thousand (2018)</v>
      <v>2022</v>
      <v>2019</v>
      <v>2018</v>
      <v>per liter (2016)</v>
      <v>2019</v>
      <v>years (2018)</v>
      <v>2018</v>
      <v>per thousand (2018)</v>
      <v>2019</v>
      <v>2017</v>
      <v>2016</v>
      <v>2019</v>
      <v>2016</v>
      <v>2017</v>
      <v>kilotons per year (2016)</v>
      <v>deaths per 100,000 (2017)</v>
      <v>kWh (2014)</v>
      <v>2015</v>
      <v>2019</v>
      <v>2017</v>
      <v>2017</v>
      <v>2017</v>
      <v>2017</v>
      <v>2017</v>
      <v>2015</v>
      <v>2017</v>
      <v>2017</v>
      <v>2017</v>
      <v>2017</v>
      <v>2019</v>
    </spb>
    <spb s="0">
      <v xml:space="preserve">Wikipedia	</v>
      <v xml:space="preserve">CC BY-SA 3.0	</v>
      <v xml:space="preserve">https://en.wikipedia.org/wiki/Madrid	</v>
      <v xml:space="preserve">https://creativecommons.org/licenses/by-sa/3.0	</v>
    </spb>
    <spb s="1">
      <v>152</v>
      <v>152</v>
      <v>152</v>
      <v>152</v>
      <v>152</v>
      <v>152</v>
      <v>152</v>
      <v>152</v>
      <v>152</v>
    </spb>
    <spb s="2">
      <v>9</v>
      <v>Name</v>
      <v>LearnMoreOnLink</v>
    </spb>
    <spb s="7">
      <v>square km</v>
      <v>2023</v>
    </spb>
    <spb s="0">
      <v xml:space="preserve">Wikipedia	</v>
      <v xml:space="preserve">CC BY-SA 3.0	</v>
      <v xml:space="preserve">https://en.wikipedia.org/wiki/Wellesley,_Massachusetts	</v>
      <v xml:space="preserve">https://creativecommons.org/licenses/by-sa/3.0	</v>
    </spb>
    <spb s="14">
      <v>156</v>
      <v>156</v>
      <v>156</v>
      <v>156</v>
      <v>156</v>
      <v>156</v>
      <v>156</v>
      <v>156</v>
      <v>156</v>
      <v>156</v>
    </spb>
    <spb s="2">
      <v>10</v>
      <v>Name</v>
      <v>LearnMoreOnLink</v>
    </spb>
    <spb s="0">
      <v xml:space="preserve">Wikipedia	</v>
      <v xml:space="preserve">CC BY-SA 3.0	</v>
      <v xml:space="preserve">https://en.wikipedia.org/wiki/Paris	</v>
      <v xml:space="preserve">https://creativecommons.org/licenses/by-sa/3.0	</v>
    </spb>
    <spb s="14">
      <v>159</v>
      <v>159</v>
      <v>159</v>
      <v>159</v>
      <v>159</v>
      <v>159</v>
      <v>159</v>
      <v>159</v>
      <v>159</v>
      <v>159</v>
    </spb>
    <spb s="7">
      <v>square km</v>
      <v>2025</v>
    </spb>
    <spb s="0">
      <v xml:space="preserve">Wikipedia	Cia	travel.state.gov	</v>
      <v xml:space="preserve">CC-BY-SA			</v>
      <v xml:space="preserve">http://en.wikipedia.org/wiki/France	https://www.cia.gov/library/publications/the-world-factbook/geos/fr.html?Transportation	https://travel.state.gov/content/travel/en/international-travel/International-Travel-Country-Information-Pages/Monaco.html	</v>
      <v xml:space="preserve">http://creativecommons.org/licenses/by-sa/3.0/			</v>
    </spb>
    <spb s="0">
      <v xml:space="preserve">Wikipedia	</v>
      <v xml:space="preserve">CC BY-SA 3.0	</v>
      <v xml:space="preserve">https://en.wikipedia.org/wiki/France	</v>
      <v xml:space="preserve">https://creativecommons.org/licenses/by-sa/3.0	</v>
    </spb>
    <spb s="0">
      <v xml:space="preserve">Wikipedia	</v>
      <v xml:space="preserve">CC-BY-SA	</v>
      <v xml:space="preserve">http://en.wikipedia.org/wiki/France	</v>
      <v xml:space="preserve">http://creativecommons.org/licenses/by-sa/3.0/	</v>
    </spb>
    <spb s="0">
      <v xml:space="preserve">Cia	</v>
      <v xml:space="preserve">	</v>
      <v xml:space="preserve">https://www.cia.gov/library/publications/the-world-factbook/geos/fr.html?Transportation	</v>
      <v xml:space="preserve">	</v>
    </spb>
    <spb s="15">
      <v>10</v>
      <v>162</v>
      <v>163</v>
      <v>163</v>
      <v>13</v>
      <v>163</v>
      <v>163</v>
      <v>163</v>
      <v>164</v>
      <v>163</v>
      <v>163</v>
      <v>164</v>
      <v>163</v>
      <v>163</v>
      <v>165</v>
      <v>15</v>
      <v>162</v>
      <v>165</v>
      <v>17</v>
      <v>163</v>
      <v>165</v>
      <v>18</v>
      <v>19</v>
      <v>20</v>
      <v>165</v>
      <v>165</v>
      <v>163</v>
      <v>165</v>
      <v>21</v>
      <v>22</v>
      <v>23</v>
      <v>24</v>
      <v>165</v>
      <v>162</v>
      <v>165</v>
      <v>165</v>
      <v>165</v>
      <v>165</v>
      <v>165</v>
      <v>165</v>
      <v>165</v>
      <v>165</v>
      <v>165</v>
      <v>165</v>
      <v>25</v>
    </spb>
    <spb s="10">
      <v>2019</v>
      <v>2019</v>
      <v>square km</v>
      <v>per thousand (2018)</v>
      <v>2021</v>
      <v>2019</v>
      <v>2018</v>
      <v>per liter (2016)</v>
      <v>2019</v>
      <v>years (2018)</v>
      <v>2018</v>
      <v>per thousand (2018)</v>
      <v>2019</v>
      <v>2017</v>
      <v>2016</v>
      <v>2019</v>
      <v>2016</v>
      <v>2018</v>
      <v>kilotons per year (2014)</v>
      <v>deaths per 100,000 (2017)</v>
      <v>kWh (2014)</v>
      <v>2015</v>
      <v>2018</v>
      <v>2017</v>
      <v>2017</v>
      <v>2017</v>
      <v>2017</v>
      <v>2017</v>
      <v>2015</v>
      <v>2017</v>
      <v>2017</v>
      <v>2017</v>
      <v>2017</v>
      <v>2019</v>
    </spb>
    <spb s="0">
      <v xml:space="preserve">Wikipedia	</v>
      <v xml:space="preserve">CC BY-SA 3.0	</v>
      <v xml:space="preserve">https://en.wikipedia.org/wiki/Santiago	</v>
      <v xml:space="preserve">https://creativecommons.org/licenses/by-sa/3.0	</v>
    </spb>
    <spb s="14">
      <v>168</v>
      <v>168</v>
      <v>168</v>
      <v>168</v>
      <v>168</v>
      <v>168</v>
      <v>168</v>
      <v>168</v>
      <v>168</v>
      <v>168</v>
    </spb>
    <spb s="2">
      <v>11</v>
      <v>Name</v>
      <v>LearnMoreOnLink</v>
    </spb>
    <spb s="7">
      <v>square km</v>
      <v>2017</v>
    </spb>
    <spb s="0">
      <v xml:space="preserve">Wikipedia	Cia	travel.state.gov	</v>
      <v xml:space="preserve">CC-BY-SA			</v>
      <v xml:space="preserve">http://en.wikipedia.org/wiki/Chile	https://www.cia.gov/library/publications/the-world-factbook/geos/ci.html?Transportation	https://travel.state.gov/content/travel/en/international-travel/International-Travel-Country-Information-Pages/Chile.html	</v>
      <v xml:space="preserve">http://creativecommons.org/licenses/by-sa/3.0/			</v>
    </spb>
    <spb s="0">
      <v xml:space="preserve">Wikipedia	</v>
      <v xml:space="preserve">CC BY-SA 3.0	</v>
      <v xml:space="preserve">https://en.wikipedia.org/wiki/Chile	</v>
      <v xml:space="preserve">https://creativecommons.org/licenses/by-sa/3.0	</v>
    </spb>
    <spb s="0">
      <v xml:space="preserve">Wikipedia	</v>
      <v xml:space="preserve">CC-BY-SA	</v>
      <v xml:space="preserve">http://en.wikipedia.org/wiki/Chile	</v>
      <v xml:space="preserve">http://creativecommons.org/licenses/by-sa/3.0/	</v>
    </spb>
    <spb s="0">
      <v xml:space="preserve">Cia	</v>
      <v xml:space="preserve">	</v>
      <v xml:space="preserve">https://www.cia.gov/library/publications/the-world-factbook/geos/ci.html?Transportation	</v>
      <v xml:space="preserve">	</v>
    </spb>
    <spb s="15">
      <v>10</v>
      <v>172</v>
      <v>173</v>
      <v>173</v>
      <v>13</v>
      <v>173</v>
      <v>173</v>
      <v>173</v>
      <v>174</v>
      <v>173</v>
      <v>173</v>
      <v>174</v>
      <v>173</v>
      <v>173</v>
      <v>175</v>
      <v>15</v>
      <v>172</v>
      <v>175</v>
      <v>17</v>
      <v>173</v>
      <v>175</v>
      <v>18</v>
      <v>19</v>
      <v>20</v>
      <v>175</v>
      <v>175</v>
      <v>173</v>
      <v>175</v>
      <v>21</v>
      <v>22</v>
      <v>23</v>
      <v>24</v>
      <v>175</v>
      <v>172</v>
      <v>175</v>
      <v>175</v>
      <v>175</v>
      <v>175</v>
      <v>175</v>
      <v>175</v>
      <v>175</v>
      <v>175</v>
      <v>175</v>
      <v>175</v>
      <v>25</v>
    </spb>
    <spb s="10">
      <v>2019</v>
      <v>2019</v>
      <v>square km</v>
      <v>per thousand (2018)</v>
      <v>2022</v>
      <v>2019</v>
      <v>2018</v>
      <v>per liter (2016)</v>
      <v>2019</v>
      <v>years (2018)</v>
      <v>2018</v>
      <v>per thousand (2018)</v>
      <v>2019</v>
      <v>2017</v>
      <v>2016</v>
      <v>2019</v>
      <v>2016</v>
      <v>2018</v>
      <v>kilotons per year (2016)</v>
      <v>deaths per 100,000 (2017)</v>
      <v>kWh (2014)</v>
      <v>2015</v>
      <v>2019</v>
      <v>2017</v>
      <v>2017</v>
      <v>2017</v>
      <v>2017</v>
      <v>2017</v>
      <v>2015</v>
      <v>2017</v>
      <v>2017</v>
      <v>2017</v>
      <v>2017</v>
      <v>2019</v>
    </spb>
    <spb s="0">
      <v xml:space="preserve">Wikipedia	</v>
      <v xml:space="preserve">CC BY-SA 3.0	</v>
      <v xml:space="preserve">https://en.wikipedia.org/wiki/Poughkeepsie,_New_York	</v>
      <v xml:space="preserve">https://creativecommons.org/licenses/by-sa/3.0	</v>
    </spb>
    <spb s="14">
      <v>178</v>
      <v>178</v>
      <v>178</v>
      <v>178</v>
      <v>178</v>
      <v>178</v>
      <v>178</v>
      <v>178</v>
      <v>178</v>
      <v>178</v>
    </spb>
    <spb s="0">
      <v xml:space="preserve">Wikipedia	</v>
      <v xml:space="preserve">CC BY-SA 3.0	</v>
      <v xml:space="preserve">https://en.wikipedia.org/wiki/Barcelona	</v>
      <v xml:space="preserve">https://creativecommons.org/licenses/by-sa/3.0	</v>
    </spb>
    <spb s="1">
      <v>180</v>
      <v>180</v>
      <v>180</v>
      <v>180</v>
      <v>180</v>
      <v>180</v>
      <v>180</v>
      <v>180</v>
      <v>180</v>
    </spb>
    <spb s="0">
      <v xml:space="preserve">Wikipedia	Cia	travel.state.gov	</v>
      <v xml:space="preserve">CC-BY-SA			</v>
      <v xml:space="preserve">http://en.wikipedia.org/wiki/Netherlands	https://www.cia.gov/library/publications/the-world-factbook/geos/nl.html?Transportation	https://travel.state.gov/content/travel/en/international-travel/International-Travel-Country-Information-Pages/Netherlands.html	</v>
      <v xml:space="preserve">http://creativecommons.org/licenses/by-sa/3.0/			</v>
    </spb>
    <spb s="0">
      <v xml:space="preserve">Wikipedia	</v>
      <v xml:space="preserve">CC BY-SA 3.0	</v>
      <v xml:space="preserve">https://en.wikipedia.org/wiki/Netherlands	</v>
      <v xml:space="preserve">https://creativecommons.org/licenses/by-sa/3.0	</v>
    </spb>
    <spb s="0">
      <v xml:space="preserve">Wikipedia	</v>
      <v xml:space="preserve">CC-BY-SA	</v>
      <v xml:space="preserve">http://en.wikipedia.org/wiki/Netherlands	</v>
      <v xml:space="preserve">http://creativecommons.org/licenses/by-sa/3.0/	</v>
    </spb>
    <spb s="0">
      <v xml:space="preserve">Cia	</v>
      <v xml:space="preserve">	</v>
      <v xml:space="preserve">https://www.cia.gov/library/publications/the-world-factbook/geos/nl.html?Transportation	</v>
      <v xml:space="preserve">	</v>
    </spb>
    <spb s="15">
      <v>10</v>
      <v>182</v>
      <v>183</v>
      <v>183</v>
      <v>13</v>
      <v>183</v>
      <v>183</v>
      <v>183</v>
      <v>184</v>
      <v>183</v>
      <v>183</v>
      <v>184</v>
      <v>183</v>
      <v>183</v>
      <v>185</v>
      <v>15</v>
      <v>182</v>
      <v>185</v>
      <v>17</v>
      <v>183</v>
      <v>185</v>
      <v>18</v>
      <v>19</v>
      <v>20</v>
      <v>185</v>
      <v>185</v>
      <v>183</v>
      <v>185</v>
      <v>21</v>
      <v>22</v>
      <v>23</v>
      <v>24</v>
      <v>185</v>
      <v>182</v>
      <v>185</v>
      <v>185</v>
      <v>185</v>
      <v>185</v>
      <v>185</v>
      <v>185</v>
      <v>185</v>
      <v>185</v>
      <v>185</v>
      <v>185</v>
      <v>25</v>
    </spb>
    <spb s="10">
      <v>2019</v>
      <v>2019</v>
      <v>square km</v>
      <v>per thousand (2018)</v>
      <v>2024</v>
      <v>2019</v>
      <v>2018</v>
      <v>per liter (2016)</v>
      <v>2019</v>
      <v>years (2018)</v>
      <v>2018</v>
      <v>per thousand (2018)</v>
      <v>2019</v>
      <v>2017</v>
      <v>2016</v>
      <v>2019</v>
      <v>2016</v>
      <v>2017</v>
      <v>kilotons per year (2016)</v>
      <v>deaths per 100,000 (2017)</v>
      <v>kWh (2014)</v>
      <v>2015</v>
      <v>2017</v>
      <v>2017</v>
      <v>2017</v>
      <v>2017</v>
      <v>2017</v>
      <v>2017</v>
      <v>2015</v>
      <v>2017</v>
      <v>2017</v>
      <v>2017</v>
      <v>2017</v>
      <v>2019</v>
    </spb>
    <spb s="0">
      <v xml:space="preserve">Wikipedia	</v>
      <v xml:space="preserve">CC BY-SA 3.0	</v>
      <v xml:space="preserve">https://en.wikipedia.org/wiki/Boston	</v>
      <v xml:space="preserve">https://creativecommons.org/licenses/by-sa/3.0	</v>
    </spb>
    <spb s="14">
      <v>188</v>
      <v>188</v>
      <v>188</v>
      <v>188</v>
      <v>188</v>
      <v>188</v>
      <v>188</v>
      <v>188</v>
      <v>188</v>
      <v>188</v>
    </spb>
    <spb s="0">
      <v xml:space="preserve">Wikipedia	</v>
      <v xml:space="preserve">CC BY-SA 3.0	</v>
      <v xml:space="preserve">https://en.wikipedia.org/wiki/Hanover	</v>
      <v xml:space="preserve">https://creativecommons.org/licenses/by-sa/3.0	</v>
    </spb>
    <spb s="14">
      <v>190</v>
      <v>190</v>
      <v>190</v>
      <v>190</v>
      <v>190</v>
      <v>190</v>
      <v>190</v>
      <v>190</v>
      <v>190</v>
      <v>190</v>
    </spb>
    <spb s="7">
      <v>square km</v>
      <v>2022</v>
    </spb>
    <spb s="0">
      <v xml:space="preserve">Wikipedia	Cia	travel.state.gov	</v>
      <v xml:space="preserve">CC-BY-SA			</v>
      <v xml:space="preserve">http://en.wikipedia.org/wiki/Germany	https://www.cia.gov/library/publications/the-world-factbook/geos/gm.html?Transportation	https://travel.state.gov/content/travel/en/international-travel/International-Travel-Country-Information-Pages/Germany.html	</v>
      <v xml:space="preserve">http://creativecommons.org/licenses/by-sa/3.0/			</v>
    </spb>
    <spb s="0">
      <v xml:space="preserve">Wikipedia	</v>
      <v xml:space="preserve">CC BY-SA 3.0	</v>
      <v xml:space="preserve">https://en.wikipedia.org/wiki/Germany	</v>
      <v xml:space="preserve">https://creativecommons.org/licenses/by-sa/3.0	</v>
    </spb>
    <spb s="0">
      <v xml:space="preserve">Wikipedia	</v>
      <v xml:space="preserve">CC-BY-SA	</v>
      <v xml:space="preserve">http://en.wikipedia.org/wiki/Germany	</v>
      <v xml:space="preserve">http://creativecommons.org/licenses/by-sa/3.0/	</v>
    </spb>
    <spb s="0">
      <v xml:space="preserve">Cia	</v>
      <v xml:space="preserve">	</v>
      <v xml:space="preserve">https://www.cia.gov/library/publications/the-world-factbook/geos/gm.html?Transportation	</v>
      <v xml:space="preserve">	</v>
    </spb>
    <spb s="15">
      <v>10</v>
      <v>193</v>
      <v>194</v>
      <v>194</v>
      <v>13</v>
      <v>194</v>
      <v>194</v>
      <v>194</v>
      <v>195</v>
      <v>194</v>
      <v>194</v>
      <v>195</v>
      <v>194</v>
      <v>194</v>
      <v>196</v>
      <v>15</v>
      <v>193</v>
      <v>196</v>
      <v>17</v>
      <v>194</v>
      <v>196</v>
      <v>18</v>
      <v>19</v>
      <v>20</v>
      <v>196</v>
      <v>196</v>
      <v>194</v>
      <v>196</v>
      <v>21</v>
      <v>22</v>
      <v>23</v>
      <v>24</v>
      <v>196</v>
      <v>193</v>
      <v>196</v>
      <v>196</v>
      <v>196</v>
      <v>196</v>
      <v>196</v>
      <v>196</v>
      <v>196</v>
      <v>196</v>
      <v>196</v>
      <v>196</v>
      <v>25</v>
    </spb>
    <spb s="10">
      <v>2019</v>
      <v>2019</v>
      <v>square km</v>
      <v>per thousand (2018)</v>
      <v>2022</v>
      <v>2019</v>
      <v>2018</v>
      <v>per liter (2016)</v>
      <v>2019</v>
      <v>years (2018)</v>
      <v>2018</v>
      <v>per thousand (2018)</v>
      <v>2019</v>
      <v>2017</v>
      <v>2016</v>
      <v>2019</v>
      <v>2016</v>
      <v>2017</v>
      <v>kilotons per year (2016)</v>
      <v>deaths per 100,000 (2017)</v>
      <v>kWh (2014)</v>
      <v>2015</v>
      <v>2019</v>
      <v>2016</v>
      <v>2016</v>
      <v>2016</v>
      <v>2016</v>
      <v>2016</v>
      <v>2015</v>
      <v>2016</v>
      <v>2016</v>
      <v>2017</v>
      <v>2017</v>
      <v>2019</v>
    </spb>
    <spb s="0">
      <v xml:space="preserve">Wikipedia	</v>
      <v xml:space="preserve">CC BY-SA 3.0	</v>
      <v xml:space="preserve">https://en.wikipedia.org/wiki/Berlin	</v>
      <v xml:space="preserve">https://creativecommons.org/licenses/by-sa/3.0	</v>
    </spb>
    <spb s="0">
      <v xml:space="preserve">ergebnisse.zensus2011.de	</v>
      <v xml:space="preserve">	</v>
      <v xml:space="preserve">https://ergebnisse.zensus2011.de/?locale=en#dynTable:statUnit=WOHNUNG;absRel=ANZAHL;ags=01,02,03,04,05,06,07,08,09,10,11,12,13,14,15,16;agsAxis=X;yAxis=ZAHLWOHNGN_HHG	</v>
      <v xml:space="preserve">	</v>
    </spb>
    <spb s="0">
      <v xml:space="preserve">Wikipedia	</v>
      <v xml:space="preserve">CC-BY-SA	</v>
      <v xml:space="preserve">http://en.wikipedia.org/wiki/Berlin	</v>
      <v xml:space="preserve">http://creativecommons.org/licenses/by-sa/3.0/	</v>
    </spb>
    <spb s="19">
      <v>199</v>
      <v>199</v>
      <v>200</v>
      <v>199</v>
      <v>199</v>
      <v>199</v>
      <v>201</v>
      <v>200</v>
      <v>199</v>
      <v>200</v>
    </spb>
    <spb s="2">
      <v>12</v>
      <v>Name</v>
      <v>LearnMoreOnLink</v>
    </spb>
    <spb s="20">
      <v>square km</v>
      <v>2011</v>
      <v>2022</v>
      <v>2011</v>
      <v>2011</v>
    </spb>
    <spb s="0">
      <v xml:space="preserve">Wikipedia	</v>
      <v xml:space="preserve">CC BY-SA 3.0	</v>
      <v xml:space="preserve">https://en.wikipedia.org/wiki/Lewiston,_Maine	</v>
      <v xml:space="preserve">https://creativecommons.org/licenses/by-sa/3.0	</v>
    </spb>
    <spb s="14">
      <v>205</v>
      <v>205</v>
      <v>205</v>
      <v>205</v>
      <v>205</v>
      <v>205</v>
      <v>205</v>
      <v>205</v>
      <v>205</v>
      <v>205</v>
    </spb>
    <spb s="0">
      <v xml:space="preserve">Wikipedia	</v>
      <v xml:space="preserve">CC BY-SA 3.0	</v>
      <v xml:space="preserve">https://en.wikipedia.org/wiki/College_Station,_Texas	</v>
      <v xml:space="preserve">https://creativecommons.org/licenses/by-sa/3.0	</v>
    </spb>
    <spb s="14">
      <v>207</v>
      <v>207</v>
      <v>207</v>
      <v>207</v>
      <v>207</v>
      <v>207</v>
      <v>207</v>
      <v>207</v>
      <v>207</v>
      <v>207</v>
    </spb>
    <spb s="0">
      <v xml:space="preserve">Wikipedia	Cia	travel.state.gov	</v>
      <v xml:space="preserve">CC-BY-SA			</v>
      <v xml:space="preserve">http://en.wikipedia.org/wiki/Australia	https://www.cia.gov/library/publications/the-world-factbook/geos/as.html?Transportation	https://travel.state.gov/content/travel/en/international-travel/International-Travel-Country-Information-Pages/Australia.html	</v>
      <v xml:space="preserve">http://creativecommons.org/licenses/by-sa/3.0/			</v>
    </spb>
    <spb s="0">
      <v xml:space="preserve">Wikipedia	</v>
      <v xml:space="preserve">CC BY-SA 3.0	</v>
      <v xml:space="preserve">https://en.wikipedia.org/wiki/Australia	</v>
      <v xml:space="preserve">https://creativecommons.org/licenses/by-sa/3.0	</v>
    </spb>
    <spb s="0">
      <v xml:space="preserve">Wikipedia	</v>
      <v xml:space="preserve">CC-BY-SA	</v>
      <v xml:space="preserve">http://en.wikipedia.org/wiki/Australia	</v>
      <v xml:space="preserve">http://creativecommons.org/licenses/by-sa/3.0/	</v>
    </spb>
    <spb s="0">
      <v xml:space="preserve">Cia	</v>
      <v xml:space="preserve">	</v>
      <v xml:space="preserve">https://www.cia.gov/library/publications/the-world-factbook/geos/as.html?Transportation	</v>
      <v xml:space="preserve">	</v>
    </spb>
    <spb s="15">
      <v>10</v>
      <v>209</v>
      <v>210</v>
      <v>210</v>
      <v>13</v>
      <v>210</v>
      <v>210</v>
      <v>210</v>
      <v>211</v>
      <v>210</v>
      <v>210</v>
      <v>211</v>
      <v>210</v>
      <v>210</v>
      <v>212</v>
      <v>15</v>
      <v>209</v>
      <v>212</v>
      <v>17</v>
      <v>210</v>
      <v>212</v>
      <v>18</v>
      <v>19</v>
      <v>20</v>
      <v>212</v>
      <v>212</v>
      <v>210</v>
      <v>212</v>
      <v>21</v>
      <v>22</v>
      <v>23</v>
      <v>24</v>
      <v>212</v>
      <v>209</v>
      <v>212</v>
      <v>212</v>
      <v>212</v>
      <v>212</v>
      <v>212</v>
      <v>212</v>
      <v>212</v>
      <v>212</v>
      <v>212</v>
      <v>212</v>
      <v>25</v>
    </spb>
    <spb s="10">
      <v>2019</v>
      <v>2019</v>
      <v>square km</v>
      <v>per thousand (2018)</v>
      <v>2022</v>
      <v>2019</v>
      <v>2018</v>
      <v>per liter (2016)</v>
      <v>2019</v>
      <v>years (2018)</v>
      <v>2018</v>
      <v>per thousand (2018)</v>
      <v>2019</v>
      <v>2017</v>
      <v>2016</v>
      <v>2019</v>
      <v>2016</v>
      <v>2017</v>
      <v>kilotons per year (2016)</v>
      <v>deaths per 100,000 (2017)</v>
      <v>kWh (2014)</v>
      <v>2015</v>
      <v>2019</v>
      <v>2014</v>
      <v>2014</v>
      <v>2014</v>
      <v>2014</v>
      <v>2014</v>
      <v>2014</v>
      <v>2014</v>
      <v>2014</v>
      <v>2017</v>
      <v>2017</v>
      <v>2019</v>
    </spb>
    <spb s="0">
      <v xml:space="preserve">Wikipedia	</v>
      <v xml:space="preserve">CC BY-SA 3.0	</v>
      <v xml:space="preserve">https://en.wikipedia.org/wiki/Sydney	</v>
      <v xml:space="preserve">https://creativecommons.org/licenses/by-sa/3.0	</v>
    </spb>
    <spb s="1">
      <v>215</v>
      <v>215</v>
      <v>215</v>
      <v>215</v>
      <v>215</v>
      <v>215</v>
      <v>215</v>
      <v>215</v>
      <v>215</v>
    </spb>
    <spb s="2">
      <v>13</v>
      <v>Name</v>
      <v>LearnMoreOnLink</v>
    </spb>
    <spb s="0">
      <v xml:space="preserve">Wikipedia	</v>
      <v xml:space="preserve">CC BY-SA 3.0	</v>
      <v xml:space="preserve">https://en.wikipedia.org/wiki/Montreal	</v>
      <v xml:space="preserve">https://creativecommons.org/licenses/by-sa/3.0	</v>
    </spb>
    <spb s="1">
      <v>218</v>
      <v>218</v>
      <v>218</v>
      <v>218</v>
      <v>218</v>
      <v>218</v>
      <v>218</v>
      <v>218</v>
      <v>218</v>
    </spb>
    <spb s="0">
      <v xml:space="preserve">Wikipedia	Cia	travel.state.gov	</v>
      <v xml:space="preserve">CC-BY-SA			</v>
      <v xml:space="preserve">http://en.wikipedia.org/wiki/Colombia	https://www.cia.gov/library/publications/the-world-factbook/geos/co.html?Transportation	https://travel.state.gov/content/travel/en/international-travel/International-Travel-Country-Information-Pages/Colombia.html	</v>
      <v xml:space="preserve">http://creativecommons.org/licenses/by-sa/3.0/			</v>
    </spb>
    <spb s="0">
      <v xml:space="preserve">Wikipedia	</v>
      <v xml:space="preserve">CC BY-SA 3.0	</v>
      <v xml:space="preserve">https://en.wikipedia.org/wiki/Colombia	</v>
      <v xml:space="preserve">https://creativecommons.org/licenses/by-sa/3.0	</v>
    </spb>
    <spb s="0">
      <v xml:space="preserve">Wikipedia	</v>
      <v xml:space="preserve">CC-BY-SA	</v>
      <v xml:space="preserve">http://en.wikipedia.org/wiki/Colombia	</v>
      <v xml:space="preserve">http://creativecommons.org/licenses/by-sa/3.0/	</v>
    </spb>
    <spb s="0">
      <v xml:space="preserve">Cia	</v>
      <v xml:space="preserve">	</v>
      <v xml:space="preserve">https://www.cia.gov/library/publications/the-world-factbook/geos/co.html?Transportation	</v>
      <v xml:space="preserve">	</v>
    </spb>
    <spb s="15">
      <v>10</v>
      <v>220</v>
      <v>221</v>
      <v>221</v>
      <v>13</v>
      <v>221</v>
      <v>221</v>
      <v>221</v>
      <v>222</v>
      <v>221</v>
      <v>221</v>
      <v>222</v>
      <v>221</v>
      <v>221</v>
      <v>223</v>
      <v>15</v>
      <v>220</v>
      <v>223</v>
      <v>17</v>
      <v>221</v>
      <v>223</v>
      <v>18</v>
      <v>19</v>
      <v>20</v>
      <v>223</v>
      <v>223</v>
      <v>221</v>
      <v>223</v>
      <v>21</v>
      <v>22</v>
      <v>23</v>
      <v>24</v>
      <v>223</v>
      <v>220</v>
      <v>223</v>
      <v>223</v>
      <v>223</v>
      <v>223</v>
      <v>223</v>
      <v>223</v>
      <v>223</v>
      <v>223</v>
      <v>223</v>
      <v>223</v>
      <v>25</v>
    </spb>
    <spb s="10">
      <v>2019</v>
      <v>2019</v>
      <v>square km</v>
      <v>per thousand (2018)</v>
      <v>2022</v>
      <v>2019</v>
      <v>2018</v>
      <v>per liter (2016)</v>
      <v>2019</v>
      <v>years (2018)</v>
      <v>2018</v>
      <v>per thousand (2018)</v>
      <v>2019</v>
      <v>2017</v>
      <v>2016</v>
      <v>2019</v>
      <v>2016</v>
      <v>2018</v>
      <v>kilotons per year (2016)</v>
      <v>deaths per 100,000 (2017)</v>
      <v>kWh (2014)</v>
      <v>2014</v>
      <v>2019</v>
      <v>2018</v>
      <v>2018</v>
      <v>2018</v>
      <v>2018</v>
      <v>2018</v>
      <v>2015</v>
      <v>2018</v>
      <v>2018</v>
      <v>2018</v>
      <v>2018</v>
      <v>2019</v>
    </spb>
    <spb s="0">
      <v xml:space="preserve">Wikipedia	Wikipedia	Cia	travel.state.gov	</v>
      <v xml:space="preserve">CC-BY-SA	CC-BY-SA			</v>
      <v xml:space="preserve">http://es.wikipedia.org/wiki/Italia	http://en.wikipedia.org/wiki/Italy	https://www.cia.gov/library/publications/the-world-factbook/geos/it.html?Transportation	https://travel.state.gov/content/travel/en/international-travel/International-Travel-Country-Information-Pages/SanMarino.html	</v>
      <v xml:space="preserve">http://creativecommons.org/licenses/by-sa/3.0/	http://creativecommons.org/licenses/by-sa/3.0/			</v>
    </spb>
    <spb s="0">
      <v xml:space="preserve">Wikipedia	</v>
      <v xml:space="preserve">CC BY-SA 3.0	</v>
      <v xml:space="preserve">https://en.wikipedia.org/wiki/Italy	</v>
      <v xml:space="preserve">https://creativecommons.org/licenses/by-sa/3.0	</v>
    </spb>
    <spb s="0">
      <v xml:space="preserve">Wikipedia	</v>
      <v xml:space="preserve">CC-BY-SA	</v>
      <v xml:space="preserve">http://en.wikipedia.org/wiki/Italy	</v>
      <v xml:space="preserve">http://creativecommons.org/licenses/by-sa/3.0/	</v>
    </spb>
    <spb s="0">
      <v xml:space="preserve">Cia	</v>
      <v xml:space="preserve">	</v>
      <v xml:space="preserve">https://www.cia.gov/library/publications/the-world-factbook/geos/it.html?Transportation	</v>
      <v xml:space="preserve">	</v>
    </spb>
    <spb s="21">
      <v>10</v>
      <v>226</v>
      <v>227</v>
      <v>227</v>
      <v>13</v>
      <v>227</v>
      <v>227</v>
      <v>227</v>
      <v>228</v>
      <v>227</v>
      <v>227</v>
      <v>227</v>
      <v>227</v>
      <v>229</v>
      <v>15</v>
      <v>226</v>
      <v>229</v>
      <v>17</v>
      <v>227</v>
      <v>229</v>
      <v>18</v>
      <v>19</v>
      <v>20</v>
      <v>229</v>
      <v>229</v>
      <v>227</v>
      <v>229</v>
      <v>21</v>
      <v>22</v>
      <v>23</v>
      <v>24</v>
      <v>229</v>
      <v>226</v>
      <v>229</v>
      <v>229</v>
      <v>229</v>
      <v>229</v>
      <v>229</v>
      <v>229</v>
      <v>229</v>
      <v>229</v>
      <v>229</v>
      <v>229</v>
      <v>25</v>
    </spb>
    <spb s="2">
      <v>14</v>
      <v>Name</v>
      <v>LearnMoreOnLink</v>
    </spb>
    <spb s="10">
      <v>2019</v>
      <v>2019</v>
      <v>square km</v>
      <v>per thousand (2018)</v>
      <v>2022</v>
      <v>2019</v>
      <v>2018</v>
      <v>per liter (2016)</v>
      <v>2019</v>
      <v>years (2018)</v>
      <v>2018</v>
      <v>per thousand (2018)</v>
      <v>2019</v>
      <v>2017</v>
      <v>2016</v>
      <v>2019</v>
      <v>2016</v>
      <v>2018</v>
      <v>kilotons per year (2014)</v>
      <v>deaths per 100,000 (2017)</v>
      <v>kWh (2014)</v>
      <v>2015</v>
      <v>2008</v>
      <v>2017</v>
      <v>2017</v>
      <v>2017</v>
      <v>2017</v>
      <v>2017</v>
      <v>2015</v>
      <v>2017</v>
      <v>2017</v>
      <v>2017</v>
      <v>2017</v>
      <v>2019</v>
    </spb>
    <spb s="0">
      <v xml:space="preserve">Wikipedia	</v>
      <v xml:space="preserve">CC BY-SA 3.0	</v>
      <v xml:space="preserve">https://en.wikipedia.org/wiki/Miane	</v>
      <v xml:space="preserve">https://creativecommons.org/licenses/by-sa/3.0	</v>
    </spb>
    <spb s="1">
      <v>233</v>
      <v>233</v>
      <v>233</v>
      <v>233</v>
      <v>233</v>
      <v>233</v>
      <v>233</v>
      <v>233</v>
      <v>233</v>
    </spb>
    <spb s="2">
      <v>15</v>
      <v>Name</v>
      <v>LearnMoreOnLink</v>
    </spb>
    <spb s="22">
      <v>1</v>
    </spb>
    <spb s="0">
      <v xml:space="preserve">Wikipedia	Cia	travel.state.gov	</v>
      <v xml:space="preserve">CC-BY-SA			</v>
      <v xml:space="preserve">http://en.wikipedia.org/wiki/Sweden	https://www.cia.gov/library/publications/the-world-factbook/geos/sw.html?Transportation	https://travel.state.gov/content/travel/en/international-travel/International-Travel-Country-Information-Pages/Sweden.html	</v>
      <v xml:space="preserve">http://creativecommons.org/licenses/by-sa/3.0/			</v>
    </spb>
    <spb s="0">
      <v xml:space="preserve">Wikipedia	</v>
      <v xml:space="preserve">CC BY-SA 3.0	</v>
      <v xml:space="preserve">https://en.wikipedia.org/wiki/Sweden	</v>
      <v xml:space="preserve">https://creativecommons.org/licenses/by-sa/3.0	</v>
    </spb>
    <spb s="0">
      <v xml:space="preserve">Wikipedia	</v>
      <v xml:space="preserve">CC-BY-SA	</v>
      <v xml:space="preserve">http://en.wikipedia.org/wiki/Sweden	</v>
      <v xml:space="preserve">http://creativecommons.org/licenses/by-sa/3.0/	</v>
    </spb>
    <spb s="0">
      <v xml:space="preserve">Cia	</v>
      <v xml:space="preserve">	</v>
      <v xml:space="preserve">https://www.cia.gov/library/publications/the-world-factbook/geos/sw.html?Transportation	</v>
      <v xml:space="preserve">	</v>
    </spb>
    <spb s="21">
      <v>10</v>
      <v>237</v>
      <v>238</v>
      <v>238</v>
      <v>13</v>
      <v>238</v>
      <v>238</v>
      <v>238</v>
      <v>239</v>
      <v>238</v>
      <v>238</v>
      <v>238</v>
      <v>238</v>
      <v>240</v>
      <v>15</v>
      <v>237</v>
      <v>240</v>
      <v>17</v>
      <v>238</v>
      <v>240</v>
      <v>18</v>
      <v>19</v>
      <v>20</v>
      <v>240</v>
      <v>240</v>
      <v>238</v>
      <v>240</v>
      <v>21</v>
      <v>22</v>
      <v>23</v>
      <v>24</v>
      <v>240</v>
      <v>237</v>
      <v>240</v>
      <v>240</v>
      <v>240</v>
      <v>240</v>
      <v>240</v>
      <v>240</v>
      <v>240</v>
      <v>240</v>
      <v>240</v>
      <v>240</v>
      <v>25</v>
    </spb>
    <spb s="10">
      <v>2019</v>
      <v>2019</v>
      <v>square km</v>
      <v>per thousand (2018)</v>
      <v>2022</v>
      <v>2019</v>
      <v>2018</v>
      <v>per liter (2016)</v>
      <v>2019</v>
      <v>years (2018)</v>
      <v>2018</v>
      <v>per thousand (2018)</v>
      <v>2019</v>
      <v>2017</v>
      <v>2016</v>
      <v>2019</v>
      <v>2016</v>
      <v>2016</v>
      <v>kilotons per year (2016)</v>
      <v>deaths per 100,000 (2017)</v>
      <v>kWh (2014)</v>
      <v>2015</v>
      <v>2003</v>
      <v>2017</v>
      <v>2017</v>
      <v>2017</v>
      <v>2017</v>
      <v>2017</v>
      <v>2015</v>
      <v>2017</v>
      <v>2017</v>
      <v>2017</v>
      <v>2017</v>
      <v>2019</v>
    </spb>
    <spb s="0">
      <v xml:space="preserve">Wikipedia	</v>
      <v xml:space="preserve">CC BY-SA 3.0	</v>
      <v xml:space="preserve">https://en.wikipedia.org/wiki/Stockholm	</v>
      <v xml:space="preserve">https://creativecommons.org/licenses/by-sa/3.0	</v>
    </spb>
    <spb s="1">
      <v>243</v>
      <v>243</v>
      <v>243</v>
      <v>243</v>
      <v>243</v>
      <v>243</v>
      <v>243</v>
      <v>243</v>
      <v>243</v>
    </spb>
    <spb s="0">
      <v xml:space="preserve">Wikipedia	</v>
      <v xml:space="preserve">CC BY-SA 3.0	</v>
      <v xml:space="preserve">https://en.wikipedia.org/wiki/Ithaca,_New_York	</v>
      <v xml:space="preserve">https://creativecommons.org/licenses/by-sa/3.0	</v>
    </spb>
    <spb s="14">
      <v>245</v>
      <v>245</v>
      <v>245</v>
      <v>245</v>
      <v>245</v>
      <v>245</v>
      <v>245</v>
      <v>245</v>
      <v>245</v>
      <v>245</v>
    </spb>
    <spb s="0">
      <v xml:space="preserve">Wikipedia	Wikipedia	</v>
      <v xml:space="preserve">CC-BY-SA	CC-BY-SA	</v>
      <v xml:space="preserve">http://en.wikipedia.org/wiki/Williamstown,_Massachusetts	http://de.wikipedia.org/wiki/Williamstown_(Massachusetts)	</v>
      <v xml:space="preserve">http://creativecommons.org/licenses/by-sa/3.0/	http://creativecommons.org/licenses/by-sa/3.0/	</v>
    </spb>
    <spb s="0">
      <v xml:space="preserve">Wikipedia	</v>
      <v xml:space="preserve">CC BY-SA 3.0	</v>
      <v xml:space="preserve">https://en.wikipedia.org/wiki/Williamstown,_Massachusetts	</v>
      <v xml:space="preserve">https://creativecommons.org/licenses/by-sa/3.0	</v>
    </spb>
    <spb s="14">
      <v>247</v>
      <v>248</v>
      <v>248</v>
      <v>248</v>
      <v>248</v>
      <v>248</v>
      <v>248</v>
      <v>248</v>
      <v>248</v>
      <v>248</v>
    </spb>
    <spb s="0">
      <v xml:space="preserve">Wikipedia	</v>
      <v xml:space="preserve">CC BY-SA 3.0	</v>
      <v xml:space="preserve">https://en.wikipedia.org/wiki/Grinnell,_Iowa	</v>
      <v xml:space="preserve">https://creativecommons.org/licenses/by-sa/3.0	</v>
    </spb>
    <spb s="14">
      <v>250</v>
      <v>250</v>
      <v>250</v>
      <v>250</v>
      <v>250</v>
      <v>250</v>
      <v>250</v>
      <v>250</v>
      <v>250</v>
      <v>250</v>
    </spb>
    <spb s="0">
      <v xml:space="preserve">Wikipedia	</v>
      <v xml:space="preserve">CC BY-SA 3.0	</v>
      <v xml:space="preserve">https://en.wikipedia.org/wiki/Waterville,_Maine	</v>
      <v xml:space="preserve">https://creativecommons.org/licenses/by-sa/3.0	</v>
    </spb>
    <spb s="14">
      <v>252</v>
      <v>252</v>
      <v>252</v>
      <v>252</v>
      <v>252</v>
      <v>252</v>
      <v>252</v>
      <v>252</v>
      <v>252</v>
      <v>252</v>
    </spb>
    <spb s="0">
      <v xml:space="preserve">Wikipedia	Cia	travel.state.gov	</v>
      <v xml:space="preserve">CC-BY-SA			</v>
      <v xml:space="preserve">http://en.wikipedia.org/wiki/Brazil	https://www.cia.gov/library/publications/the-world-factbook/geos/br.html?Transportation	https://travel.state.gov/content/travel/en/international-travel/International-Travel-Country-Information-Pages/Brazil.html	</v>
      <v xml:space="preserve">http://creativecommons.org/licenses/by-sa/3.0/			</v>
    </spb>
    <spb s="0">
      <v xml:space="preserve">Wikipedia	</v>
      <v xml:space="preserve">CC BY-SA 3.0	</v>
      <v xml:space="preserve">https://en.wikipedia.org/wiki/Brazil	</v>
      <v xml:space="preserve">https://creativecommons.org/licenses/by-sa/3.0	</v>
    </spb>
    <spb s="0">
      <v xml:space="preserve">Wikipedia	</v>
      <v xml:space="preserve">CC-BY-SA	</v>
      <v xml:space="preserve">http://en.wikipedia.org/wiki/Brazil	</v>
      <v xml:space="preserve">http://creativecommons.org/licenses/by-sa/3.0/	</v>
    </spb>
    <spb s="0">
      <v xml:space="preserve">Cia	</v>
      <v xml:space="preserve">	</v>
      <v xml:space="preserve">https://www.cia.gov/library/publications/the-world-factbook/geos/br.html?Transportation	</v>
      <v xml:space="preserve">	</v>
    </spb>
    <spb s="15">
      <v>10</v>
      <v>254</v>
      <v>255</v>
      <v>255</v>
      <v>13</v>
      <v>255</v>
      <v>255</v>
      <v>255</v>
      <v>256</v>
      <v>255</v>
      <v>255</v>
      <v>256</v>
      <v>255</v>
      <v>255</v>
      <v>257</v>
      <v>15</v>
      <v>254</v>
      <v>257</v>
      <v>17</v>
      <v>255</v>
      <v>257</v>
      <v>18</v>
      <v>19</v>
      <v>20</v>
      <v>257</v>
      <v>257</v>
      <v>255</v>
      <v>257</v>
      <v>21</v>
      <v>22</v>
      <v>23</v>
      <v>24</v>
      <v>257</v>
      <v>254</v>
      <v>257</v>
      <v>257</v>
      <v>257</v>
      <v>257</v>
      <v>257</v>
      <v>257</v>
      <v>257</v>
      <v>257</v>
      <v>257</v>
      <v>257</v>
      <v>25</v>
    </spb>
    <spb s="10">
      <v>2019</v>
      <v>2019</v>
      <v>square km</v>
      <v>per thousand (2018)</v>
      <v>2022</v>
      <v>2019</v>
      <v>2018</v>
      <v>per liter (2016)</v>
      <v>2019</v>
      <v>years (2018)</v>
      <v>2018</v>
      <v>per thousand (2018)</v>
      <v>2019</v>
      <v>2017</v>
      <v>2016</v>
      <v>2019</v>
      <v>2016</v>
      <v>2018</v>
      <v>kilotons per year (2016)</v>
      <v>deaths per 100,000 (2017)</v>
      <v>kWh (2014)</v>
      <v>2014</v>
      <v>2019</v>
      <v>2018</v>
      <v>2018</v>
      <v>2018</v>
      <v>2018</v>
      <v>2018</v>
      <v>2015</v>
      <v>2018</v>
      <v>2018</v>
      <v>2017</v>
      <v>2017</v>
      <v>2019</v>
    </spb>
    <spb s="0">
      <v xml:space="preserve">Wikipedia	Cia	travel.state.gov	</v>
      <v xml:space="preserve">CC-BY-SA			</v>
      <v xml:space="preserve">http://en.wikipedia.org/wiki/Switzerland	https://www.cia.gov/library/publications/the-world-factbook/geos/sz.html?Transportation	https://travel.state.gov/content/travel/en/international-travel/International-Travel-Country-Information-Pages/Switzerland.html.html	</v>
      <v xml:space="preserve">http://creativecommons.org/licenses/by-sa/3.0/			</v>
    </spb>
    <spb s="0">
      <v xml:space="preserve">Wikipedia	</v>
      <v xml:space="preserve">CC BY-SA 3.0	</v>
      <v xml:space="preserve">https://en.wikipedia.org/wiki/Switzerland	</v>
      <v xml:space="preserve">https://creativecommons.org/licenses/by-sa/3.0	</v>
    </spb>
    <spb s="0">
      <v xml:space="preserve">Wikipedia	</v>
      <v xml:space="preserve">CC-BY-SA	</v>
      <v xml:space="preserve">http://en.wikipedia.org/wiki/Switzerland	</v>
      <v xml:space="preserve">http://creativecommons.org/licenses/by-sa/3.0/	</v>
    </spb>
    <spb s="0">
      <v xml:space="preserve">Cia	</v>
      <v xml:space="preserve">	</v>
      <v xml:space="preserve">https://www.cia.gov/library/publications/the-world-factbook/geos/sz.html?Transportation	</v>
      <v xml:space="preserve">	</v>
    </spb>
    <spb s="21">
      <v>10</v>
      <v>260</v>
      <v>261</v>
      <v>261</v>
      <v>13</v>
      <v>261</v>
      <v>261</v>
      <v>261</v>
      <v>262</v>
      <v>261</v>
      <v>261</v>
      <v>261</v>
      <v>261</v>
      <v>263</v>
      <v>15</v>
      <v>260</v>
      <v>263</v>
      <v>17</v>
      <v>261</v>
      <v>263</v>
      <v>18</v>
      <v>19</v>
      <v>20</v>
      <v>263</v>
      <v>263</v>
      <v>261</v>
      <v>263</v>
      <v>21</v>
      <v>22</v>
      <v>23</v>
      <v>24</v>
      <v>263</v>
      <v>260</v>
      <v>263</v>
      <v>263</v>
      <v>263</v>
      <v>263</v>
      <v>263</v>
      <v>263</v>
      <v>263</v>
      <v>263</v>
      <v>263</v>
      <v>263</v>
      <v>25</v>
    </spb>
    <spb s="0">
      <v xml:space="preserve">Wikipedia	</v>
      <v xml:space="preserve">CC BY-SA 3.0	</v>
      <v xml:space="preserve">https://en.wikipedia.org/wiki/Toulouse	</v>
      <v xml:space="preserve">https://creativecommons.org/licenses/by-sa/3.0	</v>
    </spb>
    <spb s="14">
      <v>265</v>
      <v>265</v>
      <v>265</v>
      <v>265</v>
      <v>265</v>
      <v>265</v>
      <v>265</v>
      <v>265</v>
      <v>265</v>
      <v>265</v>
    </spb>
    <spb s="0">
      <v xml:space="preserve">Wikipedia	</v>
      <v xml:space="preserve">CC-BY-SA	</v>
      <v xml:space="preserve">http://en.wikipedia.org/wiki/University_Park,_Pennsylvania	</v>
      <v xml:space="preserve">http://creativecommons.org/licenses/by-sa/3.0/	</v>
    </spb>
    <spb s="0">
      <v xml:space="preserve">Wikipedia	Facebook	</v>
      <v xml:space="preserve">CC-BY-SA		</v>
      <v xml:space="preserve">http://en.wikipedia.org/wiki/University_Park,_Pennsylvania	https://www.facebook.com/The-Pennsylvania-State-University-at-University-Park-200958759935051	</v>
      <v xml:space="preserve">http://creativecommons.org/licenses/by-sa/3.0/		</v>
    </spb>
    <spb s="0">
      <v xml:space="preserve">Wikipedia	</v>
      <v xml:space="preserve">CC BY-SA 3.0	</v>
      <v xml:space="preserve">https://wikipedia.org	</v>
      <v xml:space="preserve">https://creativecommons.org/licenses/by-sa/3.0	</v>
    </spb>
    <spb s="23">
      <v>267</v>
      <v>268</v>
      <v>269</v>
      <v>269</v>
      <v>268</v>
      <v>267</v>
      <v>269</v>
      <v>269</v>
      <v>269</v>
    </spb>
    <spb s="2">
      <v>16</v>
      <v>Name</v>
      <v>LearnMoreOnLink</v>
    </spb>
    <spb s="24">
      <v>0</v>
      <v>0</v>
    </spb>
    <spb s="25">
      <v>3</v>
      <v>3</v>
      <v>272</v>
      <v>3</v>
    </spb>
    <spb s="26">
      <v>1</v>
      <v>15</v>
    </spb>
    <spb s="27">
      <v>square km</v>
    </spb>
    <spb s="0">
      <v xml:space="preserve">Wikipedia	</v>
      <v xml:space="preserve">CC BY-SA 3.0	</v>
      <v xml:space="preserve">https://en.wikipedia.org/wiki/Getafe	</v>
      <v xml:space="preserve">https://creativecommons.org/licenses/by-sa/3.0	</v>
    </spb>
    <spb s="1">
      <v>276</v>
      <v>276</v>
      <v>276</v>
      <v>276</v>
      <v>276</v>
      <v>276</v>
      <v>276</v>
      <v>276</v>
      <v>276</v>
    </spb>
    <spb s="0">
      <v xml:space="preserve">Wikipedia	Cia	travel.state.gov	</v>
      <v xml:space="preserve">CC-BY-SA			</v>
      <v xml:space="preserve">http://en.wikipedia.org/wiki/United_Kingdom	https://www.cia.gov/library/publications/the-world-factbook/geos/uk.html?Transportation	https://travel.state.gov/content/travel/en/international-travel/International-Travel-Country-Information-Pages/UnitedKingdom.html?wcmmode=disabled	</v>
      <v xml:space="preserve">http://creativecommons.org/licenses/by-sa/3.0/			</v>
    </spb>
    <spb s="0">
      <v xml:space="preserve">Wikipedia	</v>
      <v xml:space="preserve">CC BY-SA 3.0	</v>
      <v xml:space="preserve">https://en.wikipedia.org/wiki/United_Kingdom	</v>
      <v xml:space="preserve">https://creativecommons.org/licenses/by-sa/3.0	</v>
    </spb>
    <spb s="0">
      <v xml:space="preserve">Wikipedia	</v>
      <v xml:space="preserve">CC-BY-SA	</v>
      <v xml:space="preserve">http://en.wikipedia.org/wiki/United_Kingdom	</v>
      <v xml:space="preserve">http://creativecommons.org/licenses/by-sa/3.0/	</v>
    </spb>
    <spb s="0">
      <v xml:space="preserve">Cia	</v>
      <v xml:space="preserve">	</v>
      <v xml:space="preserve">https://www.cia.gov/library/publications/the-world-factbook/geos/uk.html?Transportation	</v>
      <v xml:space="preserve">	</v>
    </spb>
    <spb s="15">
      <v>10</v>
      <v>278</v>
      <v>279</v>
      <v>279</v>
      <v>13</v>
      <v>279</v>
      <v>279</v>
      <v>279</v>
      <v>280</v>
      <v>279</v>
      <v>279</v>
      <v>280</v>
      <v>279</v>
      <v>279</v>
      <v>281</v>
      <v>15</v>
      <v>278</v>
      <v>281</v>
      <v>17</v>
      <v>279</v>
      <v>281</v>
      <v>18</v>
      <v>19</v>
      <v>20</v>
      <v>281</v>
      <v>281</v>
      <v>279</v>
      <v>281</v>
      <v>21</v>
      <v>22</v>
      <v>23</v>
      <v>24</v>
      <v>281</v>
      <v>278</v>
      <v>281</v>
      <v>281</v>
      <v>281</v>
      <v>281</v>
      <v>281</v>
      <v>281</v>
      <v>281</v>
      <v>281</v>
      <v>281</v>
      <v>281</v>
      <v>25</v>
    </spb>
    <spb s="10">
      <v>2019</v>
      <v>2019</v>
      <v>square km</v>
      <v>per thousand (2018)</v>
      <v>2022</v>
      <v>2019</v>
      <v>2018</v>
      <v>per liter (2016)</v>
      <v>2019</v>
      <v>years (2018)</v>
      <v>2018</v>
      <v>per thousand (2018)</v>
      <v>2019</v>
      <v>2017</v>
      <v>2016</v>
      <v>2019</v>
      <v>2016</v>
      <v>2018</v>
      <v>kilotons per year (2016)</v>
      <v>deaths per 100,000 (2017)</v>
      <v>kWh (2014)</v>
      <v>2015</v>
      <v>2008</v>
      <v>2016</v>
      <v>2016</v>
      <v>2016</v>
      <v>2016</v>
      <v>2016</v>
      <v>2015</v>
      <v>2016</v>
      <v>2016</v>
      <v>2017</v>
      <v>2017</v>
      <v>2019</v>
    </spb>
    <spb s="0">
      <v xml:space="preserve">Wikipedia	</v>
      <v xml:space="preserve">CC BY-SA 3.0	</v>
      <v xml:space="preserve">https://en.wikipedia.org/wiki/London	</v>
      <v xml:space="preserve">https://creativecommons.org/licenses/by-sa/3.0	</v>
    </spb>
    <spb s="14">
      <v>284</v>
      <v>284</v>
      <v>284</v>
      <v>284</v>
      <v>284</v>
      <v>284</v>
      <v>284</v>
      <v>284</v>
      <v>284</v>
      <v>284</v>
    </spb>
    <spb s="0">
      <v xml:space="preserve">Wikipedia	Cia	travel.state.gov	</v>
      <v xml:space="preserve">CC-BY-SA			</v>
      <v xml:space="preserve">http://en.wikipedia.org/wiki/Norway	https://www.cia.gov/library/publications/the-world-factbook/geos/no.html?Transportation	https://travel.state.gov/content/travel/en/international-travel/International-Travel-Country-Information-Pages/Norway.html	</v>
      <v xml:space="preserve">http://creativecommons.org/licenses/by-sa/3.0/			</v>
    </spb>
    <spb s="0">
      <v xml:space="preserve">Wikipedia	</v>
      <v xml:space="preserve">CC BY-SA 3.0	</v>
      <v xml:space="preserve">https://en.wikipedia.org/wiki/Norway	</v>
      <v xml:space="preserve">https://creativecommons.org/licenses/by-sa/3.0	</v>
    </spb>
    <spb s="0">
      <v xml:space="preserve">Wikipedia	</v>
      <v xml:space="preserve">CC-BY-SA	</v>
      <v xml:space="preserve">http://en.wikipedia.org/wiki/Norway	</v>
      <v xml:space="preserve">http://creativecommons.org/licenses/by-sa/3.0/	</v>
    </spb>
    <spb s="0">
      <v xml:space="preserve">Cia	</v>
      <v xml:space="preserve">	</v>
      <v xml:space="preserve">https://www.cia.gov/library/publications/the-world-factbook/geos/no.html?Transportation	</v>
      <v xml:space="preserve">	</v>
    </spb>
    <spb s="21">
      <v>10</v>
      <v>286</v>
      <v>287</v>
      <v>287</v>
      <v>13</v>
      <v>287</v>
      <v>287</v>
      <v>287</v>
      <v>288</v>
      <v>287</v>
      <v>287</v>
      <v>287</v>
      <v>287</v>
      <v>289</v>
      <v>15</v>
      <v>286</v>
      <v>289</v>
      <v>17</v>
      <v>287</v>
      <v>289</v>
      <v>18</v>
      <v>19</v>
      <v>20</v>
      <v>289</v>
      <v>289</v>
      <v>287</v>
      <v>289</v>
      <v>21</v>
      <v>22</v>
      <v>23</v>
      <v>24</v>
      <v>289</v>
      <v>286</v>
      <v>289</v>
      <v>289</v>
      <v>289</v>
      <v>289</v>
      <v>289</v>
      <v>289</v>
      <v>289</v>
      <v>289</v>
      <v>289</v>
      <v>289</v>
      <v>25</v>
    </spb>
    <spb s="0">
      <v xml:space="preserve">Wikipedia	Cia	travel.state.gov	</v>
      <v xml:space="preserve">CC-BY-SA			</v>
      <v xml:space="preserve">http://en.wikipedia.org/wiki/Finland	https://www.cia.gov/library/publications/the-world-factbook/geos/fi.html?Transportation	https://travel.state.gov/content/travel/en/international-travel/International-Travel-Country-Information-Pages/Finland.html	</v>
      <v xml:space="preserve">http://creativecommons.org/licenses/by-sa/3.0/			</v>
    </spb>
    <spb s="0">
      <v xml:space="preserve">Wikipedia	</v>
      <v xml:space="preserve">CC BY-SA 3.0	</v>
      <v xml:space="preserve">https://en.wikipedia.org/wiki/Finland	</v>
      <v xml:space="preserve">https://creativecommons.org/licenses/by-sa/3.0	</v>
    </spb>
    <spb s="0">
      <v xml:space="preserve">Wikipedia	</v>
      <v xml:space="preserve">CC-BY-SA	</v>
      <v xml:space="preserve">http://en.wikipedia.org/wiki/Finland	</v>
      <v xml:space="preserve">http://creativecommons.org/licenses/by-sa/3.0/	</v>
    </spb>
    <spb s="0">
      <v xml:space="preserve">Cia	</v>
      <v xml:space="preserve">	</v>
      <v xml:space="preserve">https://www.cia.gov/library/publications/the-world-factbook/geos/fi.html?Transportation	</v>
      <v xml:space="preserve">	</v>
    </spb>
    <spb s="21">
      <v>10</v>
      <v>291</v>
      <v>292</v>
      <v>292</v>
      <v>13</v>
      <v>292</v>
      <v>292</v>
      <v>292</v>
      <v>293</v>
      <v>292</v>
      <v>292</v>
      <v>292</v>
      <v>292</v>
      <v>294</v>
      <v>15</v>
      <v>291</v>
      <v>294</v>
      <v>17</v>
      <v>292</v>
      <v>294</v>
      <v>18</v>
      <v>19</v>
      <v>20</v>
      <v>294</v>
      <v>294</v>
      <v>292</v>
      <v>294</v>
      <v>21</v>
      <v>22</v>
      <v>23</v>
      <v>24</v>
      <v>294</v>
      <v>291</v>
      <v>294</v>
      <v>294</v>
      <v>294</v>
      <v>294</v>
      <v>294</v>
      <v>294</v>
      <v>294</v>
      <v>294</v>
      <v>294</v>
      <v>294</v>
      <v>25</v>
    </spb>
    <spb s="10">
      <v>2019</v>
      <v>2019</v>
      <v>square km</v>
      <v>per thousand (2018)</v>
      <v>2022</v>
      <v>2019</v>
      <v>2018</v>
      <v>per liter (2016)</v>
      <v>2019</v>
      <v>years (2018)</v>
      <v>2018</v>
      <v>per thousand (2018)</v>
      <v>2019</v>
      <v>2017</v>
      <v>2016</v>
      <v>2019</v>
      <v>2016</v>
      <v>2016</v>
      <v>kilotons per year (2016)</v>
      <v>deaths per 100,000 (2017)</v>
      <v>kWh (2014)</v>
      <v>2015</v>
      <v>2004</v>
      <v>2017</v>
      <v>2017</v>
      <v>2017</v>
      <v>2017</v>
      <v>2017</v>
      <v>2015</v>
      <v>2017</v>
      <v>2017</v>
      <v>2017</v>
      <v>2017</v>
      <v>2019</v>
    </spb>
    <spb s="0">
      <v xml:space="preserve">Wikipedia	</v>
      <v xml:space="preserve">CC BY-SA 3.0	</v>
      <v xml:space="preserve">https://en.wikipedia.org/wiki/Cascais	</v>
      <v xml:space="preserve">https://creativecommons.org/licenses/by-sa/3.0	</v>
    </spb>
    <spb s="28">
      <v>297</v>
      <v>297</v>
      <v>297</v>
      <v>297</v>
      <v>297</v>
      <v>297</v>
      <v>297</v>
    </spb>
    <spb s="2">
      <v>17</v>
      <v>Name</v>
      <v>LearnMoreOnLink</v>
    </spb>
    <spb s="7">
      <v>square km</v>
      <v>2011</v>
    </spb>
    <spb s="0">
      <v xml:space="preserve">Wikipedia	Cia	travel.state.gov	</v>
      <v xml:space="preserve">CC-BY-SA			</v>
      <v xml:space="preserve">http://en.wikipedia.org/wiki/Portugal	https://www.cia.gov/library/publications/the-world-factbook/geos/po.html?Transportation	https://travel.state.gov/content/travel/en/international-travel/International-Travel-Country-Information-Pages/Portugal.html	</v>
      <v xml:space="preserve">http://creativecommons.org/licenses/by-sa/3.0/			</v>
    </spb>
    <spb s="0">
      <v xml:space="preserve">Wikipedia	</v>
      <v xml:space="preserve">CC BY-SA 3.0	</v>
      <v xml:space="preserve">https://en.wikipedia.org/wiki/Portugal	</v>
      <v xml:space="preserve">https://creativecommons.org/licenses/by-sa/3.0	</v>
    </spb>
    <spb s="0">
      <v xml:space="preserve">Wikipedia	</v>
      <v xml:space="preserve">CC-BY-SA	</v>
      <v xml:space="preserve">http://en.wikipedia.org/wiki/Portugal	</v>
      <v xml:space="preserve">http://creativecommons.org/licenses/by-sa/3.0/	</v>
    </spb>
    <spb s="0">
      <v xml:space="preserve">Cia	</v>
      <v xml:space="preserve">	</v>
      <v xml:space="preserve">https://www.cia.gov/library/publications/the-world-factbook/geos/po.html?Transportation	</v>
      <v xml:space="preserve">	</v>
    </spb>
    <spb s="15">
      <v>10</v>
      <v>301</v>
      <v>302</v>
      <v>302</v>
      <v>13</v>
      <v>302</v>
      <v>302</v>
      <v>302</v>
      <v>303</v>
      <v>302</v>
      <v>302</v>
      <v>303</v>
      <v>302</v>
      <v>302</v>
      <v>304</v>
      <v>15</v>
      <v>301</v>
      <v>304</v>
      <v>17</v>
      <v>302</v>
      <v>304</v>
      <v>18</v>
      <v>19</v>
      <v>20</v>
      <v>304</v>
      <v>304</v>
      <v>302</v>
      <v>304</v>
      <v>21</v>
      <v>22</v>
      <v>23</v>
      <v>24</v>
      <v>304</v>
      <v>301</v>
      <v>304</v>
      <v>304</v>
      <v>304</v>
      <v>304</v>
      <v>304</v>
      <v>304</v>
      <v>304</v>
      <v>304</v>
      <v>304</v>
      <v>304</v>
      <v>25</v>
    </spb>
    <spb s="10">
      <v>2019</v>
      <v>2019</v>
      <v>square km</v>
      <v>per thousand (2018)</v>
      <v>2022</v>
      <v>2019</v>
      <v>2018</v>
      <v>per liter (2016)</v>
      <v>2019</v>
      <v>years (2018)</v>
      <v>2018</v>
      <v>per thousand (2018)</v>
      <v>2019</v>
      <v>2017</v>
      <v>2016</v>
      <v>2019</v>
      <v>2016</v>
      <v>2017</v>
      <v>kilotons per year (2016)</v>
      <v>deaths per 100,000 (2017)</v>
      <v>kWh (2014)</v>
      <v>2015</v>
      <v>2018</v>
      <v>2017</v>
      <v>2017</v>
      <v>2017</v>
      <v>2017</v>
      <v>2017</v>
      <v>2015</v>
      <v>2017</v>
      <v>2017</v>
      <v>2017</v>
      <v>2017</v>
      <v>2019</v>
    </spb>
    <spb s="0">
      <v xml:space="preserve">Wikipedia	Cia	travel.state.gov	</v>
      <v xml:space="preserve">CC-BY-SA			</v>
      <v xml:space="preserve">http://en.wikipedia.org/wiki/Denmark	https://www.cia.gov/library/publications/the-world-factbook/geos/da.html?Transportation	https://travel.state.gov/content/travel/en/international-travel/International-Travel-Country-Information-Pages/Denmark.html	</v>
      <v xml:space="preserve">http://creativecommons.org/licenses/by-sa/3.0/			</v>
    </spb>
    <spb s="0">
      <v xml:space="preserve">Wikipedia	</v>
      <v xml:space="preserve">CC BY-SA 3.0	</v>
      <v xml:space="preserve">https://en.wikipedia.org/wiki/Denmark	</v>
      <v xml:space="preserve">https://creativecommons.org/licenses/by-sa/3.0	</v>
    </spb>
    <spb s="0">
      <v xml:space="preserve">Wikipedia	</v>
      <v xml:space="preserve">CC-BY-SA	</v>
      <v xml:space="preserve">http://en.wikipedia.org/wiki/Denmark	</v>
      <v xml:space="preserve">http://creativecommons.org/licenses/by-sa/3.0/	</v>
    </spb>
    <spb s="0">
      <v xml:space="preserve">Cia	</v>
      <v xml:space="preserve">	</v>
      <v xml:space="preserve">https://www.cia.gov/library/publications/the-world-factbook/geos/da.html?Transportation	</v>
      <v xml:space="preserve">	</v>
    </spb>
    <spb s="21">
      <v>10</v>
      <v>307</v>
      <v>308</v>
      <v>308</v>
      <v>13</v>
      <v>308</v>
      <v>308</v>
      <v>308</v>
      <v>309</v>
      <v>308</v>
      <v>308</v>
      <v>308</v>
      <v>308</v>
      <v>310</v>
      <v>15</v>
      <v>307</v>
      <v>310</v>
      <v>17</v>
      <v>308</v>
      <v>310</v>
      <v>18</v>
      <v>19</v>
      <v>20</v>
      <v>310</v>
      <v>310</v>
      <v>308</v>
      <v>310</v>
      <v>21</v>
      <v>22</v>
      <v>23</v>
      <v>24</v>
      <v>310</v>
      <v>307</v>
      <v>310</v>
      <v>310</v>
      <v>310</v>
      <v>310</v>
      <v>310</v>
      <v>310</v>
      <v>310</v>
      <v>310</v>
      <v>310</v>
      <v>310</v>
      <v>25</v>
    </spb>
    <spb s="0">
      <v xml:space="preserve">Wikipedia	Cia	travel.state.gov	</v>
      <v xml:space="preserve">CC-BY-SA			</v>
      <v xml:space="preserve">http://en.wikipedia.org/wiki/Mexico	https://www.cia.gov/library/publications/the-world-factbook/geos/mx.html?Transportation	https://travel.state.gov/content/travel/en/international-travel/International-Travel-Country-Information-Pages/Mexico.html	</v>
      <v xml:space="preserve">http://creativecommons.org/licenses/by-sa/3.0/			</v>
    </spb>
    <spb s="0">
      <v xml:space="preserve">Wikipedia	</v>
      <v xml:space="preserve">CC BY-SA 3.0	</v>
      <v xml:space="preserve">https://en.wikipedia.org/wiki/Mexico	</v>
      <v xml:space="preserve">https://creativecommons.org/licenses/by-sa/3.0	</v>
    </spb>
    <spb s="0">
      <v xml:space="preserve">Wikipedia	</v>
      <v xml:space="preserve">CC-BY-SA	</v>
      <v xml:space="preserve">http://en.wikipedia.org/wiki/Mexico	</v>
      <v xml:space="preserve">http://creativecommons.org/licenses/by-sa/3.0/	</v>
    </spb>
    <spb s="0">
      <v xml:space="preserve">Cia	</v>
      <v xml:space="preserve">	</v>
      <v xml:space="preserve">https://www.cia.gov/library/publications/the-world-factbook/geos/mx.html?Transportation	</v>
      <v xml:space="preserve">	</v>
    </spb>
    <spb s="15">
      <v>10</v>
      <v>312</v>
      <v>313</v>
      <v>313</v>
      <v>13</v>
      <v>313</v>
      <v>313</v>
      <v>313</v>
      <v>314</v>
      <v>313</v>
      <v>313</v>
      <v>314</v>
      <v>313</v>
      <v>313</v>
      <v>315</v>
      <v>15</v>
      <v>312</v>
      <v>315</v>
      <v>17</v>
      <v>313</v>
      <v>315</v>
      <v>18</v>
      <v>19</v>
      <v>20</v>
      <v>315</v>
      <v>315</v>
      <v>313</v>
      <v>315</v>
      <v>21</v>
      <v>22</v>
      <v>23</v>
      <v>24</v>
      <v>315</v>
      <v>312</v>
      <v>315</v>
      <v>315</v>
      <v>315</v>
      <v>315</v>
      <v>315</v>
      <v>315</v>
      <v>315</v>
      <v>315</v>
      <v>315</v>
      <v>315</v>
      <v>25</v>
    </spb>
    <spb s="10">
      <v>2019</v>
      <v>2019</v>
      <v>square km</v>
      <v>per thousand (2018)</v>
      <v>2022</v>
      <v>2019</v>
      <v>2018</v>
      <v>per liter (2016)</v>
      <v>2019</v>
      <v>years (2018)</v>
      <v>2018</v>
      <v>per thousand (2018)</v>
      <v>2019</v>
      <v>2017</v>
      <v>2016</v>
      <v>2019</v>
      <v>2016</v>
      <v>2017</v>
      <v>kilotons per year (2016)</v>
      <v>deaths per 100,000 (2017)</v>
      <v>kWh (2014)</v>
      <v>2015</v>
      <v>2019</v>
      <v>2018</v>
      <v>2018</v>
      <v>2018</v>
      <v>2018</v>
      <v>2018</v>
      <v>2015</v>
      <v>2018</v>
      <v>2018</v>
      <v>2017</v>
      <v>2017</v>
      <v>2019</v>
    </spb>
    <spb s="0">
      <v xml:space="preserve">Wikipedia	Cia	travel.state.gov	</v>
      <v xml:space="preserve">CC-BY-SA			</v>
      <v xml:space="preserve">http://en.wikipedia.org/wiki/South_Africa	https://www.cia.gov/library/publications/the-world-factbook/geos/sf.html?Transportation	https://travel.state.gov/content/travel/en/international-travel/International-Travel-Country-Information-Pages/SouthAfrica.html	</v>
      <v xml:space="preserve">http://creativecommons.org/licenses/by-sa/3.0/			</v>
    </spb>
    <spb s="0">
      <v xml:space="preserve">Wikipedia	</v>
      <v xml:space="preserve">CC BY-SA 3.0	</v>
      <v xml:space="preserve">https://en.wikipedia.org/wiki/South_Africa	</v>
      <v xml:space="preserve">https://creativecommons.org/licenses/by-sa/3.0	</v>
    </spb>
    <spb s="0">
      <v xml:space="preserve">Wikipedia	</v>
      <v xml:space="preserve">CC-BY-SA	</v>
      <v xml:space="preserve">http://en.wikipedia.org/wiki/South_Africa	</v>
      <v xml:space="preserve">http://creativecommons.org/licenses/by-sa/3.0/	</v>
    </spb>
    <spb s="0">
      <v xml:space="preserve">Cia	</v>
      <v xml:space="preserve">	</v>
      <v xml:space="preserve">https://www.cia.gov/library/publications/the-world-factbook/geos/sf.html?Transportation	</v>
      <v xml:space="preserve">	</v>
    </spb>
    <spb s="21">
      <v>10</v>
      <v>318</v>
      <v>319</v>
      <v>319</v>
      <v>13</v>
      <v>319</v>
      <v>319</v>
      <v>319</v>
      <v>320</v>
      <v>319</v>
      <v>319</v>
      <v>319</v>
      <v>319</v>
      <v>321</v>
      <v>15</v>
      <v>318</v>
      <v>321</v>
      <v>17</v>
      <v>319</v>
      <v>321</v>
      <v>18</v>
      <v>19</v>
      <v>20</v>
      <v>321</v>
      <v>321</v>
      <v>319</v>
      <v>321</v>
      <v>21</v>
      <v>22</v>
      <v>23</v>
      <v>24</v>
      <v>321</v>
      <v>318</v>
      <v>321</v>
      <v>321</v>
      <v>321</v>
      <v>321</v>
      <v>321</v>
      <v>321</v>
      <v>321</v>
      <v>321</v>
      <v>321</v>
      <v>321</v>
      <v>25</v>
    </spb>
    <spb s="10">
      <v>2019</v>
      <v>2019</v>
      <v>square km</v>
      <v>per thousand (2018)</v>
      <v>2022</v>
      <v>2019</v>
      <v>2018</v>
      <v>per liter (2016)</v>
      <v>2019</v>
      <v>years (2018)</v>
      <v>2018</v>
      <v>per thousand (2018)</v>
      <v>2019</v>
      <v>2017</v>
      <v>2016</v>
      <v>2019</v>
      <v>2016</v>
      <v>2017</v>
      <v>kilotons per year (2016)</v>
      <v>deaths per 100,000 (2017)</v>
      <v>kWh (2014)</v>
      <v>2014</v>
      <v>2019</v>
      <v>2014</v>
      <v>2014</v>
      <v>2014</v>
      <v>2014</v>
      <v>2014</v>
      <v>2015</v>
      <v>2014</v>
      <v>2014</v>
      <v>2017</v>
      <v>2017</v>
      <v>2019</v>
    </spb>
    <spb s="0">
      <v xml:space="preserve">Wikipedia	Cia	travel.state.gov	</v>
      <v xml:space="preserve">CC-BY-SA			</v>
      <v xml:space="preserve">http://en.wikipedia.org/wiki/Argentina	https://www.cia.gov/library/publications/the-world-factbook/geos/ar.html?Transportation	https://travel.state.gov/content/travel/en/international-travel/International-Travel-Country-Information-Pages/Argentina.html	</v>
      <v xml:space="preserve">http://creativecommons.org/licenses/by-sa/3.0/			</v>
    </spb>
    <spb s="0">
      <v xml:space="preserve">Wikipedia	</v>
      <v xml:space="preserve">CC BY-SA 3.0	</v>
      <v xml:space="preserve">https://en.wikipedia.org/wiki/Argentina	</v>
      <v xml:space="preserve">https://creativecommons.org/licenses/by-sa/3.0	</v>
    </spb>
    <spb s="0">
      <v xml:space="preserve">Wikipedia	</v>
      <v xml:space="preserve">CC-BY-SA	</v>
      <v xml:space="preserve">http://en.wikipedia.org/wiki/Argentina	</v>
      <v xml:space="preserve">http://creativecommons.org/licenses/by-sa/3.0/	</v>
    </spb>
    <spb s="0">
      <v xml:space="preserve">Cia	</v>
      <v xml:space="preserve">	</v>
      <v xml:space="preserve">https://www.cia.gov/library/publications/the-world-factbook/geos/ar.html?Transportation	</v>
      <v xml:space="preserve">	</v>
    </spb>
    <spb s="15">
      <v>10</v>
      <v>324</v>
      <v>325</v>
      <v>325</v>
      <v>13</v>
      <v>325</v>
      <v>325</v>
      <v>325</v>
      <v>326</v>
      <v>325</v>
      <v>325</v>
      <v>326</v>
      <v>325</v>
      <v>325</v>
      <v>327</v>
      <v>15</v>
      <v>324</v>
      <v>327</v>
      <v>17</v>
      <v>325</v>
      <v>327</v>
      <v>18</v>
      <v>19</v>
      <v>20</v>
      <v>327</v>
      <v>327</v>
      <v>325</v>
      <v>327</v>
      <v>21</v>
      <v>22</v>
      <v>23</v>
      <v>24</v>
      <v>327</v>
      <v>324</v>
      <v>327</v>
      <v>327</v>
      <v>327</v>
      <v>327</v>
      <v>327</v>
      <v>327</v>
      <v>327</v>
      <v>327</v>
      <v>327</v>
      <v>327</v>
      <v>25</v>
    </spb>
    <spb s="10">
      <v>2019</v>
      <v>2019</v>
      <v>square km</v>
      <v>per thousand (2018)</v>
      <v>2022</v>
      <v>2019</v>
      <v>2018</v>
      <v>per liter (2016)</v>
      <v>2019</v>
      <v>years (2018)</v>
      <v>2018</v>
      <v>per thousand (2018)</v>
      <v>2019</v>
      <v>2017</v>
      <v>2016</v>
      <v>2019</v>
      <v>2016</v>
      <v>2017</v>
      <v>kilotons per year (2016)</v>
      <v>deaths per 100,000 (2017)</v>
      <v>kWh (2014)</v>
      <v>2014</v>
      <v>2019</v>
      <v>2018</v>
      <v>2018</v>
      <v>2018</v>
      <v>2018</v>
      <v>2018</v>
      <v>2015</v>
      <v>2018</v>
      <v>2018</v>
      <v>2017</v>
      <v>2017</v>
      <v>2019</v>
    </spb>
    <spb s="0">
      <v xml:space="preserve">Wikipedia	travel.state.gov	</v>
      <v xml:space="preserve">CC-BY-SA		</v>
      <v xml:space="preserve">http://en.wikipedia.org/wiki/South_Korea	https://travel.state.gov/content/travel/en/international-travel/International-Travel-Country-Information-Pages/SouthKorea.html	</v>
      <v xml:space="preserve">http://creativecommons.org/licenses/by-sa/3.0/		</v>
    </spb>
    <spb s="0">
      <v xml:space="preserve">Wikipedia	</v>
      <v xml:space="preserve">CC BY-SA 3.0	</v>
      <v xml:space="preserve">https://en.wikipedia.org/wiki/South_Korea	</v>
      <v xml:space="preserve">https://creativecommons.org/licenses/by-sa/3.0	</v>
    </spb>
    <spb s="0">
      <v xml:space="preserve">Wikipedia	</v>
      <v xml:space="preserve">CC-BY-SA	</v>
      <v xml:space="preserve">http://en.wikipedia.org/wiki/South_Korea	</v>
      <v xml:space="preserve">http://creativecommons.org/licenses/by-sa/3.0/	</v>
    </spb>
    <spb s="0">
      <v xml:space="preserve">Cia	</v>
      <v xml:space="preserve">	</v>
      <v xml:space="preserve">https://www.cia.gov/library/publications/the-world-factbook/geos/ks.html?Transportation	</v>
      <v xml:space="preserve">	</v>
    </spb>
    <spb s="0">
      <v xml:space="preserve">Wikipedia	Cia	travel.state.gov	</v>
      <v xml:space="preserve">CC-BY-SA			</v>
      <v xml:space="preserve">http://en.wikipedia.org/wiki/South_Korea	https://www.cia.gov/library/publications/the-world-factbook/geos/ks.html?Transportation	https://travel.state.gov/content/travel/en/international-travel/International-Travel-Country-Information-Pages/SouthKorea.html	</v>
      <v xml:space="preserve">http://creativecommons.org/licenses/by-sa/3.0/			</v>
    </spb>
    <spb s="15">
      <v>10</v>
      <v>330</v>
      <v>331</v>
      <v>331</v>
      <v>13</v>
      <v>331</v>
      <v>331</v>
      <v>331</v>
      <v>332</v>
      <v>331</v>
      <v>331</v>
      <v>332</v>
      <v>331</v>
      <v>331</v>
      <v>333</v>
      <v>15</v>
      <v>334</v>
      <v>333</v>
      <v>17</v>
      <v>331</v>
      <v>333</v>
      <v>18</v>
      <v>19</v>
      <v>20</v>
      <v>333</v>
      <v>333</v>
      <v>331</v>
      <v>333</v>
      <v>21</v>
      <v>22</v>
      <v>23</v>
      <v>24</v>
      <v>333</v>
      <v>334</v>
      <v>333</v>
      <v>333</v>
      <v>333</v>
      <v>333</v>
      <v>333</v>
      <v>333</v>
      <v>333</v>
      <v>333</v>
      <v>333</v>
      <v>333</v>
      <v>25</v>
    </spb>
    <spb s="10">
      <v>2019</v>
      <v>2017</v>
      <v>square km</v>
      <v>per thousand (2018)</v>
      <v>2022</v>
      <v>2019</v>
      <v>2018</v>
      <v>per liter (2016)</v>
      <v>2019</v>
      <v>years (2018)</v>
      <v>2018</v>
      <v>per thousand (2018)</v>
      <v>2019</v>
      <v>2017</v>
      <v>2016</v>
      <v>2019</v>
      <v>2016</v>
      <v>2017</v>
      <v>kilotons per year (2016)</v>
      <v>deaths per 100,000 (2017)</v>
      <v>kWh (2014)</v>
      <v>2015</v>
      <v>2018</v>
      <v>2012</v>
      <v>2012</v>
      <v>2012</v>
      <v>2012</v>
      <v>2012</v>
      <v>2015</v>
      <v>2012</v>
      <v>2012</v>
      <v>2017</v>
      <v>2017</v>
      <v>2019</v>
    </spb>
    <spb s="0">
      <v xml:space="preserve">Wikipedia	</v>
      <v xml:space="preserve">CC BY-SA 3.0	</v>
      <v xml:space="preserve">https://en.wikipedia.org/wiki/Prague	</v>
      <v xml:space="preserve">https://creativecommons.org/licenses/by-sa/3.0	</v>
    </spb>
    <spb s="0">
      <v xml:space="preserve">Wikipedia	</v>
      <v xml:space="preserve">CC-BY-SA	</v>
      <v xml:space="preserve">http://en.wikipedia.org/wiki/Prague	</v>
      <v xml:space="preserve">http://creativecommons.org/licenses/by-sa/3.0/	</v>
    </spb>
    <spb s="29">
      <v>337</v>
      <v>337</v>
      <v>337</v>
      <v>337</v>
      <v>337</v>
      <v>338</v>
      <v>337</v>
    </spb>
    <spb s="2">
      <v>18</v>
      <v>Name</v>
      <v>LearnMoreOnLink</v>
    </spb>
    <spb s="0">
      <v xml:space="preserve">Wikipedia	Cia	travel.state.gov	</v>
      <v xml:space="preserve">CC-BY-SA			</v>
      <v xml:space="preserve">http://en.wikipedia.org/wiki/Slovakia	https://www.cia.gov/library/publications/the-world-factbook/geos/lo.html?Transportation	https://travel.state.gov/content/travel/en/international-travel/International-Travel-Country-Information-Pages/Slovakia.html	</v>
      <v xml:space="preserve">http://creativecommons.org/licenses/by-sa/3.0/			</v>
    </spb>
    <spb s="0">
      <v xml:space="preserve">Wikipedia	</v>
      <v xml:space="preserve">CC BY-SA 3.0	</v>
      <v xml:space="preserve">https://en.wikipedia.org/wiki/Slovakia	</v>
      <v xml:space="preserve">https://creativecommons.org/licenses/by-sa/3.0	</v>
    </spb>
    <spb s="0">
      <v xml:space="preserve">Wikipedia	</v>
      <v xml:space="preserve">CC-BY-SA	</v>
      <v xml:space="preserve">http://en.wikipedia.org/wiki/Slovakia	</v>
      <v xml:space="preserve">http://creativecommons.org/licenses/by-sa/3.0/	</v>
    </spb>
    <spb s="0">
      <v xml:space="preserve">Cia	</v>
      <v xml:space="preserve">	</v>
      <v xml:space="preserve">https://www.cia.gov/library/publications/the-world-factbook/geos/lo.html?Transportation	</v>
      <v xml:space="preserve">	</v>
    </spb>
    <spb s="15">
      <v>10</v>
      <v>341</v>
      <v>342</v>
      <v>342</v>
      <v>13</v>
      <v>342</v>
      <v>342</v>
      <v>342</v>
      <v>343</v>
      <v>342</v>
      <v>342</v>
      <v>343</v>
      <v>342</v>
      <v>342</v>
      <v>344</v>
      <v>15</v>
      <v>341</v>
      <v>344</v>
      <v>17</v>
      <v>342</v>
      <v>344</v>
      <v>18</v>
      <v>19</v>
      <v>20</v>
      <v>344</v>
      <v>344</v>
      <v>342</v>
      <v>344</v>
      <v>21</v>
      <v>22</v>
      <v>23</v>
      <v>24</v>
      <v>344</v>
      <v>341</v>
      <v>344</v>
      <v>344</v>
      <v>344</v>
      <v>344</v>
      <v>344</v>
      <v>344</v>
      <v>344</v>
      <v>344</v>
      <v>344</v>
      <v>344</v>
      <v>25</v>
    </spb>
    <spb s="10">
      <v>2019</v>
      <v>2019</v>
      <v>square km</v>
      <v>per thousand (2018)</v>
      <v>2022</v>
      <v>2019</v>
      <v>2018</v>
      <v>per liter (2016)</v>
      <v>2019</v>
      <v>years (2018)</v>
      <v>2018</v>
      <v>per thousand (2018)</v>
      <v>2019</v>
      <v>2017</v>
      <v>2016</v>
      <v>2019</v>
      <v>2016</v>
      <v>2017</v>
      <v>kilotons per year (2016)</v>
      <v>deaths per 100,000 (2017)</v>
      <v>kWh (2014)</v>
      <v>2015</v>
      <v>2013</v>
      <v>2016</v>
      <v>2016</v>
      <v>2016</v>
      <v>2016</v>
      <v>2016</v>
      <v>2015</v>
      <v>2016</v>
      <v>2016</v>
      <v>2017</v>
      <v>2017</v>
      <v>2019</v>
    </spb>
    <spb s="0">
      <v xml:space="preserve">Wikipedia	</v>
      <v xml:space="preserve">CC BY-SA 3.0	</v>
      <v xml:space="preserve">https://en.wikipedia.org/wiki/Indianapolis	</v>
      <v xml:space="preserve">https://creativecommons.org/licenses/by-sa/3.0	</v>
    </spb>
    <spb s="14">
      <v>347</v>
      <v>347</v>
      <v>347</v>
      <v>347</v>
      <v>347</v>
      <v>347</v>
      <v>347</v>
      <v>347</v>
      <v>347</v>
      <v>347</v>
    </spb>
    <spb s="0">
      <v xml:space="preserve">Wikipedia	</v>
      <v xml:space="preserve">CC BY-SA 3.0	</v>
      <v xml:space="preserve">https://en.wikipedia.org/wiki/Portland,_Oregon	</v>
      <v xml:space="preserve">https://creativecommons.org/licenses/by-sa/3.0	</v>
    </spb>
    <spb s="14">
      <v>349</v>
      <v>349</v>
      <v>349</v>
      <v>349</v>
      <v>349</v>
      <v>349</v>
      <v>349</v>
      <v>349</v>
      <v>349</v>
      <v>349</v>
    </spb>
    <spb s="0">
      <v xml:space="preserve">Wikipedia	</v>
      <v xml:space="preserve">CC BY-SA 3.0	</v>
      <v xml:space="preserve">https://en.wikipedia.org/wiki/Pittsburgh	</v>
      <v xml:space="preserve">https://creativecommons.org/licenses/by-sa/3.0	</v>
    </spb>
    <spb s="14">
      <v>351</v>
      <v>351</v>
      <v>351</v>
      <v>351</v>
      <v>351</v>
      <v>351</v>
      <v>351</v>
      <v>351</v>
      <v>351</v>
      <v>351</v>
    </spb>
  </spbData>
</supportingPropertyBags>
</file>

<file path=xl/richData/rdsupportingpropertybagstructure.xml><?xml version="1.0" encoding="utf-8"?>
<spbStructures xmlns="http://schemas.microsoft.com/office/spreadsheetml/2017/richdata2" count="30">
  <s>
    <k n="SourceText" t="s"/>
    <k n="LicenseText" t="s"/>
    <k n="SourceAddress" t="s"/>
    <k n="LicenseAddress" t="s"/>
  </s>
  <s>
    <k n="Area" t="spb"/>
    <k n="Name" t="spb"/>
    <k n="Latitude" t="spb"/>
    <k n="Longitude" t="spb"/>
    <k n="Population" t="spb"/>
    <k n="UniqueName" t="spb"/>
    <k n="Description" t="spb"/>
    <k n="Country/region" t="spb"/>
    <k n="Admin Division 1 (State/province/other)" t="spb"/>
  </s>
  <s>
    <k n="^Order" t="spba"/>
    <k n="TitleProperty" t="s"/>
    <k n="SubTitleProperty" t="s"/>
  </s>
  <s>
    <k n="ShowInCardView" t="b"/>
    <k n="ShowInDotNotation" t="b"/>
    <k n="ShowInAutoComplete" t="b"/>
  </s>
  <s>
    <k n="UniqueName" t="spb"/>
    <k n="VDPID/VSID" t="spb"/>
    <k n="LearnMoreOnLink" t="spb"/>
  </s>
  <s>
    <k n="Name" t="i"/>
    <k n="Image" t="i"/>
  </s>
  <s>
    <k n="link" t="s"/>
    <k n="logo" t="s"/>
    <k n="name" t="s"/>
  </s>
  <s>
    <k n="Area" t="s"/>
    <k n="Population" t="s"/>
  </s>
  <s>
    <k n="_Self" t="i"/>
  </s>
  <s>
    <k n="CPI" t="spb"/>
    <k n="GDP" t="spb"/>
    <k n="Area" t="spb"/>
    <k n="Name" t="spb"/>
    <k n="Birth rate" t="spb"/>
    <k n="Population" t="spb"/>
    <k n="UniqueName" t="spb"/>
    <k n="Description" t="spb"/>
    <k n="Abbreviation" t="spb"/>
    <k n="Calling code" t="spb"/>
    <k n="Largest city" t="spb"/>
    <k n="Minimum wage" t="spb"/>
    <k n="Currency code" t="spb"/>
    <k n="Official name" t="spb"/>
    <k n="Fertility rate" t="spb"/>
    <k n="Gasoline price" t="spb"/>
    <k n="Total tax rate" t="spb"/>
    <k n="Life expectancy" t="spb"/>
    <k n="National anthem" t="spb"/>
    <k n="Tax revenue (%)" t="spb"/>
    <k n="Infant mortality" t="spb"/>
    <k n="Urban population" t="spb"/>
    <k n="Armed forces size" t="spb"/>
    <k n="Forested area (%)"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CPI" t="s"/>
    <k n="GDP" t="s"/>
    <k n="Area" t="s"/>
    <k n="Birth rate" t="s"/>
    <k n="Population" t="s"/>
    <k n="CPI Change (%)" t="s"/>
    <k n="Fertility rate" t="s"/>
    <k n="Gasoline pric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Electric power consumption" t="s"/>
    <k n="Fossil fuel energy consumption" t="s"/>
    <k n="Market cap of listed companies" t="s"/>
    <k n="Population: Income share third 20%" t="s"/>
    <k n="Population: Income share fourth 20%" t="s"/>
    <k n="Population: Income share lowest 10%" t="s"/>
    <k n="Population: Income share lowest 20%" t="s"/>
    <k n="Population: Income share second 20%" t="s"/>
    <k n="Out of pocket health expenditure (%)" t="s"/>
    <k n="Population: Income share highest 10%" t="s"/>
    <k n="Population: Income share highest 20%" t="s"/>
    <k n="Gross primary education enrollment (%)" t="s"/>
    <k n="Gross tertiary education enrollment (%)" t="s"/>
    <k n="Population: Labor force participation (%)" t="s"/>
  </s>
  <s>
    <k n="Area" t="spb"/>
    <k n="Name" t="spb"/>
    <k n="Households" t="spb"/>
    <k n="Population" t="spb"/>
    <k n="UniqueName" t="spb"/>
    <k n="Description" t="spb"/>
    <k n="Abbreviation" t="spb"/>
    <k n="Housing units" t="spb"/>
    <k n="Country/region" t="spb"/>
    <k n="Building permits" t="spb"/>
    <k n="Median gross rent" t="spb"/>
    <k n="Persons per household" t="spb"/>
    <k n="Population change (%)" t="spb"/>
    <k n="Population: Asian (%)" t="spb"/>
    <k n="Population: White (%)" t="spb"/>
    <k n="Median household income" t="spb"/>
    <k n="Population: Age 65+ (%)" t="spb"/>
    <k n="Population: Under age 5 (%)" t="spb"/>
    <k n="Population: Under age 18 (%)" t="spb"/>
    <k n="Population: Two or more races (%)" t="spb"/>
    <k n="Population: Hispanic or Latino (%)" t="spb"/>
    <k n="Population: Foreign born persons (%)" t="spb"/>
    <k n="Population: In civilian labor force (%)" t="spb"/>
    <k n="Population: Black or African American (%)" t="spb"/>
    <k n="Population: Persons with a disability (%)" t="spb"/>
    <k n="Median value, owner-occupied housing units" t="spb"/>
    <k n="Population: Bachelor's degree or higher (%)" t="spb"/>
    <k n="Population: High school graduate or higher (%)" t="spb"/>
    <k n="Population: American Indian and Alaskan Native (%)" t="spb"/>
    <k n="Population: Native Hawaiian and Other Pacific Islander (%)" t="spb"/>
  </s>
  <s>
    <k n="Area" t="s"/>
    <k n="Households" t="s"/>
    <k n="Population" t="s"/>
    <k n="Housing units" t="s"/>
    <k n="Building permits" t="s"/>
    <k n="Median gross rent" t="s"/>
    <k n="Persons per household" t="s"/>
    <k n="Population change (%)" t="s"/>
    <k n="Population: Asian (%)" t="s"/>
    <k n="Population: White (%)" t="s"/>
    <k n="Median household income" t="s"/>
    <k n="Population: Age 65+ (%)" t="s"/>
    <k n="Population: Under age 5 (%)" t="s"/>
    <k n="Population: Under age 18 (%)" t="s"/>
    <k n="Population: Two or more races (%)" t="s"/>
    <k n="Population: Hispanic or Latino (%)" t="s"/>
    <k n="Population: Foreign born persons (%)" t="s"/>
    <k n="Population: In civilian labor force (%)" t="s"/>
    <k n="Population: Black or African American (%)" t="s"/>
    <k n="Population: Persons with a disability (%)" t="s"/>
    <k n="Median value, owner-occupied housing units" t="s"/>
    <k n="Population: Bachelor's degree or higher (%)" t="s"/>
    <k n="Population: High school graduate or higher (%)" t="s"/>
    <k n="Population: American Indian and Alaskan Native (%)" t="s"/>
    <k n="Population: Native Hawaiian and Other Pacific Islander (%)" t="s"/>
  </s>
  <s>
    <k n="Area" t="spb"/>
    <k n="Name" t="spb"/>
    <k n="Households" t="spb"/>
    <k n="Population" t="spb"/>
    <k n="UniqueName" t="spb"/>
    <k n="Description" t="spb"/>
    <k n="Abbreviation" t="spb"/>
    <k n="Largest city" t="spb"/>
    <k n="Housing units" t="spb"/>
    <k n="Country/region" t="spb"/>
    <k n="Building permits" t="spb"/>
    <k n="Median gross rent" t="spb"/>
    <k n="Capital/Major City" t="spb"/>
    <k n="Persons per household" t="spb"/>
    <k n="Population change (%)" t="spb"/>
    <k n="Population: Asian (%)" t="spb"/>
    <k n="Population: White (%)" t="spb"/>
    <k n="Median household income" t="spb"/>
    <k n="Population: Age 65+ (%)" t="spb"/>
    <k n="Population: Under age 5 (%)" t="spb"/>
    <k n="Population: Under age 18 (%)" t="spb"/>
    <k n="Population: Two or more races (%)" t="spb"/>
    <k n="Population: Hispanic or Latino (%)" t="spb"/>
    <k n="Population: Foreign born persons (%)" t="spb"/>
    <k n="Population: In civilian labor force (%)" t="spb"/>
    <k n="Population: Black or African American (%)" t="spb"/>
    <k n="Population: Persons with a disability (%)" t="spb"/>
    <k n="Median value, owner-occupied housing units" t="spb"/>
    <k n="Population: Bachelor's degree or higher (%)" t="spb"/>
    <k n="Population: High school graduate or higher (%)" t="spb"/>
    <k n="Population: American Indian and Alaskan Native (%)" t="spb"/>
    <k n="Population: Native Hawaiian and Other Pacific Islander (%)" t="spb"/>
  </s>
  <s>
    <k n="Area" t="spb"/>
    <k n="Name" t="spb"/>
    <k n="Latitude" t="spb"/>
    <k n="Longitude" t="spb"/>
    <k n="Population" t="spb"/>
    <k n="UniqueName" t="spb"/>
    <k n="Description" t="spb"/>
    <k n="Country/region" t="spb"/>
    <k n="Admin Division 1 (State/province/other)" t="spb"/>
    <k n="Admin Division 2 (County/district/other)" t="spb"/>
  </s>
  <s>
    <k n="CPI" t="spb"/>
    <k n="GDP" t="spb"/>
    <k n="Area" t="spb"/>
    <k n="Name" t="spb"/>
    <k n="Birth rate" t="spb"/>
    <k n="Population" t="spb"/>
    <k n="UniqueName" t="spb"/>
    <k n="Description" t="spb"/>
    <k n="Abbreviation" t="spb"/>
    <k n="Calling code" t="spb"/>
    <k n="Largest city" t="spb"/>
    <k n="Minimum wag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Area" t="spb"/>
    <k n="Name" t="spb"/>
    <k n="Households" t="spb"/>
    <k n="Population" t="spb"/>
    <k n="UniqueName" t="spb"/>
    <k n="Description" t="spb"/>
    <k n="Abbreviation" t="spb"/>
    <k n="Largest city" t="spb"/>
    <k n="Housing units" t="spb"/>
    <k n="Country/region" t="spb"/>
    <k n="Building permits" t="spb"/>
    <k n="Capital/Major City" t="spb"/>
    <k n="Persons per household" t="spb"/>
    <k n="Median household income" t="spb"/>
  </s>
  <s>
    <k n="Area" t="s"/>
    <k n="Households" t="s"/>
    <k n="Population" t="s"/>
    <k n="Housing units" t="s"/>
    <k n="Building permits" t="s"/>
    <k n="Persons per household" t="s"/>
    <k n="Median household income" t="s"/>
  </s>
  <s>
    <k n="Area" t="spb"/>
    <k n="Name" t="spb"/>
    <k n="Population" t="spb"/>
    <k n="UniqueName" t="spb"/>
    <k n="Description" t="spb"/>
    <k n="Abbreviation" t="spb"/>
    <k n="Largest city" t="spb"/>
    <k n="Country/region" t="spb"/>
    <k n="Capital/Major City" t="spb"/>
  </s>
  <s>
    <k n="Area" t="spb"/>
    <k n="Name" t="spb"/>
    <k n="Households" t="spb"/>
    <k n="Population" t="spb"/>
    <k n="UniqueName" t="spb"/>
    <k n="Description" t="spb"/>
    <k n="Abbreviation" t="spb"/>
    <k n="Housing units" t="spb"/>
    <k n="Country/region" t="spb"/>
    <k n="Persons per household" t="spb"/>
  </s>
  <s>
    <k n="Area" t="s"/>
    <k n="Households" t="s"/>
    <k n="Population" t="s"/>
    <k n="Housing units" t="s"/>
    <k n="Persons per household" t="s"/>
  </s>
  <s>
    <k n="CPI" t="spb"/>
    <k n="GDP" t="spb"/>
    <k n="Area" t="spb"/>
    <k n="Name" t="spb"/>
    <k n="Birth rate" t="spb"/>
    <k n="Population" t="spb"/>
    <k n="UniqueName" t="spb"/>
    <k n="Description" t="spb"/>
    <k n="Abbreviation" t="spb"/>
    <k n="Calling code" t="spb"/>
    <k n="Largest city"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Name" t="i"/>
  </s>
  <s>
    <k n="Area" t="spb"/>
    <k n="Name" t="spb"/>
    <k n="Latitude" t="spb"/>
    <k n="Longitude" t="spb"/>
    <k n="UniqueName" t="spb"/>
    <k n="Description" t="spb"/>
    <k n="Country/region" t="spb"/>
    <k n="Admin Division 1 (State/province/other)" t="spb"/>
    <k n="Admin Division 2 (County/district/other)" t="spb"/>
  </s>
  <s>
    <k n="ShowInDotNotation" t="b"/>
    <k n="ShowInAutoComplete" t="b"/>
  </s>
  <s>
    <k n="UniqueName" t="spb"/>
    <k n="VDPID/VSID" t="spb"/>
    <k n="Description" t="spb"/>
    <k n="LearnMoreOnLink" t="spb"/>
  </s>
  <s>
    <k n="Name" t="i"/>
    <k n="Description" t="i"/>
  </s>
  <s>
    <k n="Area" t="s"/>
  </s>
  <s>
    <k n="Area" t="spb"/>
    <k n="Name" t="spb"/>
    <k n="Population" t="spb"/>
    <k n="UniqueName" t="spb"/>
    <k n="Description" t="spb"/>
    <k n="Country/region" t="spb"/>
    <k n="Admin Division 1 (State/province/other)" t="spb"/>
  </s>
  <s>
    <k n="Area" t="spb"/>
    <k n="Name" t="spb"/>
    <k n="Population" t="spb"/>
    <k n="UniqueName" t="spb"/>
    <k n="Description" t="spb"/>
    <k n="Abbreviation" t="spb"/>
    <k n="Country/region" t="spb"/>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3" formatCode="#,##0"/>
    </x:dxf>
    <x:dxf>
      <x:numFmt numFmtId="0" formatCode="General"/>
    </x:dxf>
    <x:dxf>
      <x:numFmt numFmtId="14" formatCode="0.00%"/>
    </x:dxf>
    <x:dxf>
      <x:numFmt numFmtId="2" formatCode="0.00"/>
    </x:dxf>
    <x:dxf>
      <x:numFmt numFmtId="13" formatCode="0%"/>
    </x:dxf>
    <x:dxf>
      <x:numFmt numFmtId="4" formatCode="#,##0.00"/>
    </x:dxf>
    <x:dxf>
      <x:numFmt numFmtId="1" formatCode="0"/>
    </x:dxf>
  </dxfs>
  <richProperties>
    <rPr n="IsTitleField" t="b"/>
    <rPr n="IsHeroField" t="b"/>
    <rPr n="NumberFormat" t="s"/>
    <rPr n="RequiresInlineAttribution" t="b"/>
  </richProperties>
  <richStyles>
    <rSty>
      <rpv i="0">1</rpv>
    </rSty>
    <rSty>
      <rpv i="1">1</rpv>
    </rSty>
    <rSty dxfid="0">
      <rpv i="2">#,##0</rpv>
    </rSty>
    <rSty dxfid="1">
      <rpv i="2">0.0000</rpv>
    </rSty>
    <rSty dxfid="2">
      <rpv i="2">0.0%</rpv>
    </rSty>
    <rSty dxfid="3">
      <rpv i="2">0.00</rpv>
    </rSty>
    <rSty dxfid="6">
      <rpv i="2">0</rpv>
    </rSty>
    <rSty dxfid="5">
      <rpv i="2">#,##0.00</rpv>
    </rSty>
    <rSty dxfid="1">
      <rpv i="2">0.0</rpv>
    </rSty>
    <rSty dxfid="1">
      <rpv i="2">_([$$-en-US]* #,##0.00_);_([$$-en-US]* (#,##0.00);_([$$-en-US]* "-"??_);_(@_)</rpv>
    </rSty>
    <rSty dxfid="1">
      <rpv i="2">_([$$-en-US]* #,##0_);_([$$-en-US]* (#,##0);_([$$-en-US]* "-"_);_(@_)</rpv>
    </rSty>
    <rSty dxfid="2"/>
    <rSty dxfid="4"/>
    <rSty dxfid="1">
      <rpv i="2">_([$$-en-CA]* #,##0_);_([$$-en-CA]* (#,##0);_([$$-en-CA]* "-"_);_(@_)</rpv>
    </rSty>
    <rSty>
      <rpv i="3">1</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www.uwo.ca/index.html" TargetMode="External"/><Relationship Id="rId21" Type="http://schemas.openxmlformats.org/officeDocument/2006/relationships/hyperlink" Target="https://www.rfberlin.com/" TargetMode="External"/><Relationship Id="rId42" Type="http://schemas.openxmlformats.org/officeDocument/2006/relationships/hyperlink" Target="https://www.itam.mx/" TargetMode="External"/><Relationship Id="rId47" Type="http://schemas.openxmlformats.org/officeDocument/2006/relationships/hyperlink" Target="https://www.haverford.edu/" TargetMode="External"/><Relationship Id="rId63" Type="http://schemas.openxmlformats.org/officeDocument/2006/relationships/hyperlink" Target="https://www.uu.nl/en/organisation/working-at-utrecht-university/jobs/lecturer-in-applied-economics" TargetMode="External"/><Relationship Id="rId68" Type="http://schemas.openxmlformats.org/officeDocument/2006/relationships/hyperlink" Target="https://economics.virginia.edu/" TargetMode="External"/><Relationship Id="rId84" Type="http://schemas.openxmlformats.org/officeDocument/2006/relationships/hyperlink" Target="mailto:ari.hyytinen@hanken.fi" TargetMode="External"/><Relationship Id="rId89" Type="http://schemas.openxmlformats.org/officeDocument/2006/relationships/hyperlink" Target="https://jobs.wisc.edu/jobs/assistant-professor-in-agricultural-and-applied-economics-madison-wisconsin-united-states" TargetMode="External"/><Relationship Id="rId16" Type="http://schemas.openxmlformats.org/officeDocument/2006/relationships/hyperlink" Target="https://www.babson.edu/" TargetMode="External"/><Relationship Id="rId11" Type="http://schemas.openxmlformats.org/officeDocument/2006/relationships/hyperlink" Target="https://www.american.edu/" TargetMode="External"/><Relationship Id="rId32" Type="http://schemas.openxmlformats.org/officeDocument/2006/relationships/hyperlink" Target="https://www.sciencespo.fr/en/" TargetMode="External"/><Relationship Id="rId37" Type="http://schemas.openxmlformats.org/officeDocument/2006/relationships/hyperlink" Target="https://www.cunef.edu/" TargetMode="External"/><Relationship Id="rId53" Type="http://schemas.openxmlformats.org/officeDocument/2006/relationships/hyperlink" Target="https://crese.univ-fcomte.fr/fr" TargetMode="External"/><Relationship Id="rId58" Type="http://schemas.openxmlformats.org/officeDocument/2006/relationships/hyperlink" Target="mailto:a.gorbenko@ucl.co.uk" TargetMode="External"/><Relationship Id="rId74" Type="http://schemas.openxmlformats.org/officeDocument/2006/relationships/hyperlink" Target="https://jobs.iadb.org/job/Economics-Specialist/1922-en_US/" TargetMode="External"/><Relationship Id="rId79" Type="http://schemas.openxmlformats.org/officeDocument/2006/relationships/hyperlink" Target="https://www.berry.edu/" TargetMode="External"/><Relationship Id="rId5" Type="http://schemas.openxmlformats.org/officeDocument/2006/relationships/hyperlink" Target="https://www.williams.edu/" TargetMode="External"/><Relationship Id="rId14" Type="http://schemas.openxmlformats.org/officeDocument/2006/relationships/hyperlink" Target="https://www.analysisgroup.com/" TargetMode="External"/><Relationship Id="rId22" Type="http://schemas.openxmlformats.org/officeDocument/2006/relationships/hyperlink" Target="https://www.iadb.org/en/who-we-are/about-us" TargetMode="External"/><Relationship Id="rId27" Type="http://schemas.openxmlformats.org/officeDocument/2006/relationships/hyperlink" Target="https://www.ucm.es/" TargetMode="External"/><Relationship Id="rId30" Type="http://schemas.openxmlformats.org/officeDocument/2006/relationships/hyperlink" Target="mailto:mathieu.miranda@oecd.org" TargetMode="External"/><Relationship Id="rId35" Type="http://schemas.openxmlformats.org/officeDocument/2006/relationships/hyperlink" Target="https://www.upf.edu/" TargetMode="External"/><Relationship Id="rId43" Type="http://schemas.openxmlformats.org/officeDocument/2006/relationships/hyperlink" Target="https://www.cea-uchile.cl/" TargetMode="External"/><Relationship Id="rId48" Type="http://schemas.openxmlformats.org/officeDocument/2006/relationships/hyperlink" Target="https://american.wd1.myworkdayjobs.com/en-US/AU/job/Assistant-Professor--Tenure-Track----Department-of-Environment--Development---Health_R2984" TargetMode="External"/><Relationship Id="rId56" Type="http://schemas.openxmlformats.org/officeDocument/2006/relationships/hyperlink" Target="https://academicjobsonline.org/ajo/jobs/30626" TargetMode="External"/><Relationship Id="rId64" Type="http://schemas.openxmlformats.org/officeDocument/2006/relationships/hyperlink" Target="https://www.mit.edu/" TargetMode="External"/><Relationship Id="rId69" Type="http://schemas.openxmlformats.org/officeDocument/2006/relationships/hyperlink" Target="https://apply.interfolio.com/173878" TargetMode="External"/><Relationship Id="rId77" Type="http://schemas.openxmlformats.org/officeDocument/2006/relationships/hyperlink" Target="https://www.hiroshima-u.ac.jp/en/idec/about/goal" TargetMode="External"/><Relationship Id="rId8" Type="http://schemas.openxmlformats.org/officeDocument/2006/relationships/hyperlink" Target="https://www.waseda.jp/top/en/" TargetMode="External"/><Relationship Id="rId51" Type="http://schemas.openxmlformats.org/officeDocument/2006/relationships/hyperlink" Target="https://cerdi.uca.fr/" TargetMode="External"/><Relationship Id="rId72" Type="http://schemas.openxmlformats.org/officeDocument/2006/relationships/hyperlink" Target="https://www.utoronto.ca/" TargetMode="External"/><Relationship Id="rId80" Type="http://schemas.openxmlformats.org/officeDocument/2006/relationships/hyperlink" Target="https://www.berry.edu/" TargetMode="External"/><Relationship Id="rId85" Type="http://schemas.openxmlformats.org/officeDocument/2006/relationships/hyperlink" Target="mailto:peter.haan@fu-berlin.de" TargetMode="External"/><Relationship Id="rId3" Type="http://schemas.openxmlformats.org/officeDocument/2006/relationships/hyperlink" Target="file:///Users/jjgecon/Library/Containers/com.microsoft.Excel/Data/Library/Application%20Support/Microsoft/University%20of%20Sydney" TargetMode="External"/><Relationship Id="rId12" Type="http://schemas.openxmlformats.org/officeDocument/2006/relationships/hyperlink" Target="https://www.waseda.jp/fpse/pse/news-en/2025/08/05/24591/" TargetMode="External"/><Relationship Id="rId17" Type="http://schemas.openxmlformats.org/officeDocument/2006/relationships/hyperlink" Target="https://www.bates.edu/" TargetMode="External"/><Relationship Id="rId25" Type="http://schemas.openxmlformats.org/officeDocument/2006/relationships/hyperlink" Target="https://www.grinnell.edu/" TargetMode="External"/><Relationship Id="rId33" Type="http://schemas.openxmlformats.org/officeDocument/2006/relationships/hyperlink" Target="https://www.unimelb.edu.au/" TargetMode="External"/><Relationship Id="rId38" Type="http://schemas.openxmlformats.org/officeDocument/2006/relationships/hyperlink" Target="https://www.cemfi.es/" TargetMode="External"/><Relationship Id="rId46" Type="http://schemas.openxmlformats.org/officeDocument/2006/relationships/hyperlink" Target="https://www.colgate.edu/academics/departments-programs/department-economics" TargetMode="External"/><Relationship Id="rId59" Type="http://schemas.openxmlformats.org/officeDocument/2006/relationships/hyperlink" Target="https://www.ucdavis.edu/" TargetMode="External"/><Relationship Id="rId67" Type="http://schemas.openxmlformats.org/officeDocument/2006/relationships/hyperlink" Target="https://www.unibo.it/it" TargetMode="External"/><Relationship Id="rId20" Type="http://schemas.openxmlformats.org/officeDocument/2006/relationships/hyperlink" Target="https://www.urv.cat/en/" TargetMode="External"/><Relationship Id="rId41" Type="http://schemas.openxmlformats.org/officeDocument/2006/relationships/hyperlink" Target="https://tec.mx/es" TargetMode="External"/><Relationship Id="rId54" Type="http://schemas.openxmlformats.org/officeDocument/2006/relationships/hyperlink" Target="https://www.uab.cat/en/" TargetMode="External"/><Relationship Id="rId62" Type="http://schemas.openxmlformats.org/officeDocument/2006/relationships/hyperlink" Target="https://www.uu.nl/en/organisation/about-us/mission-and-vision" TargetMode="External"/><Relationship Id="rId70" Type="http://schemas.openxmlformats.org/officeDocument/2006/relationships/hyperlink" Target="https://www.aup.edu/" TargetMode="External"/><Relationship Id="rId75" Type="http://schemas.openxmlformats.org/officeDocument/2006/relationships/hyperlink" Target="https://www.iadb.org/en/who-we-are/about-us" TargetMode="External"/><Relationship Id="rId83" Type="http://schemas.openxmlformats.org/officeDocument/2006/relationships/hyperlink" Target="mailto:ivanpaya@ua.es" TargetMode="External"/><Relationship Id="rId88" Type="http://schemas.openxmlformats.org/officeDocument/2006/relationships/hyperlink" Target="https://gobierno.uc.cl/noticias/call-for-applications-2-full-time-academic-positions-preference-for-assistant-professor-level/" TargetMode="External"/><Relationship Id="rId1" Type="http://schemas.openxmlformats.org/officeDocument/2006/relationships/hyperlink" Target="https://www.sfu.ca/" TargetMode="External"/><Relationship Id="rId6" Type="http://schemas.openxmlformats.org/officeDocument/2006/relationships/hyperlink" Target="https://apply.interfolio.com/171825" TargetMode="External"/><Relationship Id="rId15" Type="http://schemas.openxmlformats.org/officeDocument/2006/relationships/hyperlink" Target="https://www.babson.edu/" TargetMode="External"/><Relationship Id="rId23" Type="http://schemas.openxmlformats.org/officeDocument/2006/relationships/hyperlink" Target="https://www.tse-fr.eu/" TargetMode="External"/><Relationship Id="rId28" Type="http://schemas.openxmlformats.org/officeDocument/2006/relationships/hyperlink" Target="https://www.ucm.es/" TargetMode="External"/><Relationship Id="rId36" Type="http://schemas.openxmlformats.org/officeDocument/2006/relationships/hyperlink" Target="mailto:ferran.mane@urv.cat" TargetMode="External"/><Relationship Id="rId49" Type="http://schemas.openxmlformats.org/officeDocument/2006/relationships/hyperlink" Target="https://associatecareers-analysisgroup.icims.com/jobs/2760/associate---generalist---montreal---toronto-%282026-start-date%29/job" TargetMode="External"/><Relationship Id="rId57" Type="http://schemas.openxmlformats.org/officeDocument/2006/relationships/hyperlink" Target="https://www.ucl.ac.uk/" TargetMode="External"/><Relationship Id="rId10" Type="http://schemas.openxmlformats.org/officeDocument/2006/relationships/hyperlink" Target="https://www.american.edu/" TargetMode="External"/><Relationship Id="rId31" Type="http://schemas.openxmlformats.org/officeDocument/2006/relationships/hyperlink" Target="https://www.ens.psl.eu/" TargetMode="External"/><Relationship Id="rId44" Type="http://schemas.openxmlformats.org/officeDocument/2006/relationships/hyperlink" Target="https://economia.uniandes.edu.co/" TargetMode="External"/><Relationship Id="rId52" Type="http://schemas.openxmlformats.org/officeDocument/2006/relationships/hyperlink" Target="https://nam10.safelinks.protection.outlook.com/?url=https%3A%2F%2Fwww.pierrebiscaye.com%2F&amp;data=05%7C02%7Cgonzalezjj%40mail.smu.edu%7Cf17b24ecae9644d5351608de0b2d3d88%7C0f450f2e334f4bada85c9adf76051d8b%7C0%7C0%7C638960486114093769%7CUnknown%7CTWFpbGZsb3d8eyJFbXB0eU1hcGkiOnRydWUsIlYiOiIwLjAuMDAwMCIsIlAiOiJXaW4zMiIsIkFOIjoiTWFpbCIsIldUIjoyfQ%3D%3D%7C0%7C%7C%7C&amp;sdata=G3tT9q0mvtmAIBnq6zF0gIXzpLRerNt4Zfffdrm2A2E%3D&amp;reserved=0" TargetMode="External"/><Relationship Id="rId60" Type="http://schemas.openxmlformats.org/officeDocument/2006/relationships/hyperlink" Target="https://apptrkr.com/6572257" TargetMode="External"/><Relationship Id="rId65" Type="http://schemas.openxmlformats.org/officeDocument/2006/relationships/hyperlink" Target="https://www.uni-mannheim.de/en/" TargetMode="External"/><Relationship Id="rId73" Type="http://schemas.openxmlformats.org/officeDocument/2006/relationships/hyperlink" Target="https://www.uu.se/en" TargetMode="External"/><Relationship Id="rId78" Type="http://schemas.openxmlformats.org/officeDocument/2006/relationships/hyperlink" Target="https://utecon.net/en/" TargetMode="External"/><Relationship Id="rId81" Type="http://schemas.openxmlformats.org/officeDocument/2006/relationships/hyperlink" Target="https://www.aeaweb.org/joe/listing.php?JOE_ID=2025-02_111476357" TargetMode="External"/><Relationship Id="rId86" Type="http://schemas.openxmlformats.org/officeDocument/2006/relationships/hyperlink" Target="https://jobs.zew.de/jobposting/a3948eae149a2cbb2b0ad5ebef942223e49bfbe40" TargetMode="External"/><Relationship Id="rId4" Type="http://schemas.openxmlformats.org/officeDocument/2006/relationships/hyperlink" Target="https://www.unl.pt/en/" TargetMode="External"/><Relationship Id="rId9" Type="http://schemas.openxmlformats.org/officeDocument/2006/relationships/hyperlink" Target="https://www.psu.edu/" TargetMode="External"/><Relationship Id="rId13" Type="http://schemas.openxmlformats.org/officeDocument/2006/relationships/hyperlink" Target="https://www.analysisgroup.com/" TargetMode="External"/><Relationship Id="rId18" Type="http://schemas.openxmlformats.org/officeDocument/2006/relationships/hyperlink" Target="https://www.uc3m.es/Home" TargetMode="External"/><Relationship Id="rId39" Type="http://schemas.openxmlformats.org/officeDocument/2006/relationships/hyperlink" Target="https://www.ie.edu/university/" TargetMode="External"/><Relationship Id="rId34" Type="http://schemas.openxmlformats.org/officeDocument/2006/relationships/hyperlink" Target="https://www.monash.edu/" TargetMode="External"/><Relationship Id="rId50" Type="http://schemas.openxmlformats.org/officeDocument/2006/relationships/hyperlink" Target="https://apply.interfolio.com/173570" TargetMode="External"/><Relationship Id="rId55" Type="http://schemas.openxmlformats.org/officeDocument/2006/relationships/hyperlink" Target="https://www.cornell.edu/" TargetMode="External"/><Relationship Id="rId76" Type="http://schemas.openxmlformats.org/officeDocument/2006/relationships/hyperlink" Target="https://www.cyberagent.co.jp/en/" TargetMode="External"/><Relationship Id="rId7" Type="http://schemas.openxmlformats.org/officeDocument/2006/relationships/hyperlink" Target="https://www.iast.fr/" TargetMode="External"/><Relationship Id="rId71" Type="http://schemas.openxmlformats.org/officeDocument/2006/relationships/hyperlink" Target="https://apply.interfolio.com/170082" TargetMode="External"/><Relationship Id="rId2" Type="http://schemas.openxmlformats.org/officeDocument/2006/relationships/hyperlink" Target="https://www.mcmaster.ca/" TargetMode="External"/><Relationship Id="rId29" Type="http://schemas.openxmlformats.org/officeDocument/2006/relationships/hyperlink" Target="https://forms.office.com/Pages/ResponsePage.aspx?id=1MdBrGEfDUaw9PySWitHHPCJevCMDFdChZ_htgD0RItUN0NJUjcwQlFOQUhUU0dLSkdONVY3U1g3OS4u" TargetMode="External"/><Relationship Id="rId24" Type="http://schemas.openxmlformats.org/officeDocument/2006/relationships/hyperlink" Target="https://www.su.se/english/" TargetMode="External"/><Relationship Id="rId40" Type="http://schemas.openxmlformats.org/officeDocument/2006/relationships/hyperlink" Target="https://www.uq.edu.au/" TargetMode="External"/><Relationship Id="rId45" Type="http://schemas.openxmlformats.org/officeDocument/2006/relationships/hyperlink" Target="https://babson.peopleadmin.com/postings/6545" TargetMode="External"/><Relationship Id="rId66" Type="http://schemas.openxmlformats.org/officeDocument/2006/relationships/hyperlink" Target="https://www.stanford.edu/about/" TargetMode="External"/><Relationship Id="rId87" Type="http://schemas.openxmlformats.org/officeDocument/2006/relationships/hyperlink" Target="https://airtable.com/appXAkqceBTdmqmoL/pagkrGoMDVnPvz2vD/form" TargetMode="External"/><Relationship Id="rId61" Type="http://schemas.openxmlformats.org/officeDocument/2006/relationships/hyperlink" Target="https://www.vassar.edu/" TargetMode="External"/><Relationship Id="rId82" Type="http://schemas.openxmlformats.org/officeDocument/2006/relationships/hyperlink" Target="https://apply.interfolio.com/175578" TargetMode="External"/><Relationship Id="rId19" Type="http://schemas.openxmlformats.org/officeDocument/2006/relationships/hyperlink" Target="https://www.tamu.edu/index.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72053-9363-CA4A-A53F-040B7C700753}">
  <dimension ref="A1:Y151"/>
  <sheetViews>
    <sheetView tabSelected="1" topLeftCell="C1" zoomScale="140" zoomScaleNormal="140" workbookViewId="0">
      <pane ySplit="1" topLeftCell="A133" activePane="bottomLeft" state="frozen"/>
      <selection pane="bottomLeft" activeCell="M151" sqref="M151"/>
    </sheetView>
  </sheetViews>
  <sheetFormatPr baseColWidth="10" defaultRowHeight="16" x14ac:dyDescent="0.2"/>
  <cols>
    <col min="1" max="2" width="19.6640625" customWidth="1"/>
    <col min="3" max="3" width="19.33203125" customWidth="1"/>
    <col min="4" max="4" width="14.5" bestFit="1" customWidth="1"/>
    <col min="5" max="5" width="18.1640625" bestFit="1" customWidth="1"/>
    <col min="6" max="6" width="19.6640625" customWidth="1"/>
    <col min="7" max="7" width="19.33203125" customWidth="1"/>
    <col min="8" max="11" width="18.33203125" customWidth="1"/>
    <col min="12" max="12" width="37.33203125" customWidth="1"/>
    <col min="13" max="15" width="19.5" customWidth="1"/>
    <col min="16" max="17" width="19.33203125" customWidth="1"/>
    <col min="18" max="18" width="18.1640625" customWidth="1"/>
    <col min="19" max="19" width="23.5" customWidth="1"/>
    <col min="20" max="20" width="23.5" bestFit="1" customWidth="1"/>
    <col min="21" max="21" width="13.33203125" bestFit="1" customWidth="1"/>
    <col min="22" max="22" width="13" bestFit="1" customWidth="1"/>
    <col min="23" max="23" width="22.6640625" style="6" bestFit="1" customWidth="1"/>
    <col min="24" max="24" width="23.33203125" style="6" bestFit="1" customWidth="1"/>
    <col min="25" max="25" width="21.83203125" style="6" bestFit="1" customWidth="1"/>
  </cols>
  <sheetData>
    <row r="1" spans="1:25" s="3" customFormat="1" ht="22" x14ac:dyDescent="0.3">
      <c r="A1" s="3" t="s">
        <v>0</v>
      </c>
      <c r="B1" s="3" t="s">
        <v>284</v>
      </c>
      <c r="C1" s="3" t="s">
        <v>13</v>
      </c>
      <c r="D1" s="3" t="s">
        <v>18</v>
      </c>
      <c r="E1" s="3" t="s">
        <v>6</v>
      </c>
      <c r="F1" s="3" t="s">
        <v>33</v>
      </c>
      <c r="G1" s="3" t="s">
        <v>123</v>
      </c>
      <c r="H1" s="3" t="s">
        <v>5</v>
      </c>
      <c r="I1" s="3" t="s">
        <v>246</v>
      </c>
      <c r="J1" s="3" t="s">
        <v>252</v>
      </c>
      <c r="K1" s="3" t="s">
        <v>346</v>
      </c>
      <c r="L1" s="3" t="s">
        <v>7</v>
      </c>
      <c r="M1" s="3" t="s">
        <v>12</v>
      </c>
      <c r="N1" s="3" t="s">
        <v>14</v>
      </c>
      <c r="O1" s="3" t="s">
        <v>16</v>
      </c>
      <c r="P1" s="3" t="s">
        <v>1</v>
      </c>
      <c r="Q1" s="3" t="s">
        <v>122</v>
      </c>
      <c r="R1" s="3" t="s">
        <v>47</v>
      </c>
      <c r="S1" s="3" t="s">
        <v>57</v>
      </c>
      <c r="T1" s="3" t="s">
        <v>25</v>
      </c>
      <c r="U1" s="3" t="s">
        <v>26</v>
      </c>
      <c r="V1" s="3" t="s">
        <v>27</v>
      </c>
      <c r="W1" s="5" t="s">
        <v>2</v>
      </c>
      <c r="X1" s="5" t="s">
        <v>3</v>
      </c>
      <c r="Y1" s="5" t="s">
        <v>4</v>
      </c>
    </row>
    <row r="2" spans="1:25" x14ac:dyDescent="0.2">
      <c r="A2" t="s">
        <v>157</v>
      </c>
      <c r="C2" s="1">
        <v>45902</v>
      </c>
      <c r="D2" t="s">
        <v>45</v>
      </c>
      <c r="E2" t="s">
        <v>158</v>
      </c>
      <c r="F2">
        <v>1</v>
      </c>
      <c r="H2" t="s">
        <v>137</v>
      </c>
      <c r="L2" t="s">
        <v>156</v>
      </c>
      <c r="M2" t="e" vm="1">
        <v>#VALUE!</v>
      </c>
      <c r="N2" t="s">
        <v>15</v>
      </c>
      <c r="P2" t="s">
        <v>23</v>
      </c>
      <c r="Q2" s="1">
        <v>45902</v>
      </c>
      <c r="T2">
        <v>1</v>
      </c>
      <c r="U2">
        <v>0</v>
      </c>
      <c r="V2">
        <v>1</v>
      </c>
    </row>
    <row r="3" spans="1:25" x14ac:dyDescent="0.2">
      <c r="A3" t="s">
        <v>11</v>
      </c>
      <c r="C3" s="1">
        <v>45931</v>
      </c>
      <c r="D3" t="s">
        <v>19</v>
      </c>
      <c r="E3" t="s">
        <v>19</v>
      </c>
      <c r="G3" s="1"/>
      <c r="H3" t="s">
        <v>104</v>
      </c>
      <c r="L3" s="2" t="s">
        <v>17</v>
      </c>
      <c r="M3" t="e" vm="2">
        <v>#VALUE!</v>
      </c>
      <c r="N3" t="s">
        <v>15</v>
      </c>
      <c r="O3" t="s">
        <v>22</v>
      </c>
      <c r="P3" t="s">
        <v>23</v>
      </c>
      <c r="Q3" s="1">
        <v>45931</v>
      </c>
      <c r="T3">
        <v>1</v>
      </c>
      <c r="U3">
        <v>1</v>
      </c>
      <c r="V3">
        <v>1</v>
      </c>
    </row>
    <row r="4" spans="1:25" x14ac:dyDescent="0.2">
      <c r="A4" t="s">
        <v>21</v>
      </c>
      <c r="C4" s="1">
        <v>45931</v>
      </c>
      <c r="D4" t="s">
        <v>19</v>
      </c>
      <c r="E4" t="s">
        <v>19</v>
      </c>
      <c r="G4" s="1"/>
      <c r="H4" t="s">
        <v>104</v>
      </c>
      <c r="L4" s="2" t="s">
        <v>20</v>
      </c>
      <c r="M4" t="e" vm="3">
        <v>#VALUE!</v>
      </c>
      <c r="N4" t="s">
        <v>15</v>
      </c>
      <c r="O4" t="s">
        <v>22</v>
      </c>
      <c r="P4" t="s">
        <v>24</v>
      </c>
      <c r="Q4" s="1">
        <v>45931</v>
      </c>
      <c r="T4">
        <v>1</v>
      </c>
      <c r="U4">
        <v>1</v>
      </c>
      <c r="V4">
        <v>1</v>
      </c>
    </row>
    <row r="5" spans="1:25" x14ac:dyDescent="0.2">
      <c r="A5" t="s">
        <v>53</v>
      </c>
      <c r="C5" s="1">
        <v>45931</v>
      </c>
      <c r="D5" s="2" t="s">
        <v>56</v>
      </c>
      <c r="G5" s="1"/>
      <c r="H5" t="s">
        <v>104</v>
      </c>
      <c r="L5" s="2" t="s">
        <v>54</v>
      </c>
      <c r="M5" t="e" vm="4">
        <v>#VALUE!</v>
      </c>
      <c r="N5" t="s">
        <v>15</v>
      </c>
      <c r="O5" t="s">
        <v>55</v>
      </c>
      <c r="P5" t="s">
        <v>23</v>
      </c>
      <c r="Q5" s="1">
        <v>45931</v>
      </c>
      <c r="T5">
        <v>1</v>
      </c>
      <c r="U5">
        <v>0</v>
      </c>
      <c r="V5">
        <v>1</v>
      </c>
    </row>
    <row r="6" spans="1:25" x14ac:dyDescent="0.2">
      <c r="A6" t="s">
        <v>58</v>
      </c>
      <c r="C6" s="1">
        <v>45931</v>
      </c>
      <c r="D6" t="s">
        <v>59</v>
      </c>
      <c r="G6" s="1"/>
      <c r="H6" t="s">
        <v>161</v>
      </c>
      <c r="L6" s="2" t="s">
        <v>54</v>
      </c>
      <c r="M6" t="e" vm="4">
        <v>#VALUE!</v>
      </c>
      <c r="N6" t="s">
        <v>15</v>
      </c>
      <c r="P6" t="s">
        <v>23</v>
      </c>
      <c r="Q6" s="1">
        <v>45931</v>
      </c>
      <c r="T6">
        <v>1</v>
      </c>
      <c r="U6">
        <v>0</v>
      </c>
      <c r="V6">
        <v>1</v>
      </c>
    </row>
    <row r="7" spans="1:25" x14ac:dyDescent="0.2">
      <c r="A7" t="s">
        <v>43</v>
      </c>
      <c r="C7" s="1">
        <v>45940</v>
      </c>
      <c r="D7" t="s">
        <v>45</v>
      </c>
      <c r="E7" t="s">
        <v>46</v>
      </c>
      <c r="F7">
        <v>1</v>
      </c>
      <c r="G7" s="1"/>
      <c r="H7" t="s">
        <v>161</v>
      </c>
      <c r="L7" s="2" t="s">
        <v>44</v>
      </c>
      <c r="M7" t="e" vm="5">
        <v>#VALUE!</v>
      </c>
      <c r="N7" t="s">
        <v>15</v>
      </c>
      <c r="O7" t="s">
        <v>22</v>
      </c>
      <c r="P7" t="s">
        <v>23</v>
      </c>
      <c r="Q7" s="1">
        <v>45940</v>
      </c>
      <c r="R7" s="2" t="s">
        <v>48</v>
      </c>
      <c r="T7">
        <v>1</v>
      </c>
      <c r="U7">
        <v>1</v>
      </c>
      <c r="V7">
        <v>1</v>
      </c>
    </row>
    <row r="8" spans="1:25" x14ac:dyDescent="0.2">
      <c r="A8" s="4" t="s">
        <v>85</v>
      </c>
      <c r="C8" s="1">
        <v>45940</v>
      </c>
      <c r="D8" t="s">
        <v>19</v>
      </c>
      <c r="F8">
        <v>1</v>
      </c>
      <c r="G8" s="9" t="s">
        <v>136</v>
      </c>
      <c r="H8" t="s">
        <v>104</v>
      </c>
      <c r="J8" t="s">
        <v>318</v>
      </c>
      <c r="K8" s="1">
        <v>45976</v>
      </c>
      <c r="L8" s="2" t="s">
        <v>86</v>
      </c>
      <c r="M8" t="e" vm="6">
        <v>#VALUE!</v>
      </c>
      <c r="N8" t="s">
        <v>15</v>
      </c>
      <c r="Q8" s="1">
        <v>45940</v>
      </c>
      <c r="T8">
        <v>1</v>
      </c>
      <c r="U8">
        <v>0</v>
      </c>
      <c r="V8">
        <v>0</v>
      </c>
    </row>
    <row r="9" spans="1:25" x14ac:dyDescent="0.2">
      <c r="A9" t="s">
        <v>66</v>
      </c>
      <c r="C9" s="1">
        <v>45940</v>
      </c>
      <c r="D9" t="s">
        <v>69</v>
      </c>
      <c r="G9" s="1"/>
      <c r="H9" t="s">
        <v>161</v>
      </c>
      <c r="L9" s="2" t="s">
        <v>67</v>
      </c>
      <c r="M9" t="e" vm="7">
        <v>#VALUE!</v>
      </c>
      <c r="N9" t="s">
        <v>68</v>
      </c>
      <c r="P9" t="s">
        <v>24</v>
      </c>
      <c r="Q9" s="1">
        <v>45940</v>
      </c>
      <c r="T9">
        <v>1</v>
      </c>
      <c r="U9">
        <v>0</v>
      </c>
      <c r="V9">
        <v>1</v>
      </c>
    </row>
    <row r="10" spans="1:25" x14ac:dyDescent="0.2">
      <c r="A10" t="s">
        <v>71</v>
      </c>
      <c r="C10" s="1">
        <v>45940</v>
      </c>
      <c r="D10" s="2" t="s">
        <v>73</v>
      </c>
      <c r="G10" s="1"/>
      <c r="H10" t="s">
        <v>104</v>
      </c>
      <c r="L10" s="2" t="s">
        <v>67</v>
      </c>
      <c r="M10" t="e" vm="7">
        <v>#VALUE!</v>
      </c>
      <c r="N10" t="s">
        <v>15</v>
      </c>
      <c r="O10" t="s">
        <v>72</v>
      </c>
      <c r="P10" t="s">
        <v>23</v>
      </c>
      <c r="Q10" s="1">
        <v>45940</v>
      </c>
      <c r="T10">
        <v>1</v>
      </c>
      <c r="U10">
        <v>1</v>
      </c>
      <c r="V10">
        <v>1</v>
      </c>
    </row>
    <row r="11" spans="1:25" x14ac:dyDescent="0.2">
      <c r="A11" t="s">
        <v>90</v>
      </c>
      <c r="C11" s="1">
        <v>45945</v>
      </c>
      <c r="D11" s="2" t="s">
        <v>92</v>
      </c>
      <c r="G11" s="1"/>
      <c r="H11" t="s">
        <v>104</v>
      </c>
      <c r="L11" s="2" t="s">
        <v>91</v>
      </c>
      <c r="M11" t="e" vm="4">
        <v>#VALUE!</v>
      </c>
      <c r="P11" t="s">
        <v>23</v>
      </c>
      <c r="Q11" s="1">
        <v>45945</v>
      </c>
      <c r="T11">
        <v>1</v>
      </c>
      <c r="U11">
        <v>0</v>
      </c>
      <c r="V11">
        <v>0</v>
      </c>
    </row>
    <row r="12" spans="1:25" x14ac:dyDescent="0.2">
      <c r="A12" t="s">
        <v>107</v>
      </c>
      <c r="C12" s="1">
        <v>45945</v>
      </c>
      <c r="D12" t="s">
        <v>19</v>
      </c>
      <c r="G12" s="1"/>
      <c r="H12" t="s">
        <v>137</v>
      </c>
      <c r="L12" s="2" t="s">
        <v>106</v>
      </c>
      <c r="M12" t="e" vm="8">
        <v>#VALUE!</v>
      </c>
      <c r="N12" t="s">
        <v>15</v>
      </c>
      <c r="P12" t="s">
        <v>23</v>
      </c>
      <c r="Q12" s="1">
        <v>45945</v>
      </c>
      <c r="T12">
        <v>1</v>
      </c>
      <c r="U12">
        <v>0</v>
      </c>
      <c r="V12">
        <v>0</v>
      </c>
    </row>
    <row r="13" spans="1:25" x14ac:dyDescent="0.2">
      <c r="A13" t="s">
        <v>108</v>
      </c>
      <c r="C13" s="1">
        <v>45945</v>
      </c>
      <c r="D13" t="s">
        <v>19</v>
      </c>
      <c r="G13" s="1"/>
      <c r="H13" t="s">
        <v>137</v>
      </c>
      <c r="L13" s="2" t="s">
        <v>106</v>
      </c>
      <c r="M13" t="e" vm="8">
        <v>#VALUE!</v>
      </c>
      <c r="N13" t="s">
        <v>15</v>
      </c>
      <c r="P13" t="s">
        <v>23</v>
      </c>
      <c r="Q13" s="1">
        <v>45945</v>
      </c>
      <c r="T13">
        <v>1</v>
      </c>
      <c r="U13">
        <v>0</v>
      </c>
      <c r="V13">
        <v>0</v>
      </c>
    </row>
    <row r="14" spans="1:25" x14ac:dyDescent="0.2">
      <c r="A14" t="s">
        <v>109</v>
      </c>
      <c r="C14" s="1">
        <v>45945</v>
      </c>
      <c r="D14" t="s">
        <v>19</v>
      </c>
      <c r="E14" s="2" t="s">
        <v>112</v>
      </c>
      <c r="G14" s="1"/>
      <c r="H14" t="s">
        <v>104</v>
      </c>
      <c r="L14" t="s">
        <v>110</v>
      </c>
      <c r="M14" t="e" vm="9">
        <v>#VALUE!</v>
      </c>
      <c r="P14" t="s">
        <v>23</v>
      </c>
      <c r="Q14" s="1">
        <v>45945</v>
      </c>
      <c r="R14" s="2" t="s">
        <v>111</v>
      </c>
      <c r="T14">
        <v>1</v>
      </c>
      <c r="U14">
        <v>0</v>
      </c>
      <c r="V14">
        <v>0</v>
      </c>
    </row>
    <row r="15" spans="1:25" x14ac:dyDescent="0.2">
      <c r="A15" t="s">
        <v>234</v>
      </c>
      <c r="C15" s="1">
        <v>45945</v>
      </c>
      <c r="D15" t="s">
        <v>45</v>
      </c>
      <c r="E15" t="s">
        <v>237</v>
      </c>
      <c r="G15" t="s">
        <v>239</v>
      </c>
      <c r="H15" t="s">
        <v>104</v>
      </c>
      <c r="L15" s="2" t="s">
        <v>241</v>
      </c>
      <c r="M15" t="e" vm="10">
        <v>#VALUE!</v>
      </c>
      <c r="N15" t="s">
        <v>15</v>
      </c>
      <c r="O15" t="s">
        <v>236</v>
      </c>
      <c r="P15" t="s">
        <v>23</v>
      </c>
      <c r="Q15" s="1">
        <v>46142</v>
      </c>
      <c r="T15">
        <v>1</v>
      </c>
      <c r="U15">
        <v>0</v>
      </c>
      <c r="V15">
        <v>1</v>
      </c>
    </row>
    <row r="16" spans="1:25" x14ac:dyDescent="0.2">
      <c r="A16" t="s">
        <v>372</v>
      </c>
      <c r="C16" s="1">
        <v>45945</v>
      </c>
      <c r="D16" t="s">
        <v>373</v>
      </c>
      <c r="H16" t="s">
        <v>104</v>
      </c>
      <c r="L16" t="s">
        <v>371</v>
      </c>
      <c r="M16" t="e" vm="11">
        <v>#VALUE!</v>
      </c>
      <c r="N16" t="s">
        <v>15</v>
      </c>
      <c r="P16" t="s">
        <v>23</v>
      </c>
      <c r="Q16" s="1">
        <v>45945</v>
      </c>
      <c r="T16">
        <v>1</v>
      </c>
      <c r="U16">
        <v>0</v>
      </c>
      <c r="V16">
        <v>1</v>
      </c>
    </row>
    <row r="17" spans="1:22" x14ac:dyDescent="0.2">
      <c r="A17" s="4" t="s">
        <v>151</v>
      </c>
      <c r="C17" s="1">
        <v>45947</v>
      </c>
      <c r="D17" t="s">
        <v>45</v>
      </c>
      <c r="F17">
        <v>1</v>
      </c>
      <c r="H17" t="s">
        <v>104</v>
      </c>
      <c r="J17" t="s">
        <v>318</v>
      </c>
      <c r="K17" s="1">
        <v>45976</v>
      </c>
      <c r="L17" s="2" t="s">
        <v>152</v>
      </c>
      <c r="M17" t="e" vm="12">
        <v>#VALUE!</v>
      </c>
      <c r="N17" t="s">
        <v>15</v>
      </c>
      <c r="P17" t="s">
        <v>23</v>
      </c>
      <c r="Q17" s="1">
        <v>45992</v>
      </c>
      <c r="T17">
        <v>1</v>
      </c>
      <c r="U17">
        <v>0</v>
      </c>
      <c r="V17">
        <v>0</v>
      </c>
    </row>
    <row r="18" spans="1:22" x14ac:dyDescent="0.2">
      <c r="A18" t="s">
        <v>180</v>
      </c>
      <c r="C18" s="1">
        <v>45950</v>
      </c>
      <c r="D18" t="s">
        <v>19</v>
      </c>
      <c r="F18">
        <v>1</v>
      </c>
      <c r="G18" t="s">
        <v>182</v>
      </c>
      <c r="H18" t="s">
        <v>104</v>
      </c>
      <c r="L18" s="2" t="s">
        <v>181</v>
      </c>
      <c r="M18" t="e" vm="13">
        <v>#VALUE!</v>
      </c>
      <c r="N18" t="s">
        <v>15</v>
      </c>
      <c r="P18" t="s">
        <v>23</v>
      </c>
      <c r="Q18" s="1">
        <v>45964</v>
      </c>
      <c r="T18">
        <v>1</v>
      </c>
      <c r="U18">
        <v>1</v>
      </c>
      <c r="V18">
        <v>1</v>
      </c>
    </row>
    <row r="19" spans="1:22" x14ac:dyDescent="0.2">
      <c r="A19" t="s">
        <v>121</v>
      </c>
      <c r="C19" s="1">
        <v>45950</v>
      </c>
      <c r="D19" t="s">
        <v>45</v>
      </c>
      <c r="E19" t="s">
        <v>160</v>
      </c>
      <c r="G19" s="1"/>
      <c r="H19" t="s">
        <v>104</v>
      </c>
      <c r="L19" s="2" t="s">
        <v>120</v>
      </c>
      <c r="M19" t="e" vm="14">
        <v>#VALUE!</v>
      </c>
      <c r="N19" t="s">
        <v>15</v>
      </c>
      <c r="P19" t="s">
        <v>23</v>
      </c>
      <c r="Q19" s="1">
        <v>45957</v>
      </c>
      <c r="T19">
        <v>1</v>
      </c>
      <c r="U19">
        <v>1</v>
      </c>
      <c r="V19">
        <v>1</v>
      </c>
    </row>
    <row r="20" spans="1:22" x14ac:dyDescent="0.2">
      <c r="A20" s="8" t="s">
        <v>168</v>
      </c>
      <c r="B20" s="8"/>
      <c r="C20" s="1">
        <v>45950</v>
      </c>
      <c r="D20" t="s">
        <v>19</v>
      </c>
      <c r="H20" t="s">
        <v>104</v>
      </c>
      <c r="L20" s="2" t="s">
        <v>169</v>
      </c>
      <c r="M20" t="e" vm="15">
        <v>#VALUE!</v>
      </c>
      <c r="N20" t="s">
        <v>15</v>
      </c>
      <c r="P20" t="s">
        <v>23</v>
      </c>
      <c r="Q20" s="1">
        <v>45963</v>
      </c>
      <c r="T20">
        <v>1</v>
      </c>
      <c r="U20">
        <v>1</v>
      </c>
      <c r="V20">
        <v>0</v>
      </c>
    </row>
    <row r="21" spans="1:22" x14ac:dyDescent="0.2">
      <c r="A21" t="s">
        <v>176</v>
      </c>
      <c r="C21" s="1">
        <v>45950</v>
      </c>
      <c r="D21" t="s">
        <v>19</v>
      </c>
      <c r="E21" s="2" t="s">
        <v>179</v>
      </c>
      <c r="H21" t="s">
        <v>104</v>
      </c>
      <c r="L21" s="2" t="s">
        <v>177</v>
      </c>
      <c r="M21" t="e" vm="16">
        <v>#VALUE!</v>
      </c>
      <c r="N21" t="s">
        <v>15</v>
      </c>
      <c r="O21" t="s">
        <v>178</v>
      </c>
      <c r="P21" t="s">
        <v>23</v>
      </c>
      <c r="Q21" s="1">
        <v>45964</v>
      </c>
      <c r="T21">
        <v>1</v>
      </c>
      <c r="U21">
        <v>1</v>
      </c>
      <c r="V21">
        <v>1</v>
      </c>
    </row>
    <row r="22" spans="1:22" x14ac:dyDescent="0.2">
      <c r="A22" s="4" t="s">
        <v>185</v>
      </c>
      <c r="C22" s="1">
        <v>45950</v>
      </c>
      <c r="D22" t="s">
        <v>19</v>
      </c>
      <c r="E22" s="2" t="s">
        <v>189</v>
      </c>
      <c r="F22">
        <v>1</v>
      </c>
      <c r="G22" t="s">
        <v>188</v>
      </c>
      <c r="H22" t="s">
        <v>104</v>
      </c>
      <c r="J22" t="s">
        <v>318</v>
      </c>
      <c r="K22" s="1">
        <v>45976</v>
      </c>
      <c r="L22" s="2" t="s">
        <v>186</v>
      </c>
      <c r="M22" t="e" vm="17">
        <v>#VALUE!</v>
      </c>
      <c r="N22" t="s">
        <v>187</v>
      </c>
      <c r="P22" t="s">
        <v>24</v>
      </c>
      <c r="Q22" s="1">
        <v>45959</v>
      </c>
      <c r="T22">
        <v>1</v>
      </c>
      <c r="U22">
        <v>0</v>
      </c>
      <c r="V22">
        <v>0</v>
      </c>
    </row>
    <row r="23" spans="1:22" x14ac:dyDescent="0.2">
      <c r="A23" t="s">
        <v>211</v>
      </c>
      <c r="C23" s="1">
        <v>45950</v>
      </c>
      <c r="D23" t="s">
        <v>212</v>
      </c>
      <c r="H23" t="s">
        <v>104</v>
      </c>
      <c r="L23" s="2" t="s">
        <v>91</v>
      </c>
      <c r="M23" t="e" vm="4">
        <v>#VALUE!</v>
      </c>
      <c r="P23" t="s">
        <v>23</v>
      </c>
      <c r="Q23" s="1">
        <v>45954</v>
      </c>
      <c r="T23">
        <v>1</v>
      </c>
      <c r="U23">
        <v>0</v>
      </c>
      <c r="V23">
        <v>0</v>
      </c>
    </row>
    <row r="24" spans="1:22" x14ac:dyDescent="0.2">
      <c r="A24" t="s">
        <v>221</v>
      </c>
      <c r="C24" s="1">
        <v>45950</v>
      </c>
      <c r="D24" t="s">
        <v>45</v>
      </c>
      <c r="E24" t="s">
        <v>220</v>
      </c>
      <c r="F24">
        <v>1</v>
      </c>
      <c r="H24" t="s">
        <v>104</v>
      </c>
      <c r="L24" t="s">
        <v>219</v>
      </c>
      <c r="M24" t="e" vm="5">
        <v>#VALUE!</v>
      </c>
      <c r="N24" t="s">
        <v>15</v>
      </c>
      <c r="P24" t="s">
        <v>23</v>
      </c>
      <c r="Q24" s="1">
        <v>45961</v>
      </c>
      <c r="T24">
        <v>1</v>
      </c>
      <c r="U24">
        <v>0</v>
      </c>
      <c r="V24">
        <v>0</v>
      </c>
    </row>
    <row r="25" spans="1:22" x14ac:dyDescent="0.2">
      <c r="A25" t="s">
        <v>228</v>
      </c>
      <c r="C25" s="1">
        <v>45950</v>
      </c>
      <c r="D25" t="s">
        <v>45</v>
      </c>
      <c r="H25" t="s">
        <v>104</v>
      </c>
      <c r="L25" s="2" t="s">
        <v>229</v>
      </c>
      <c r="M25" t="e" vm="5">
        <v>#VALUE!</v>
      </c>
      <c r="N25" t="s">
        <v>15</v>
      </c>
      <c r="P25" t="s">
        <v>23</v>
      </c>
      <c r="Q25" s="1">
        <v>46022</v>
      </c>
      <c r="T25">
        <v>1</v>
      </c>
      <c r="U25">
        <v>0</v>
      </c>
      <c r="V25">
        <v>0</v>
      </c>
    </row>
    <row r="26" spans="1:22" x14ac:dyDescent="0.2">
      <c r="A26" t="s">
        <v>231</v>
      </c>
      <c r="C26" s="1">
        <v>45950</v>
      </c>
      <c r="D26" t="s">
        <v>45</v>
      </c>
      <c r="E26" t="s">
        <v>232</v>
      </c>
      <c r="H26" t="s">
        <v>104</v>
      </c>
      <c r="L26" t="s">
        <v>230</v>
      </c>
      <c r="M26" t="e" vm="18">
        <v>#VALUE!</v>
      </c>
      <c r="N26" t="s">
        <v>15</v>
      </c>
      <c r="P26" t="s">
        <v>23</v>
      </c>
      <c r="Q26" s="1">
        <v>46157</v>
      </c>
      <c r="T26">
        <v>1</v>
      </c>
      <c r="U26">
        <v>1</v>
      </c>
      <c r="V26">
        <v>1</v>
      </c>
    </row>
    <row r="27" spans="1:22" x14ac:dyDescent="0.2">
      <c r="A27" t="s">
        <v>233</v>
      </c>
      <c r="C27" s="1">
        <v>45950</v>
      </c>
      <c r="D27" t="s">
        <v>45</v>
      </c>
      <c r="E27" t="s">
        <v>238</v>
      </c>
      <c r="G27" t="s">
        <v>240</v>
      </c>
      <c r="H27" t="s">
        <v>104</v>
      </c>
      <c r="L27" s="2" t="s">
        <v>241</v>
      </c>
      <c r="M27" t="e" vm="10">
        <v>#VALUE!</v>
      </c>
      <c r="N27" t="s">
        <v>15</v>
      </c>
      <c r="O27" t="s">
        <v>235</v>
      </c>
      <c r="P27" t="s">
        <v>23</v>
      </c>
      <c r="Q27" s="1">
        <v>46142</v>
      </c>
      <c r="T27">
        <v>1</v>
      </c>
      <c r="U27">
        <v>0</v>
      </c>
      <c r="V27">
        <v>1</v>
      </c>
    </row>
    <row r="28" spans="1:22" x14ac:dyDescent="0.2">
      <c r="A28" t="s">
        <v>192</v>
      </c>
      <c r="C28" s="1">
        <v>45950</v>
      </c>
      <c r="D28" t="s">
        <v>19</v>
      </c>
      <c r="H28" t="s">
        <v>104</v>
      </c>
      <c r="L28" t="s">
        <v>261</v>
      </c>
      <c r="M28" t="e" vm="19">
        <v>#VALUE!</v>
      </c>
      <c r="N28" t="s">
        <v>15</v>
      </c>
      <c r="P28" t="s">
        <v>23</v>
      </c>
      <c r="Q28" s="1">
        <v>46022</v>
      </c>
      <c r="T28">
        <v>1</v>
      </c>
      <c r="U28">
        <v>0</v>
      </c>
      <c r="V28">
        <v>0</v>
      </c>
    </row>
    <row r="29" spans="1:22" x14ac:dyDescent="0.2">
      <c r="A29" t="s">
        <v>272</v>
      </c>
      <c r="C29" s="1">
        <v>45950</v>
      </c>
      <c r="D29" t="s">
        <v>19</v>
      </c>
      <c r="H29" t="s">
        <v>104</v>
      </c>
      <c r="L29" t="s">
        <v>273</v>
      </c>
      <c r="M29" t="e" vm="20">
        <v>#VALUE!</v>
      </c>
      <c r="N29" t="s">
        <v>187</v>
      </c>
      <c r="P29" t="s">
        <v>24</v>
      </c>
      <c r="Q29" s="1">
        <v>45992</v>
      </c>
      <c r="T29">
        <v>1</v>
      </c>
      <c r="U29">
        <v>0</v>
      </c>
      <c r="V29">
        <v>0</v>
      </c>
    </row>
    <row r="30" spans="1:22" x14ac:dyDescent="0.2">
      <c r="A30" t="s">
        <v>350</v>
      </c>
      <c r="C30" s="1">
        <v>45950</v>
      </c>
      <c r="D30" t="s">
        <v>45</v>
      </c>
      <c r="H30" t="s">
        <v>104</v>
      </c>
      <c r="L30" t="s">
        <v>349</v>
      </c>
      <c r="M30" t="e" vm="4">
        <v>#VALUE!</v>
      </c>
      <c r="P30" t="s">
        <v>23</v>
      </c>
      <c r="Q30" s="1">
        <v>45950</v>
      </c>
      <c r="T30">
        <v>1</v>
      </c>
      <c r="U30">
        <v>0</v>
      </c>
      <c r="V30">
        <v>0</v>
      </c>
    </row>
    <row r="31" spans="1:22" x14ac:dyDescent="0.2">
      <c r="A31" s="4" t="s">
        <v>134</v>
      </c>
      <c r="C31" s="1">
        <v>45955</v>
      </c>
      <c r="D31" t="s">
        <v>19</v>
      </c>
      <c r="F31">
        <v>1</v>
      </c>
      <c r="H31" t="s">
        <v>104</v>
      </c>
      <c r="J31" t="s">
        <v>253</v>
      </c>
      <c r="K31" s="1">
        <v>45965</v>
      </c>
      <c r="L31" s="2" t="s">
        <v>135</v>
      </c>
      <c r="M31" t="e" vm="15">
        <v>#VALUE!</v>
      </c>
      <c r="N31" t="s">
        <v>15</v>
      </c>
      <c r="P31" t="s">
        <v>23</v>
      </c>
      <c r="Q31" s="1">
        <v>45963</v>
      </c>
      <c r="T31">
        <v>1</v>
      </c>
      <c r="U31">
        <v>1</v>
      </c>
      <c r="V31">
        <v>1</v>
      </c>
    </row>
    <row r="32" spans="1:22" x14ac:dyDescent="0.2">
      <c r="A32" t="s">
        <v>74</v>
      </c>
      <c r="C32" s="1">
        <v>45955</v>
      </c>
      <c r="D32" s="2" t="s">
        <v>76</v>
      </c>
      <c r="F32">
        <v>1</v>
      </c>
      <c r="G32" s="1"/>
      <c r="H32" t="s">
        <v>104</v>
      </c>
      <c r="L32" s="2" t="s">
        <v>75</v>
      </c>
      <c r="M32" t="e" vm="21">
        <v>#VALUE!</v>
      </c>
      <c r="N32" t="s">
        <v>15</v>
      </c>
      <c r="O32" t="s">
        <v>22</v>
      </c>
      <c r="P32" t="s">
        <v>23</v>
      </c>
      <c r="Q32" s="1">
        <v>45962</v>
      </c>
      <c r="T32">
        <v>1</v>
      </c>
      <c r="U32">
        <v>1</v>
      </c>
      <c r="V32">
        <v>1</v>
      </c>
    </row>
    <row r="33" spans="1:22" x14ac:dyDescent="0.2">
      <c r="A33" s="4" t="s">
        <v>82</v>
      </c>
      <c r="C33" s="1">
        <v>45955</v>
      </c>
      <c r="D33" t="s">
        <v>83</v>
      </c>
      <c r="F33">
        <v>1</v>
      </c>
      <c r="G33" s="1"/>
      <c r="H33" t="s">
        <v>104</v>
      </c>
      <c r="J33" t="s">
        <v>253</v>
      </c>
      <c r="K33" s="1">
        <v>45965</v>
      </c>
      <c r="L33" s="2" t="s">
        <v>81</v>
      </c>
      <c r="M33" t="e" vm="22">
        <v>#VALUE!</v>
      </c>
      <c r="N33" t="s">
        <v>15</v>
      </c>
      <c r="O33" t="s">
        <v>22</v>
      </c>
      <c r="P33" t="s">
        <v>23</v>
      </c>
      <c r="Q33" s="1">
        <v>45962</v>
      </c>
      <c r="T33">
        <v>1</v>
      </c>
      <c r="U33">
        <v>1</v>
      </c>
      <c r="V33">
        <v>1</v>
      </c>
    </row>
    <row r="34" spans="1:22" x14ac:dyDescent="0.2">
      <c r="A34" s="4" t="s">
        <v>131</v>
      </c>
      <c r="C34" s="1">
        <v>45955</v>
      </c>
      <c r="D34" t="s">
        <v>19</v>
      </c>
      <c r="F34">
        <v>1</v>
      </c>
      <c r="G34" t="s">
        <v>133</v>
      </c>
      <c r="H34" t="s">
        <v>104</v>
      </c>
      <c r="J34" t="s">
        <v>253</v>
      </c>
      <c r="K34" s="1">
        <v>45965</v>
      </c>
      <c r="L34" s="2" t="s">
        <v>132</v>
      </c>
      <c r="M34" t="e" vm="23">
        <v>#VALUE!</v>
      </c>
      <c r="N34" t="s">
        <v>15</v>
      </c>
      <c r="P34" t="s">
        <v>23</v>
      </c>
      <c r="Q34" s="1">
        <v>45962</v>
      </c>
      <c r="T34">
        <v>1</v>
      </c>
      <c r="U34">
        <v>0</v>
      </c>
      <c r="V34">
        <v>0</v>
      </c>
    </row>
    <row r="35" spans="1:22" x14ac:dyDescent="0.2">
      <c r="A35" s="4" t="s">
        <v>144</v>
      </c>
      <c r="C35" s="1">
        <v>45955</v>
      </c>
      <c r="D35" t="s">
        <v>45</v>
      </c>
      <c r="F35">
        <v>1</v>
      </c>
      <c r="G35" t="s">
        <v>146</v>
      </c>
      <c r="H35" t="s">
        <v>104</v>
      </c>
      <c r="J35" t="s">
        <v>253</v>
      </c>
      <c r="K35" s="1">
        <v>45965</v>
      </c>
      <c r="L35" s="2" t="s">
        <v>145</v>
      </c>
      <c r="M35" t="e" vm="23">
        <v>#VALUE!</v>
      </c>
      <c r="N35" t="s">
        <v>15</v>
      </c>
      <c r="P35" t="s">
        <v>23</v>
      </c>
      <c r="Q35" s="1">
        <v>45969</v>
      </c>
      <c r="T35">
        <v>1</v>
      </c>
      <c r="U35">
        <v>0</v>
      </c>
      <c r="V35">
        <v>0</v>
      </c>
    </row>
    <row r="36" spans="1:22" x14ac:dyDescent="0.2">
      <c r="A36" t="s">
        <v>60</v>
      </c>
      <c r="C36" s="1">
        <v>45955</v>
      </c>
      <c r="D36" t="s">
        <v>61</v>
      </c>
      <c r="G36" s="1"/>
      <c r="H36" t="s">
        <v>104</v>
      </c>
      <c r="L36" s="2" t="s">
        <v>65</v>
      </c>
      <c r="M36" t="e" vm="24">
        <v>#VALUE!</v>
      </c>
      <c r="P36" t="s">
        <v>64</v>
      </c>
      <c r="Q36" s="1">
        <v>45962</v>
      </c>
      <c r="T36">
        <v>1</v>
      </c>
      <c r="U36">
        <v>0</v>
      </c>
      <c r="V36">
        <v>0</v>
      </c>
    </row>
    <row r="37" spans="1:22" x14ac:dyDescent="0.2">
      <c r="A37" t="s">
        <v>62</v>
      </c>
      <c r="C37" s="1">
        <v>45955</v>
      </c>
      <c r="D37" s="2" t="s">
        <v>63</v>
      </c>
      <c r="G37" s="1"/>
      <c r="H37" t="s">
        <v>104</v>
      </c>
      <c r="L37" s="2" t="s">
        <v>65</v>
      </c>
      <c r="M37" t="e" vm="25">
        <v>#VALUE!</v>
      </c>
      <c r="P37" t="s">
        <v>64</v>
      </c>
      <c r="Q37" s="1">
        <v>45962</v>
      </c>
      <c r="T37">
        <v>1</v>
      </c>
      <c r="U37">
        <v>0</v>
      </c>
      <c r="V37">
        <v>0</v>
      </c>
    </row>
    <row r="38" spans="1:22" x14ac:dyDescent="0.2">
      <c r="A38" t="s">
        <v>190</v>
      </c>
      <c r="C38" s="1">
        <v>45955</v>
      </c>
      <c r="D38" t="s">
        <v>19</v>
      </c>
      <c r="H38" t="s">
        <v>104</v>
      </c>
      <c r="L38" s="2" t="s">
        <v>191</v>
      </c>
      <c r="M38" t="e" vm="19">
        <v>#VALUE!</v>
      </c>
      <c r="N38" t="s">
        <v>15</v>
      </c>
      <c r="P38" t="s">
        <v>23</v>
      </c>
      <c r="Q38" s="1">
        <v>45968</v>
      </c>
      <c r="T38">
        <v>1</v>
      </c>
      <c r="U38">
        <v>0</v>
      </c>
      <c r="V38">
        <v>0</v>
      </c>
    </row>
    <row r="39" spans="1:22" x14ac:dyDescent="0.2">
      <c r="A39" t="s">
        <v>193</v>
      </c>
      <c r="C39" s="1">
        <v>45955</v>
      </c>
      <c r="D39" t="s">
        <v>19</v>
      </c>
      <c r="H39" t="s">
        <v>104</v>
      </c>
      <c r="L39" s="2" t="s">
        <v>194</v>
      </c>
      <c r="M39" t="e" vm="26">
        <v>#VALUE!</v>
      </c>
      <c r="N39" t="s">
        <v>15</v>
      </c>
      <c r="O39" t="s">
        <v>195</v>
      </c>
      <c r="P39" t="s">
        <v>23</v>
      </c>
      <c r="Q39" s="1">
        <v>45970</v>
      </c>
      <c r="T39">
        <v>1</v>
      </c>
      <c r="U39">
        <v>0</v>
      </c>
      <c r="V39">
        <v>0</v>
      </c>
    </row>
    <row r="40" spans="1:22" x14ac:dyDescent="0.2">
      <c r="A40" t="s">
        <v>196</v>
      </c>
      <c r="C40" s="1">
        <v>45955</v>
      </c>
      <c r="D40" t="s">
        <v>19</v>
      </c>
      <c r="H40" t="s">
        <v>104</v>
      </c>
      <c r="L40" s="2" t="s">
        <v>197</v>
      </c>
      <c r="M40" t="e" vm="16">
        <v>#VALUE!</v>
      </c>
      <c r="N40" t="s">
        <v>15</v>
      </c>
      <c r="P40" t="s">
        <v>23</v>
      </c>
      <c r="Q40" s="1">
        <v>45968</v>
      </c>
      <c r="T40">
        <v>1</v>
      </c>
      <c r="U40">
        <v>0</v>
      </c>
      <c r="V40">
        <v>0</v>
      </c>
    </row>
    <row r="41" spans="1:22" x14ac:dyDescent="0.2">
      <c r="A41" t="s">
        <v>216</v>
      </c>
      <c r="C41" s="1">
        <v>45955</v>
      </c>
      <c r="D41" t="s">
        <v>45</v>
      </c>
      <c r="H41" t="s">
        <v>104</v>
      </c>
      <c r="L41" s="2" t="s">
        <v>215</v>
      </c>
      <c r="M41" t="e" vm="5">
        <v>#VALUE!</v>
      </c>
      <c r="N41" t="s">
        <v>15</v>
      </c>
      <c r="P41" t="s">
        <v>23</v>
      </c>
      <c r="Q41" s="1">
        <v>45968</v>
      </c>
      <c r="T41">
        <v>1</v>
      </c>
      <c r="U41">
        <v>0</v>
      </c>
      <c r="V41">
        <v>0</v>
      </c>
    </row>
    <row r="42" spans="1:22" x14ac:dyDescent="0.2">
      <c r="A42" t="s">
        <v>377</v>
      </c>
      <c r="C42" s="1">
        <v>45955</v>
      </c>
      <c r="D42" t="s">
        <v>379</v>
      </c>
      <c r="H42" t="s">
        <v>104</v>
      </c>
      <c r="L42" t="s">
        <v>378</v>
      </c>
      <c r="M42" t="e" vm="27">
        <v>#VALUE!</v>
      </c>
      <c r="N42" t="s">
        <v>15</v>
      </c>
      <c r="P42" t="s">
        <v>23</v>
      </c>
      <c r="Q42" s="1">
        <v>45962</v>
      </c>
      <c r="T42">
        <v>1</v>
      </c>
      <c r="U42">
        <v>1</v>
      </c>
      <c r="V42">
        <v>1</v>
      </c>
    </row>
    <row r="43" spans="1:22" x14ac:dyDescent="0.2">
      <c r="A43" t="s">
        <v>381</v>
      </c>
      <c r="C43" s="1">
        <v>45955</v>
      </c>
      <c r="D43" t="s">
        <v>382</v>
      </c>
      <c r="H43" t="s">
        <v>104</v>
      </c>
      <c r="L43" t="s">
        <v>380</v>
      </c>
      <c r="M43" t="e" vm="28">
        <v>#VALUE!</v>
      </c>
      <c r="N43" t="s">
        <v>15</v>
      </c>
      <c r="P43" t="s">
        <v>24</v>
      </c>
      <c r="Q43" s="1">
        <v>46203</v>
      </c>
      <c r="T43">
        <v>1</v>
      </c>
      <c r="U43">
        <v>0</v>
      </c>
      <c r="V43">
        <v>0</v>
      </c>
    </row>
    <row r="44" spans="1:22" x14ac:dyDescent="0.2">
      <c r="A44" t="s">
        <v>114</v>
      </c>
      <c r="C44" s="1">
        <v>45961</v>
      </c>
      <c r="D44" t="s">
        <v>19</v>
      </c>
      <c r="G44" s="1"/>
      <c r="H44" t="s">
        <v>104</v>
      </c>
      <c r="L44" s="2" t="s">
        <v>115</v>
      </c>
      <c r="M44" t="e" vm="9">
        <v>#VALUE!</v>
      </c>
      <c r="N44" t="s">
        <v>31</v>
      </c>
      <c r="P44" t="s">
        <v>23</v>
      </c>
      <c r="Q44" s="1">
        <v>45961</v>
      </c>
      <c r="T44">
        <v>1</v>
      </c>
      <c r="U44">
        <v>0</v>
      </c>
      <c r="V44">
        <v>0</v>
      </c>
    </row>
    <row r="45" spans="1:22" x14ac:dyDescent="0.2">
      <c r="A45" s="4" t="s">
        <v>153</v>
      </c>
      <c r="C45" s="1">
        <v>45962</v>
      </c>
      <c r="D45" t="s">
        <v>45</v>
      </c>
      <c r="F45">
        <v>1</v>
      </c>
      <c r="G45" t="s">
        <v>155</v>
      </c>
      <c r="H45" t="s">
        <v>104</v>
      </c>
      <c r="J45" t="s">
        <v>253</v>
      </c>
      <c r="K45" s="1">
        <v>45976</v>
      </c>
      <c r="L45" s="2" t="s">
        <v>154</v>
      </c>
      <c r="M45" t="e" vm="29">
        <v>#VALUE!</v>
      </c>
      <c r="N45" t="s">
        <v>15</v>
      </c>
      <c r="P45" t="s">
        <v>23</v>
      </c>
      <c r="Q45" s="1">
        <v>45975</v>
      </c>
      <c r="T45">
        <v>1</v>
      </c>
      <c r="U45">
        <v>0</v>
      </c>
      <c r="V45">
        <v>0</v>
      </c>
    </row>
    <row r="46" spans="1:22" x14ac:dyDescent="0.2">
      <c r="A46" t="s">
        <v>198</v>
      </c>
      <c r="C46" s="1">
        <v>45962</v>
      </c>
      <c r="D46" t="s">
        <v>19</v>
      </c>
      <c r="H46" t="s">
        <v>104</v>
      </c>
      <c r="L46" s="2" t="s">
        <v>199</v>
      </c>
      <c r="M46" t="e" vm="30">
        <v>#VALUE!</v>
      </c>
      <c r="N46" t="s">
        <v>15</v>
      </c>
      <c r="P46" t="s">
        <v>23</v>
      </c>
      <c r="Q46" s="1">
        <v>45971</v>
      </c>
      <c r="T46">
        <v>1</v>
      </c>
      <c r="U46">
        <v>1</v>
      </c>
      <c r="V46">
        <v>0</v>
      </c>
    </row>
    <row r="47" spans="1:22" x14ac:dyDescent="0.2">
      <c r="A47" t="s">
        <v>200</v>
      </c>
      <c r="C47" s="1">
        <v>45962</v>
      </c>
      <c r="D47" t="s">
        <v>19</v>
      </c>
      <c r="E47" s="2" t="s">
        <v>202</v>
      </c>
      <c r="G47" t="s">
        <v>203</v>
      </c>
      <c r="H47" t="s">
        <v>104</v>
      </c>
      <c r="L47" s="2" t="s">
        <v>201</v>
      </c>
      <c r="M47" t="e" vm="11">
        <v>#VALUE!</v>
      </c>
      <c r="N47" t="s">
        <v>15</v>
      </c>
      <c r="P47" t="s">
        <v>23</v>
      </c>
      <c r="Q47" s="1">
        <v>45971</v>
      </c>
      <c r="T47">
        <v>1</v>
      </c>
      <c r="U47">
        <v>0</v>
      </c>
      <c r="V47">
        <v>0</v>
      </c>
    </row>
    <row r="48" spans="1:22" x14ac:dyDescent="0.2">
      <c r="A48" t="s">
        <v>204</v>
      </c>
      <c r="C48" s="1">
        <v>45962</v>
      </c>
      <c r="D48" t="s">
        <v>19</v>
      </c>
      <c r="E48" s="2" t="s">
        <v>206</v>
      </c>
      <c r="H48" t="s">
        <v>104</v>
      </c>
      <c r="L48" s="2" t="s">
        <v>205</v>
      </c>
      <c r="M48" t="e" vm="9">
        <v>#VALUE!</v>
      </c>
      <c r="N48" t="s">
        <v>15</v>
      </c>
      <c r="P48" t="s">
        <v>23</v>
      </c>
      <c r="Q48" s="1">
        <v>45971</v>
      </c>
      <c r="T48">
        <v>1</v>
      </c>
      <c r="U48">
        <v>1</v>
      </c>
      <c r="V48">
        <v>1</v>
      </c>
    </row>
    <row r="49" spans="1:22" x14ac:dyDescent="0.2">
      <c r="A49" t="s">
        <v>207</v>
      </c>
      <c r="B49" t="s">
        <v>289</v>
      </c>
      <c r="C49" s="1">
        <v>45962</v>
      </c>
      <c r="D49" t="s">
        <v>19</v>
      </c>
      <c r="H49" t="s">
        <v>104</v>
      </c>
      <c r="L49" s="2" t="s">
        <v>208</v>
      </c>
      <c r="M49" t="e" vm="31">
        <v>#VALUE!</v>
      </c>
      <c r="N49" t="s">
        <v>187</v>
      </c>
      <c r="P49" t="s">
        <v>24</v>
      </c>
      <c r="Q49" s="1">
        <v>45979</v>
      </c>
      <c r="T49">
        <v>1</v>
      </c>
      <c r="U49">
        <v>0</v>
      </c>
      <c r="V49">
        <v>1</v>
      </c>
    </row>
    <row r="50" spans="1:22" x14ac:dyDescent="0.2">
      <c r="A50" t="s">
        <v>223</v>
      </c>
      <c r="C50" s="1">
        <v>45966</v>
      </c>
      <c r="D50" t="s">
        <v>45</v>
      </c>
      <c r="E50" t="s">
        <v>227</v>
      </c>
      <c r="H50" t="s">
        <v>104</v>
      </c>
      <c r="L50" t="s">
        <v>222</v>
      </c>
      <c r="M50" t="e" vm="5">
        <v>#VALUE!</v>
      </c>
      <c r="N50" t="s">
        <v>15</v>
      </c>
      <c r="P50" t="s">
        <v>23</v>
      </c>
      <c r="Q50" s="1">
        <v>45716</v>
      </c>
      <c r="T50">
        <v>1</v>
      </c>
      <c r="U50">
        <v>0</v>
      </c>
      <c r="V50">
        <v>0</v>
      </c>
    </row>
    <row r="51" spans="1:22" x14ac:dyDescent="0.2">
      <c r="A51" t="s">
        <v>225</v>
      </c>
      <c r="C51" s="1">
        <v>45966</v>
      </c>
      <c r="D51" t="s">
        <v>45</v>
      </c>
      <c r="E51" t="s">
        <v>226</v>
      </c>
      <c r="H51" t="s">
        <v>104</v>
      </c>
      <c r="L51" t="s">
        <v>224</v>
      </c>
      <c r="M51" t="e" vm="5">
        <v>#VALUE!</v>
      </c>
      <c r="N51" t="s">
        <v>15</v>
      </c>
      <c r="P51" t="s">
        <v>23</v>
      </c>
      <c r="Q51" s="1">
        <v>45975</v>
      </c>
      <c r="T51">
        <v>1</v>
      </c>
      <c r="U51">
        <v>0</v>
      </c>
      <c r="V51">
        <v>0</v>
      </c>
    </row>
    <row r="52" spans="1:22" x14ac:dyDescent="0.2">
      <c r="A52" t="s">
        <v>243</v>
      </c>
      <c r="C52" s="1">
        <v>45966</v>
      </c>
      <c r="D52" t="s">
        <v>45</v>
      </c>
      <c r="E52" t="s">
        <v>244</v>
      </c>
      <c r="F52">
        <v>1</v>
      </c>
      <c r="H52" t="s">
        <v>104</v>
      </c>
      <c r="L52" t="s">
        <v>242</v>
      </c>
      <c r="M52" t="e" vm="32">
        <v>#VALUE!</v>
      </c>
      <c r="N52" t="s">
        <v>15</v>
      </c>
      <c r="P52" t="s">
        <v>23</v>
      </c>
      <c r="Q52" s="1">
        <v>45976</v>
      </c>
      <c r="T52">
        <v>1</v>
      </c>
      <c r="U52">
        <v>1</v>
      </c>
      <c r="V52">
        <v>1</v>
      </c>
    </row>
    <row r="53" spans="1:22" x14ac:dyDescent="0.2">
      <c r="A53" t="s">
        <v>320</v>
      </c>
      <c r="C53" s="1">
        <v>45966</v>
      </c>
      <c r="D53" t="s">
        <v>19</v>
      </c>
      <c r="G53" t="s">
        <v>321</v>
      </c>
      <c r="H53" t="s">
        <v>104</v>
      </c>
      <c r="L53" t="s">
        <v>319</v>
      </c>
      <c r="M53" t="e" vm="17">
        <v>#VALUE!</v>
      </c>
      <c r="N53" t="s">
        <v>15</v>
      </c>
      <c r="P53" t="s">
        <v>23</v>
      </c>
      <c r="Q53" s="1">
        <v>45978</v>
      </c>
      <c r="T53">
        <v>1</v>
      </c>
      <c r="U53">
        <v>0</v>
      </c>
      <c r="V53">
        <v>0</v>
      </c>
    </row>
    <row r="54" spans="1:22" x14ac:dyDescent="0.2">
      <c r="A54" t="s">
        <v>323</v>
      </c>
      <c r="B54" t="s">
        <v>324</v>
      </c>
      <c r="C54" s="1">
        <v>45966</v>
      </c>
      <c r="D54" t="s">
        <v>19</v>
      </c>
      <c r="F54">
        <v>1</v>
      </c>
      <c r="H54" t="s">
        <v>104</v>
      </c>
      <c r="J54" t="s">
        <v>253</v>
      </c>
      <c r="K54" s="1">
        <v>45976</v>
      </c>
      <c r="L54" t="s">
        <v>322</v>
      </c>
      <c r="M54" t="e" vm="30">
        <v>#VALUE!</v>
      </c>
      <c r="N54" t="s">
        <v>15</v>
      </c>
      <c r="P54" t="s">
        <v>23</v>
      </c>
      <c r="Q54" s="1">
        <v>45977</v>
      </c>
      <c r="T54">
        <v>1</v>
      </c>
      <c r="U54">
        <v>1</v>
      </c>
      <c r="V54">
        <v>0</v>
      </c>
    </row>
    <row r="55" spans="1:22" x14ac:dyDescent="0.2">
      <c r="A55" t="s">
        <v>326</v>
      </c>
      <c r="C55" s="1">
        <v>45966</v>
      </c>
      <c r="D55" t="s">
        <v>19</v>
      </c>
      <c r="H55" t="s">
        <v>104</v>
      </c>
      <c r="L55" t="s">
        <v>325</v>
      </c>
      <c r="M55" t="e" vm="33">
        <v>#VALUE!</v>
      </c>
      <c r="N55" t="s">
        <v>15</v>
      </c>
      <c r="P55" t="s">
        <v>23</v>
      </c>
      <c r="Q55" s="1">
        <v>45977</v>
      </c>
      <c r="T55">
        <v>1</v>
      </c>
      <c r="U55">
        <v>0</v>
      </c>
      <c r="V55">
        <v>0</v>
      </c>
    </row>
    <row r="56" spans="1:22" x14ac:dyDescent="0.2">
      <c r="A56" t="s">
        <v>336</v>
      </c>
      <c r="C56" s="1">
        <v>45966</v>
      </c>
      <c r="D56" t="s">
        <v>19</v>
      </c>
      <c r="H56" t="s">
        <v>104</v>
      </c>
      <c r="L56" t="s">
        <v>335</v>
      </c>
      <c r="M56" t="e" vm="34">
        <v>#VALUE!</v>
      </c>
      <c r="N56" t="s">
        <v>15</v>
      </c>
      <c r="P56" t="s">
        <v>23</v>
      </c>
      <c r="Q56" s="1">
        <v>45976</v>
      </c>
      <c r="T56">
        <v>1</v>
      </c>
      <c r="U56">
        <v>0</v>
      </c>
      <c r="V56">
        <v>0</v>
      </c>
    </row>
    <row r="57" spans="1:22" x14ac:dyDescent="0.2">
      <c r="A57" t="s">
        <v>338</v>
      </c>
      <c r="C57" s="1">
        <v>45966</v>
      </c>
      <c r="D57" t="s">
        <v>19</v>
      </c>
      <c r="H57" t="s">
        <v>104</v>
      </c>
      <c r="L57" t="s">
        <v>337</v>
      </c>
      <c r="M57" t="e" vm="30">
        <v>#VALUE!</v>
      </c>
      <c r="N57" t="s">
        <v>15</v>
      </c>
      <c r="P57" t="s">
        <v>23</v>
      </c>
      <c r="Q57" s="1">
        <v>45975</v>
      </c>
      <c r="T57">
        <v>1</v>
      </c>
      <c r="U57">
        <v>0</v>
      </c>
      <c r="V57">
        <v>0</v>
      </c>
    </row>
    <row r="58" spans="1:22" x14ac:dyDescent="0.2">
      <c r="A58" t="s">
        <v>340</v>
      </c>
      <c r="C58" s="1">
        <v>45966</v>
      </c>
      <c r="D58" t="s">
        <v>19</v>
      </c>
      <c r="G58" t="s">
        <v>341</v>
      </c>
      <c r="H58" t="s">
        <v>104</v>
      </c>
      <c r="L58" t="s">
        <v>339</v>
      </c>
      <c r="M58" t="e" vm="34">
        <v>#VALUE!</v>
      </c>
      <c r="N58" t="s">
        <v>31</v>
      </c>
      <c r="P58" t="s">
        <v>23</v>
      </c>
      <c r="Q58" s="1">
        <v>45975</v>
      </c>
      <c r="T58">
        <v>1</v>
      </c>
      <c r="U58">
        <v>0</v>
      </c>
      <c r="V58">
        <v>0</v>
      </c>
    </row>
    <row r="59" spans="1:22" x14ac:dyDescent="0.2">
      <c r="A59" t="s">
        <v>343</v>
      </c>
      <c r="C59" s="1">
        <v>45966</v>
      </c>
      <c r="D59" t="s">
        <v>19</v>
      </c>
      <c r="G59" t="s">
        <v>344</v>
      </c>
      <c r="H59" t="s">
        <v>104</v>
      </c>
      <c r="L59" t="s">
        <v>342</v>
      </c>
      <c r="M59" t="e" vm="34">
        <v>#VALUE!</v>
      </c>
      <c r="N59" t="s">
        <v>15</v>
      </c>
      <c r="P59" t="s">
        <v>23</v>
      </c>
      <c r="Q59" s="1">
        <v>45975</v>
      </c>
      <c r="T59">
        <v>1</v>
      </c>
      <c r="U59">
        <v>0</v>
      </c>
      <c r="V59">
        <v>0</v>
      </c>
    </row>
    <row r="60" spans="1:22" x14ac:dyDescent="0.2">
      <c r="A60" s="4" t="s">
        <v>125</v>
      </c>
      <c r="B60" t="s">
        <v>417</v>
      </c>
      <c r="C60" s="1">
        <v>45966</v>
      </c>
      <c r="D60" t="s">
        <v>19</v>
      </c>
      <c r="F60">
        <v>2</v>
      </c>
      <c r="H60" t="s">
        <v>28</v>
      </c>
      <c r="J60" t="s">
        <v>253</v>
      </c>
      <c r="K60" s="1">
        <v>45976</v>
      </c>
      <c r="L60" s="2" t="s">
        <v>126</v>
      </c>
      <c r="M60" t="e" vm="9">
        <v>#VALUE!</v>
      </c>
      <c r="N60" t="s">
        <v>15</v>
      </c>
      <c r="P60" t="s">
        <v>23</v>
      </c>
      <c r="Q60" s="1">
        <v>45971</v>
      </c>
      <c r="T60">
        <v>1</v>
      </c>
      <c r="U60">
        <v>0</v>
      </c>
      <c r="V60">
        <v>0</v>
      </c>
    </row>
    <row r="61" spans="1:22" x14ac:dyDescent="0.2">
      <c r="A61" t="s">
        <v>170</v>
      </c>
      <c r="C61" s="1">
        <v>45966</v>
      </c>
      <c r="D61" t="s">
        <v>19</v>
      </c>
      <c r="E61" s="2" t="s">
        <v>172</v>
      </c>
      <c r="H61" t="s">
        <v>104</v>
      </c>
      <c r="L61" s="2" t="s">
        <v>171</v>
      </c>
      <c r="M61" t="e" vm="35">
        <v>#VALUE!</v>
      </c>
      <c r="N61" t="s">
        <v>15</v>
      </c>
      <c r="O61" t="s">
        <v>100</v>
      </c>
      <c r="P61" t="s">
        <v>23</v>
      </c>
      <c r="Q61" s="1">
        <v>45971</v>
      </c>
      <c r="T61">
        <v>1</v>
      </c>
      <c r="U61">
        <v>1</v>
      </c>
      <c r="V61">
        <v>1</v>
      </c>
    </row>
    <row r="62" spans="1:22" x14ac:dyDescent="0.2">
      <c r="A62" t="s">
        <v>38</v>
      </c>
      <c r="C62" s="1">
        <v>45966</v>
      </c>
      <c r="D62" t="s">
        <v>19</v>
      </c>
      <c r="E62" s="2" t="s">
        <v>39</v>
      </c>
      <c r="G62" s="1"/>
      <c r="H62" t="s">
        <v>104</v>
      </c>
      <c r="L62" s="2" t="s">
        <v>37</v>
      </c>
      <c r="M62" t="e" vm="36">
        <v>#VALUE!</v>
      </c>
      <c r="N62" t="s">
        <v>15</v>
      </c>
      <c r="O62" t="s">
        <v>22</v>
      </c>
      <c r="P62" t="s">
        <v>23</v>
      </c>
      <c r="Q62" s="1">
        <v>45971</v>
      </c>
      <c r="R62" s="2"/>
      <c r="T62">
        <v>1</v>
      </c>
      <c r="U62">
        <v>0</v>
      </c>
      <c r="V62">
        <v>1</v>
      </c>
    </row>
    <row r="63" spans="1:22" x14ac:dyDescent="0.2">
      <c r="A63" t="s">
        <v>97</v>
      </c>
      <c r="C63" s="1">
        <v>45966</v>
      </c>
      <c r="D63" t="s">
        <v>99</v>
      </c>
      <c r="G63" s="1"/>
      <c r="H63" t="s">
        <v>104</v>
      </c>
      <c r="L63" s="2" t="s">
        <v>98</v>
      </c>
      <c r="M63" t="e" vm="37">
        <v>#VALUE!</v>
      </c>
      <c r="N63" t="s">
        <v>15</v>
      </c>
      <c r="O63" t="s">
        <v>100</v>
      </c>
      <c r="P63" t="s">
        <v>23</v>
      </c>
      <c r="Q63" s="1">
        <v>45971</v>
      </c>
      <c r="T63">
        <v>1</v>
      </c>
      <c r="U63">
        <v>0</v>
      </c>
      <c r="V63">
        <v>1</v>
      </c>
    </row>
    <row r="64" spans="1:22" x14ac:dyDescent="0.2">
      <c r="A64" t="s">
        <v>101</v>
      </c>
      <c r="C64" s="1">
        <v>45966</v>
      </c>
      <c r="D64" t="s">
        <v>45</v>
      </c>
      <c r="E64" t="s">
        <v>103</v>
      </c>
      <c r="G64" s="1"/>
      <c r="H64" t="s">
        <v>104</v>
      </c>
      <c r="L64" s="2" t="s">
        <v>102</v>
      </c>
      <c r="M64" t="e" vm="38">
        <v>#VALUE!</v>
      </c>
      <c r="N64" t="s">
        <v>15</v>
      </c>
      <c r="P64" t="s">
        <v>23</v>
      </c>
      <c r="Q64" s="1">
        <v>45971</v>
      </c>
      <c r="T64">
        <v>1</v>
      </c>
      <c r="U64">
        <v>0</v>
      </c>
      <c r="V64">
        <v>0</v>
      </c>
    </row>
    <row r="65" spans="1:22" x14ac:dyDescent="0.2">
      <c r="A65" s="4" t="s">
        <v>210</v>
      </c>
      <c r="C65" s="1">
        <v>45966</v>
      </c>
      <c r="D65" t="s">
        <v>19</v>
      </c>
      <c r="F65">
        <v>3</v>
      </c>
      <c r="H65" t="s">
        <v>28</v>
      </c>
      <c r="J65" t="s">
        <v>253</v>
      </c>
      <c r="K65" s="1">
        <v>45976</v>
      </c>
      <c r="L65" s="2" t="s">
        <v>209</v>
      </c>
      <c r="M65" t="e" vm="34">
        <v>#VALUE!</v>
      </c>
      <c r="N65" t="s">
        <v>15</v>
      </c>
      <c r="P65" t="s">
        <v>23</v>
      </c>
      <c r="Q65" s="1">
        <v>45974</v>
      </c>
      <c r="T65">
        <v>1</v>
      </c>
      <c r="U65">
        <v>0</v>
      </c>
      <c r="V65">
        <v>0</v>
      </c>
    </row>
    <row r="66" spans="1:22" x14ac:dyDescent="0.2">
      <c r="A66" t="s">
        <v>374</v>
      </c>
      <c r="C66" s="1">
        <v>45966</v>
      </c>
      <c r="D66" t="s">
        <v>376</v>
      </c>
      <c r="H66" t="s">
        <v>104</v>
      </c>
      <c r="L66" t="s">
        <v>375</v>
      </c>
      <c r="M66" t="e" vm="39">
        <v>#VALUE!</v>
      </c>
      <c r="N66" t="s">
        <v>15</v>
      </c>
      <c r="P66" t="s">
        <v>23</v>
      </c>
      <c r="Q66" s="1">
        <v>45975</v>
      </c>
      <c r="T66">
        <v>1</v>
      </c>
      <c r="U66">
        <v>0</v>
      </c>
      <c r="V66">
        <v>1</v>
      </c>
    </row>
    <row r="67" spans="1:22" x14ac:dyDescent="0.2">
      <c r="A67" t="s">
        <v>402</v>
      </c>
      <c r="C67" s="1">
        <v>45966</v>
      </c>
      <c r="D67" t="s">
        <v>19</v>
      </c>
      <c r="H67" t="s">
        <v>104</v>
      </c>
      <c r="L67" t="s">
        <v>403</v>
      </c>
      <c r="M67" t="e" vm="40">
        <v>#VALUE!</v>
      </c>
      <c r="P67" t="s">
        <v>23</v>
      </c>
      <c r="Q67" s="1">
        <v>45977</v>
      </c>
      <c r="T67">
        <v>1</v>
      </c>
      <c r="U67">
        <v>0</v>
      </c>
      <c r="V67">
        <v>0</v>
      </c>
    </row>
    <row r="68" spans="1:22" x14ac:dyDescent="0.2">
      <c r="A68" t="s">
        <v>327</v>
      </c>
      <c r="C68" s="1">
        <v>45966</v>
      </c>
      <c r="D68" t="s">
        <v>19</v>
      </c>
      <c r="H68" t="s">
        <v>104</v>
      </c>
      <c r="L68" t="s">
        <v>404</v>
      </c>
      <c r="M68" t="e" vm="41">
        <v>#VALUE!</v>
      </c>
      <c r="N68" t="s">
        <v>15</v>
      </c>
      <c r="P68" t="s">
        <v>23</v>
      </c>
      <c r="Q68" s="1">
        <v>45976</v>
      </c>
      <c r="T68">
        <v>1</v>
      </c>
      <c r="U68">
        <v>0</v>
      </c>
      <c r="V68">
        <v>0</v>
      </c>
    </row>
    <row r="69" spans="1:22" x14ac:dyDescent="0.2">
      <c r="A69" t="s">
        <v>405</v>
      </c>
      <c r="C69" s="1">
        <v>45966</v>
      </c>
      <c r="D69" t="s">
        <v>19</v>
      </c>
      <c r="G69" t="s">
        <v>407</v>
      </c>
      <c r="H69" t="s">
        <v>104</v>
      </c>
      <c r="L69" t="s">
        <v>406</v>
      </c>
      <c r="M69" t="e" vm="42">
        <v>#VALUE!</v>
      </c>
      <c r="N69" t="s">
        <v>31</v>
      </c>
      <c r="P69" t="s">
        <v>23</v>
      </c>
      <c r="Q69" s="1">
        <v>45976</v>
      </c>
      <c r="T69">
        <v>1</v>
      </c>
      <c r="U69">
        <v>0</v>
      </c>
      <c r="V69">
        <v>0</v>
      </c>
    </row>
    <row r="70" spans="1:22" x14ac:dyDescent="0.2">
      <c r="A70" t="s">
        <v>40</v>
      </c>
      <c r="C70" s="1">
        <v>45971</v>
      </c>
      <c r="E70" t="s">
        <v>52</v>
      </c>
      <c r="F70">
        <v>1</v>
      </c>
      <c r="G70" s="1"/>
      <c r="H70" t="s">
        <v>104</v>
      </c>
      <c r="L70" s="2" t="s">
        <v>41</v>
      </c>
      <c r="M70" t="e" vm="43">
        <v>#VALUE!</v>
      </c>
      <c r="N70" t="s">
        <v>42</v>
      </c>
      <c r="P70" t="s">
        <v>23</v>
      </c>
      <c r="Q70" s="1">
        <v>45971</v>
      </c>
      <c r="T70">
        <v>1</v>
      </c>
      <c r="U70">
        <v>1</v>
      </c>
      <c r="V70">
        <v>0</v>
      </c>
    </row>
    <row r="71" spans="1:22" x14ac:dyDescent="0.2">
      <c r="A71" t="s">
        <v>49</v>
      </c>
      <c r="C71" s="1">
        <v>45971</v>
      </c>
      <c r="D71" t="s">
        <v>19</v>
      </c>
      <c r="E71" t="s">
        <v>51</v>
      </c>
      <c r="F71">
        <v>1</v>
      </c>
      <c r="G71" s="1"/>
      <c r="H71" t="s">
        <v>104</v>
      </c>
      <c r="L71" s="2" t="s">
        <v>50</v>
      </c>
      <c r="M71" t="e" vm="44">
        <v>#VALUE!</v>
      </c>
      <c r="N71" t="s">
        <v>15</v>
      </c>
      <c r="P71" t="s">
        <v>23</v>
      </c>
      <c r="Q71" s="1">
        <v>46010</v>
      </c>
      <c r="T71">
        <v>1</v>
      </c>
      <c r="U71">
        <v>0</v>
      </c>
      <c r="V71">
        <v>0</v>
      </c>
    </row>
    <row r="72" spans="1:22" x14ac:dyDescent="0.2">
      <c r="A72" s="4" t="s">
        <v>78</v>
      </c>
      <c r="C72" s="1">
        <v>45971</v>
      </c>
      <c r="D72" t="s">
        <v>80</v>
      </c>
      <c r="F72">
        <v>3</v>
      </c>
      <c r="G72" s="1"/>
      <c r="H72" t="s">
        <v>28</v>
      </c>
      <c r="J72" t="s">
        <v>253</v>
      </c>
      <c r="K72" s="1">
        <v>45976</v>
      </c>
      <c r="L72" s="2" t="s">
        <v>79</v>
      </c>
      <c r="M72" t="e" vm="45">
        <v>#VALUE!</v>
      </c>
      <c r="N72" t="s">
        <v>15</v>
      </c>
      <c r="P72" t="s">
        <v>23</v>
      </c>
      <c r="Q72" s="1">
        <v>45976</v>
      </c>
      <c r="T72">
        <v>1</v>
      </c>
      <c r="U72">
        <v>0</v>
      </c>
      <c r="V72">
        <v>0</v>
      </c>
    </row>
    <row r="73" spans="1:22" x14ac:dyDescent="0.2">
      <c r="A73" s="4" t="s">
        <v>93</v>
      </c>
      <c r="C73" s="1">
        <v>45971</v>
      </c>
      <c r="D73" t="s">
        <v>19</v>
      </c>
      <c r="F73">
        <v>2</v>
      </c>
      <c r="G73" s="1"/>
      <c r="H73" t="s">
        <v>28</v>
      </c>
      <c r="J73" t="s">
        <v>253</v>
      </c>
      <c r="K73" s="1">
        <v>45976</v>
      </c>
      <c r="L73" s="2" t="s">
        <v>94</v>
      </c>
      <c r="M73" t="e" vm="43">
        <v>#VALUE!</v>
      </c>
      <c r="N73" t="s">
        <v>15</v>
      </c>
      <c r="P73" t="s">
        <v>23</v>
      </c>
      <c r="Q73" s="1">
        <v>45976</v>
      </c>
      <c r="T73">
        <v>1</v>
      </c>
      <c r="U73">
        <v>0</v>
      </c>
      <c r="V73">
        <v>0</v>
      </c>
    </row>
    <row r="74" spans="1:22" x14ac:dyDescent="0.2">
      <c r="A74" s="4" t="s">
        <v>95</v>
      </c>
      <c r="C74" s="1">
        <v>45971</v>
      </c>
      <c r="D74" t="s">
        <v>19</v>
      </c>
      <c r="F74">
        <v>2</v>
      </c>
      <c r="G74" s="1" t="s">
        <v>124</v>
      </c>
      <c r="H74" t="s">
        <v>104</v>
      </c>
      <c r="J74" t="s">
        <v>253</v>
      </c>
      <c r="K74" s="1">
        <v>45976</v>
      </c>
      <c r="L74" s="2" t="s">
        <v>96</v>
      </c>
      <c r="M74" t="e" vm="46">
        <v>#VALUE!</v>
      </c>
      <c r="N74" t="s">
        <v>15</v>
      </c>
      <c r="P74" t="s">
        <v>23</v>
      </c>
      <c r="Q74" s="1">
        <v>45976</v>
      </c>
      <c r="T74">
        <v>1</v>
      </c>
      <c r="U74">
        <v>0</v>
      </c>
      <c r="V74">
        <v>0</v>
      </c>
    </row>
    <row r="75" spans="1:22" x14ac:dyDescent="0.2">
      <c r="A75" s="4" t="s">
        <v>138</v>
      </c>
      <c r="C75" s="1">
        <v>45971</v>
      </c>
      <c r="D75" t="s">
        <v>19</v>
      </c>
      <c r="F75">
        <v>1</v>
      </c>
      <c r="H75" t="s">
        <v>28</v>
      </c>
      <c r="J75" t="s">
        <v>253</v>
      </c>
      <c r="K75" s="1">
        <v>45976</v>
      </c>
      <c r="L75" s="2" t="s">
        <v>139</v>
      </c>
      <c r="M75" t="e" vm="8">
        <v>#VALUE!</v>
      </c>
      <c r="N75" t="s">
        <v>15</v>
      </c>
      <c r="P75" t="s">
        <v>23</v>
      </c>
      <c r="Q75" s="1">
        <v>45976</v>
      </c>
      <c r="T75">
        <v>1</v>
      </c>
      <c r="U75">
        <v>0</v>
      </c>
      <c r="V75">
        <v>0</v>
      </c>
    </row>
    <row r="76" spans="1:22" x14ac:dyDescent="0.2">
      <c r="A76" s="4" t="s">
        <v>165</v>
      </c>
      <c r="C76" s="1">
        <v>45971</v>
      </c>
      <c r="D76" t="s">
        <v>19</v>
      </c>
      <c r="F76">
        <v>1</v>
      </c>
      <c r="H76" t="s">
        <v>28</v>
      </c>
      <c r="J76" t="s">
        <v>253</v>
      </c>
      <c r="K76" s="1">
        <v>45976</v>
      </c>
      <c r="L76" s="2" t="s">
        <v>140</v>
      </c>
      <c r="M76" t="e" vm="8">
        <v>#VALUE!</v>
      </c>
      <c r="N76" t="s">
        <v>15</v>
      </c>
      <c r="P76" t="s">
        <v>23</v>
      </c>
      <c r="Q76" s="1">
        <v>45976</v>
      </c>
      <c r="T76">
        <v>1</v>
      </c>
      <c r="U76">
        <v>0</v>
      </c>
      <c r="V76">
        <v>0</v>
      </c>
    </row>
    <row r="77" spans="1:22" x14ac:dyDescent="0.2">
      <c r="A77" s="4" t="s">
        <v>141</v>
      </c>
      <c r="C77" s="1">
        <v>45971</v>
      </c>
      <c r="D77" t="s">
        <v>19</v>
      </c>
      <c r="E77" t="s">
        <v>143</v>
      </c>
      <c r="F77">
        <v>2</v>
      </c>
      <c r="H77" t="s">
        <v>28</v>
      </c>
      <c r="J77" t="s">
        <v>253</v>
      </c>
      <c r="K77" s="1">
        <v>45976</v>
      </c>
      <c r="L77" s="2" t="s">
        <v>142</v>
      </c>
      <c r="M77" t="e" vm="8">
        <v>#VALUE!</v>
      </c>
      <c r="N77" t="s">
        <v>15</v>
      </c>
      <c r="P77" t="s">
        <v>23</v>
      </c>
      <c r="Q77" s="1">
        <v>45974</v>
      </c>
      <c r="T77">
        <v>1</v>
      </c>
      <c r="U77">
        <v>0</v>
      </c>
      <c r="V77">
        <v>1</v>
      </c>
    </row>
    <row r="78" spans="1:22" x14ac:dyDescent="0.2">
      <c r="A78" t="s">
        <v>218</v>
      </c>
      <c r="C78" s="1">
        <v>45971</v>
      </c>
      <c r="D78" t="s">
        <v>45</v>
      </c>
      <c r="H78" t="s">
        <v>104</v>
      </c>
      <c r="L78" t="s">
        <v>217</v>
      </c>
      <c r="M78" t="e" vm="5">
        <v>#VALUE!</v>
      </c>
      <c r="N78" t="s">
        <v>15</v>
      </c>
      <c r="P78" t="s">
        <v>23</v>
      </c>
      <c r="Q78" s="1">
        <v>45991</v>
      </c>
      <c r="T78">
        <v>1</v>
      </c>
      <c r="U78">
        <v>0</v>
      </c>
      <c r="V78">
        <v>0</v>
      </c>
    </row>
    <row r="79" spans="1:22" x14ac:dyDescent="0.2">
      <c r="A79" t="s">
        <v>254</v>
      </c>
      <c r="C79" s="1">
        <v>45971</v>
      </c>
      <c r="D79" t="s">
        <v>19</v>
      </c>
      <c r="H79" t="s">
        <v>104</v>
      </c>
      <c r="L79" t="s">
        <v>255</v>
      </c>
      <c r="M79" t="e" vm="42">
        <v>#VALUE!</v>
      </c>
      <c r="N79" t="s">
        <v>31</v>
      </c>
      <c r="P79" t="s">
        <v>23</v>
      </c>
      <c r="Q79" s="1">
        <v>45977</v>
      </c>
      <c r="T79">
        <v>1</v>
      </c>
      <c r="U79">
        <v>0</v>
      </c>
      <c r="V79">
        <v>0</v>
      </c>
    </row>
    <row r="80" spans="1:22" x14ac:dyDescent="0.2">
      <c r="A80" s="4" t="s">
        <v>280</v>
      </c>
      <c r="C80" s="1">
        <v>45971</v>
      </c>
      <c r="D80" t="s">
        <v>19</v>
      </c>
      <c r="F80">
        <v>1</v>
      </c>
      <c r="H80" t="s">
        <v>28</v>
      </c>
      <c r="J80" t="s">
        <v>253</v>
      </c>
      <c r="K80" s="1">
        <v>45976</v>
      </c>
      <c r="L80" t="s">
        <v>279</v>
      </c>
      <c r="M80" t="e" vm="46">
        <v>#VALUE!</v>
      </c>
      <c r="N80" t="s">
        <v>15</v>
      </c>
      <c r="P80" t="s">
        <v>23</v>
      </c>
      <c r="Q80" s="1">
        <v>45976</v>
      </c>
      <c r="T80">
        <v>1</v>
      </c>
      <c r="U80">
        <v>0</v>
      </c>
      <c r="V80">
        <v>0</v>
      </c>
    </row>
    <row r="81" spans="1:25" x14ac:dyDescent="0.2">
      <c r="A81" s="4" t="s">
        <v>281</v>
      </c>
      <c r="B81" t="s">
        <v>283</v>
      </c>
      <c r="C81" s="1">
        <v>45971</v>
      </c>
      <c r="D81" t="s">
        <v>19</v>
      </c>
      <c r="F81">
        <v>2</v>
      </c>
      <c r="G81" t="s">
        <v>282</v>
      </c>
      <c r="H81" t="s">
        <v>28</v>
      </c>
      <c r="J81" t="s">
        <v>253</v>
      </c>
      <c r="K81" s="1">
        <v>45976</v>
      </c>
      <c r="L81" t="s">
        <v>169</v>
      </c>
      <c r="M81" t="e" vm="15">
        <v>#VALUE!</v>
      </c>
      <c r="N81" t="s">
        <v>15</v>
      </c>
      <c r="P81" t="s">
        <v>23</v>
      </c>
      <c r="Q81" s="1">
        <v>45977</v>
      </c>
      <c r="T81">
        <v>1</v>
      </c>
      <c r="U81">
        <v>0</v>
      </c>
      <c r="V81">
        <v>1</v>
      </c>
    </row>
    <row r="82" spans="1:25" x14ac:dyDescent="0.2">
      <c r="A82" t="s">
        <v>285</v>
      </c>
      <c r="B82" t="s">
        <v>383</v>
      </c>
      <c r="C82" s="1">
        <v>45971</v>
      </c>
      <c r="D82" t="s">
        <v>19</v>
      </c>
      <c r="H82" t="s">
        <v>28</v>
      </c>
      <c r="L82" t="s">
        <v>208</v>
      </c>
      <c r="M82" t="e" vm="31">
        <v>#VALUE!</v>
      </c>
      <c r="N82" t="s">
        <v>15</v>
      </c>
      <c r="P82" t="s">
        <v>23</v>
      </c>
      <c r="Q82" s="1">
        <v>45975</v>
      </c>
      <c r="T82">
        <v>1</v>
      </c>
      <c r="U82">
        <v>0</v>
      </c>
      <c r="V82">
        <v>1</v>
      </c>
    </row>
    <row r="83" spans="1:25" x14ac:dyDescent="0.2">
      <c r="A83" t="s">
        <v>287</v>
      </c>
      <c r="B83" t="s">
        <v>288</v>
      </c>
      <c r="C83" s="1">
        <v>45971</v>
      </c>
      <c r="D83" t="s">
        <v>19</v>
      </c>
      <c r="F83">
        <v>1</v>
      </c>
      <c r="H83" t="s">
        <v>28</v>
      </c>
      <c r="L83" t="s">
        <v>286</v>
      </c>
      <c r="M83" t="e" vm="31">
        <v>#VALUE!</v>
      </c>
      <c r="N83" t="s">
        <v>15</v>
      </c>
      <c r="P83" t="s">
        <v>23</v>
      </c>
      <c r="Q83" s="1">
        <v>45976</v>
      </c>
      <c r="T83">
        <v>1</v>
      </c>
      <c r="U83">
        <v>0</v>
      </c>
      <c r="V83">
        <v>1</v>
      </c>
    </row>
    <row r="84" spans="1:25" x14ac:dyDescent="0.2">
      <c r="A84" t="s">
        <v>295</v>
      </c>
      <c r="C84" s="1">
        <v>45971</v>
      </c>
      <c r="D84" t="s">
        <v>19</v>
      </c>
      <c r="H84" t="s">
        <v>28</v>
      </c>
      <c r="L84" t="s">
        <v>294</v>
      </c>
      <c r="M84" t="e" vm="30">
        <v>#VALUE!</v>
      </c>
      <c r="N84" t="s">
        <v>31</v>
      </c>
      <c r="P84" t="s">
        <v>23</v>
      </c>
      <c r="Q84" s="1">
        <v>45981</v>
      </c>
      <c r="T84">
        <v>1</v>
      </c>
      <c r="U84">
        <v>0</v>
      </c>
      <c r="V84">
        <v>0</v>
      </c>
    </row>
    <row r="85" spans="1:25" x14ac:dyDescent="0.2">
      <c r="A85" t="s">
        <v>298</v>
      </c>
      <c r="C85" s="1">
        <v>45971</v>
      </c>
      <c r="D85" t="s">
        <v>19</v>
      </c>
      <c r="H85" t="s">
        <v>28</v>
      </c>
      <c r="L85" t="s">
        <v>299</v>
      </c>
      <c r="M85" t="e" vm="47">
        <v>#VALUE!</v>
      </c>
      <c r="N85" t="s">
        <v>15</v>
      </c>
      <c r="P85" t="s">
        <v>23</v>
      </c>
      <c r="Q85" s="1">
        <v>45989</v>
      </c>
      <c r="T85">
        <v>1</v>
      </c>
      <c r="U85">
        <v>0</v>
      </c>
      <c r="V85">
        <v>0</v>
      </c>
    </row>
    <row r="86" spans="1:25" x14ac:dyDescent="0.2">
      <c r="A86" t="s">
        <v>307</v>
      </c>
      <c r="C86" s="1">
        <v>45971</v>
      </c>
      <c r="D86" t="s">
        <v>19</v>
      </c>
      <c r="G86" t="s">
        <v>308</v>
      </c>
      <c r="H86" t="s">
        <v>28</v>
      </c>
      <c r="L86" t="s">
        <v>306</v>
      </c>
      <c r="M86" t="e" vm="48">
        <v>#VALUE!</v>
      </c>
      <c r="N86" t="s">
        <v>15</v>
      </c>
      <c r="P86" t="s">
        <v>23</v>
      </c>
      <c r="Q86" s="1">
        <v>45981</v>
      </c>
      <c r="T86">
        <v>1</v>
      </c>
      <c r="U86">
        <v>1</v>
      </c>
      <c r="V86">
        <v>1</v>
      </c>
    </row>
    <row r="87" spans="1:25" x14ac:dyDescent="0.2">
      <c r="A87" t="s">
        <v>310</v>
      </c>
      <c r="C87" s="1">
        <v>45971</v>
      </c>
      <c r="D87" t="s">
        <v>19</v>
      </c>
      <c r="H87" t="s">
        <v>28</v>
      </c>
      <c r="L87" t="s">
        <v>309</v>
      </c>
      <c r="M87" t="e" vm="49">
        <v>#VALUE!</v>
      </c>
      <c r="N87" t="s">
        <v>15</v>
      </c>
      <c r="P87" t="s">
        <v>23</v>
      </c>
      <c r="Q87" s="1">
        <v>45981</v>
      </c>
      <c r="T87">
        <v>1</v>
      </c>
      <c r="U87">
        <v>1</v>
      </c>
      <c r="V87">
        <v>1</v>
      </c>
    </row>
    <row r="88" spans="1:25" x14ac:dyDescent="0.2">
      <c r="A88" t="s">
        <v>311</v>
      </c>
      <c r="C88" s="1">
        <v>45971</v>
      </c>
      <c r="D88" t="s">
        <v>19</v>
      </c>
      <c r="E88" t="s">
        <v>313</v>
      </c>
      <c r="H88" t="s">
        <v>28</v>
      </c>
      <c r="L88" t="s">
        <v>312</v>
      </c>
      <c r="M88" t="e" vm="47">
        <v>#VALUE!</v>
      </c>
      <c r="N88" t="s">
        <v>15</v>
      </c>
      <c r="P88" t="s">
        <v>23</v>
      </c>
      <c r="Q88" s="1">
        <v>45980</v>
      </c>
      <c r="T88">
        <v>1</v>
      </c>
      <c r="U88">
        <v>0</v>
      </c>
      <c r="V88">
        <v>0</v>
      </c>
    </row>
    <row r="89" spans="1:25" x14ac:dyDescent="0.2">
      <c r="A89" t="s">
        <v>315</v>
      </c>
      <c r="B89" t="s">
        <v>401</v>
      </c>
      <c r="C89" s="1">
        <v>45971</v>
      </c>
      <c r="D89" t="s">
        <v>19</v>
      </c>
      <c r="E89" t="s">
        <v>400</v>
      </c>
      <c r="G89" s="2" t="s">
        <v>316</v>
      </c>
      <c r="H89" t="s">
        <v>28</v>
      </c>
      <c r="L89" t="s">
        <v>314</v>
      </c>
      <c r="M89" t="e" vm="49">
        <v>#VALUE!</v>
      </c>
      <c r="N89" t="s">
        <v>15</v>
      </c>
      <c r="P89" t="s">
        <v>23</v>
      </c>
      <c r="Q89" s="1">
        <v>45978</v>
      </c>
      <c r="T89">
        <v>1</v>
      </c>
      <c r="U89">
        <v>0</v>
      </c>
      <c r="V89">
        <v>1</v>
      </c>
    </row>
    <row r="90" spans="1:25" x14ac:dyDescent="0.2">
      <c r="A90" t="s">
        <v>329</v>
      </c>
      <c r="C90" s="1">
        <v>45971</v>
      </c>
      <c r="D90" t="s">
        <v>19</v>
      </c>
      <c r="H90" t="s">
        <v>28</v>
      </c>
      <c r="L90" t="s">
        <v>328</v>
      </c>
      <c r="M90" t="e" vm="41">
        <v>#VALUE!</v>
      </c>
      <c r="N90" t="s">
        <v>15</v>
      </c>
      <c r="P90" t="s">
        <v>23</v>
      </c>
      <c r="Q90" s="1">
        <v>45976</v>
      </c>
      <c r="T90">
        <v>1</v>
      </c>
      <c r="U90">
        <v>0</v>
      </c>
      <c r="V90">
        <v>0</v>
      </c>
    </row>
    <row r="91" spans="1:25" x14ac:dyDescent="0.2">
      <c r="A91" t="s">
        <v>331</v>
      </c>
      <c r="C91" s="1">
        <v>45971</v>
      </c>
      <c r="D91" t="s">
        <v>19</v>
      </c>
      <c r="G91" t="s">
        <v>332</v>
      </c>
      <c r="H91" t="s">
        <v>28</v>
      </c>
      <c r="L91" t="s">
        <v>330</v>
      </c>
      <c r="M91" t="e" vm="31">
        <v>#VALUE!</v>
      </c>
      <c r="N91" t="s">
        <v>15</v>
      </c>
      <c r="P91" t="s">
        <v>23</v>
      </c>
      <c r="Q91" s="1">
        <v>45976</v>
      </c>
      <c r="T91">
        <v>1</v>
      </c>
      <c r="U91">
        <v>1</v>
      </c>
      <c r="V91">
        <v>1</v>
      </c>
    </row>
    <row r="92" spans="1:25" x14ac:dyDescent="0.2">
      <c r="A92" t="s">
        <v>333</v>
      </c>
      <c r="C92" s="1">
        <v>45971</v>
      </c>
      <c r="D92" t="s">
        <v>45</v>
      </c>
      <c r="E92" t="s">
        <v>334</v>
      </c>
      <c r="H92" t="s">
        <v>28</v>
      </c>
      <c r="L92" t="s">
        <v>91</v>
      </c>
      <c r="M92" t="e" vm="4">
        <v>#VALUE!</v>
      </c>
      <c r="P92" t="s">
        <v>23</v>
      </c>
      <c r="Q92" s="1">
        <v>45973</v>
      </c>
      <c r="T92">
        <v>1</v>
      </c>
      <c r="U92">
        <v>0</v>
      </c>
      <c r="V92">
        <v>0</v>
      </c>
    </row>
    <row r="93" spans="1:25" x14ac:dyDescent="0.2">
      <c r="A93" t="s">
        <v>87</v>
      </c>
      <c r="C93" s="1">
        <v>45971</v>
      </c>
      <c r="D93" t="s">
        <v>89</v>
      </c>
      <c r="E93" t="s">
        <v>19</v>
      </c>
      <c r="G93" s="1"/>
      <c r="H93" t="s">
        <v>28</v>
      </c>
      <c r="L93" s="2" t="s">
        <v>88</v>
      </c>
      <c r="M93" t="e" vm="50">
        <v>#VALUE!</v>
      </c>
      <c r="N93" t="s">
        <v>31</v>
      </c>
      <c r="O93" t="s">
        <v>22</v>
      </c>
      <c r="P93" t="s">
        <v>23</v>
      </c>
      <c r="Q93" s="1">
        <v>45976</v>
      </c>
      <c r="T93">
        <v>1</v>
      </c>
      <c r="U93">
        <v>0</v>
      </c>
      <c r="V93">
        <v>0</v>
      </c>
      <c r="Y93" s="6" t="s">
        <v>70</v>
      </c>
    </row>
    <row r="94" spans="1:25" x14ac:dyDescent="0.2">
      <c r="A94" t="s">
        <v>118</v>
      </c>
      <c r="C94" s="1">
        <v>45971</v>
      </c>
      <c r="D94" t="s">
        <v>45</v>
      </c>
      <c r="E94" t="s">
        <v>159</v>
      </c>
      <c r="G94" s="1"/>
      <c r="H94" t="s">
        <v>28</v>
      </c>
      <c r="L94" s="2" t="s">
        <v>119</v>
      </c>
      <c r="M94" t="e" vm="1">
        <v>#VALUE!</v>
      </c>
      <c r="N94" t="s">
        <v>15</v>
      </c>
      <c r="P94" t="s">
        <v>23</v>
      </c>
      <c r="Q94" s="1">
        <v>45976</v>
      </c>
      <c r="T94">
        <v>1</v>
      </c>
      <c r="U94">
        <v>0</v>
      </c>
      <c r="V94">
        <v>1</v>
      </c>
    </row>
    <row r="95" spans="1:25" x14ac:dyDescent="0.2">
      <c r="A95" t="s">
        <v>29</v>
      </c>
      <c r="C95" s="1">
        <v>45971</v>
      </c>
      <c r="D95" t="s">
        <v>19</v>
      </c>
      <c r="E95" t="s">
        <v>19</v>
      </c>
      <c r="F95">
        <v>1</v>
      </c>
      <c r="G95" s="1"/>
      <c r="H95" t="s">
        <v>113</v>
      </c>
      <c r="L95" s="2" t="s">
        <v>30</v>
      </c>
      <c r="M95" t="e" vm="51">
        <v>#VALUE!</v>
      </c>
      <c r="N95" t="s">
        <v>31</v>
      </c>
      <c r="O95" t="s">
        <v>32</v>
      </c>
      <c r="P95" t="s">
        <v>23</v>
      </c>
      <c r="Q95" s="1">
        <v>45978</v>
      </c>
      <c r="T95">
        <v>1</v>
      </c>
      <c r="U95">
        <v>0</v>
      </c>
      <c r="V95">
        <v>0</v>
      </c>
    </row>
    <row r="96" spans="1:25" x14ac:dyDescent="0.2">
      <c r="A96" t="s">
        <v>34</v>
      </c>
      <c r="C96" s="1">
        <v>45971</v>
      </c>
      <c r="D96" t="s">
        <v>19</v>
      </c>
      <c r="E96" t="s">
        <v>19</v>
      </c>
      <c r="G96" s="1"/>
      <c r="H96" t="s">
        <v>28</v>
      </c>
      <c r="L96" s="11" t="s">
        <v>35</v>
      </c>
      <c r="M96" t="e" vm="52">
        <v>#VALUE!</v>
      </c>
      <c r="N96" t="s">
        <v>15</v>
      </c>
      <c r="O96" t="s">
        <v>36</v>
      </c>
      <c r="P96" t="s">
        <v>23</v>
      </c>
      <c r="Q96" s="1">
        <v>45978</v>
      </c>
      <c r="T96">
        <v>1</v>
      </c>
      <c r="U96">
        <v>0</v>
      </c>
      <c r="V96">
        <v>0</v>
      </c>
    </row>
    <row r="97" spans="1:22" x14ac:dyDescent="0.2">
      <c r="A97" t="s">
        <v>351</v>
      </c>
      <c r="B97" t="s">
        <v>355</v>
      </c>
      <c r="C97" s="1">
        <v>45971</v>
      </c>
      <c r="D97" t="s">
        <v>354</v>
      </c>
      <c r="E97" t="s">
        <v>353</v>
      </c>
      <c r="F97">
        <v>1</v>
      </c>
      <c r="G97" s="2" t="s">
        <v>356</v>
      </c>
      <c r="H97" t="s">
        <v>28</v>
      </c>
      <c r="J97" t="s">
        <v>253</v>
      </c>
      <c r="K97" s="1">
        <v>45986</v>
      </c>
      <c r="L97" t="s">
        <v>352</v>
      </c>
      <c r="M97" t="e" vm="50">
        <v>#VALUE!</v>
      </c>
      <c r="P97" t="s">
        <v>23</v>
      </c>
      <c r="Q97" s="1">
        <v>45981</v>
      </c>
      <c r="T97">
        <v>1</v>
      </c>
      <c r="U97">
        <v>1</v>
      </c>
      <c r="V97">
        <v>0</v>
      </c>
    </row>
    <row r="98" spans="1:22" x14ac:dyDescent="0.2">
      <c r="A98" t="s">
        <v>357</v>
      </c>
      <c r="B98" t="s">
        <v>360</v>
      </c>
      <c r="C98" s="1">
        <v>45971</v>
      </c>
      <c r="D98" t="s">
        <v>359</v>
      </c>
      <c r="H98" t="s">
        <v>28</v>
      </c>
      <c r="L98" t="s">
        <v>358</v>
      </c>
      <c r="M98" t="e" vm="16">
        <v>#VALUE!</v>
      </c>
      <c r="N98" t="s">
        <v>15</v>
      </c>
      <c r="P98" t="s">
        <v>23</v>
      </c>
      <c r="Q98" s="1">
        <v>45975</v>
      </c>
      <c r="T98">
        <v>1</v>
      </c>
      <c r="U98">
        <v>0</v>
      </c>
      <c r="V98">
        <v>1</v>
      </c>
    </row>
    <row r="99" spans="1:22" x14ac:dyDescent="0.2">
      <c r="A99" t="s">
        <v>365</v>
      </c>
      <c r="C99" s="1">
        <v>45971</v>
      </c>
      <c r="D99" t="s">
        <v>367</v>
      </c>
      <c r="H99" t="s">
        <v>28</v>
      </c>
      <c r="L99" t="s">
        <v>363</v>
      </c>
      <c r="M99" t="e" vm="14">
        <v>#VALUE!</v>
      </c>
      <c r="N99" t="s">
        <v>15</v>
      </c>
      <c r="P99" t="s">
        <v>23</v>
      </c>
      <c r="Q99" s="1">
        <v>45976</v>
      </c>
      <c r="T99">
        <v>1</v>
      </c>
      <c r="U99">
        <v>1</v>
      </c>
      <c r="V99">
        <v>1</v>
      </c>
    </row>
    <row r="100" spans="1:22" x14ac:dyDescent="0.2">
      <c r="A100" t="s">
        <v>369</v>
      </c>
      <c r="B100" t="s">
        <v>370</v>
      </c>
      <c r="C100" s="1">
        <v>45971</v>
      </c>
      <c r="D100" t="s">
        <v>45</v>
      </c>
      <c r="H100" t="s">
        <v>28</v>
      </c>
      <c r="L100" t="s">
        <v>368</v>
      </c>
      <c r="M100" t="e" vm="53">
        <v>#VALUE!</v>
      </c>
      <c r="N100" t="s">
        <v>15</v>
      </c>
      <c r="P100" t="s">
        <v>23</v>
      </c>
      <c r="Q100" s="1">
        <v>45982</v>
      </c>
      <c r="T100">
        <v>1</v>
      </c>
      <c r="U100">
        <v>0</v>
      </c>
      <c r="V100">
        <v>0</v>
      </c>
    </row>
    <row r="101" spans="1:22" x14ac:dyDescent="0.2">
      <c r="A101" t="s">
        <v>393</v>
      </c>
      <c r="B101" t="s">
        <v>394</v>
      </c>
      <c r="C101" s="1">
        <v>45971</v>
      </c>
      <c r="D101" t="s">
        <v>19</v>
      </c>
      <c r="H101" t="s">
        <v>28</v>
      </c>
      <c r="L101" t="s">
        <v>174</v>
      </c>
      <c r="M101" t="e" vm="47">
        <v>#VALUE!</v>
      </c>
      <c r="N101" t="s">
        <v>31</v>
      </c>
      <c r="P101" t="s">
        <v>23</v>
      </c>
      <c r="Q101" s="1">
        <v>45982</v>
      </c>
      <c r="T101">
        <v>1</v>
      </c>
      <c r="U101">
        <v>0</v>
      </c>
      <c r="V101">
        <v>0</v>
      </c>
    </row>
    <row r="102" spans="1:22" x14ac:dyDescent="0.2">
      <c r="A102" s="4" t="s">
        <v>396</v>
      </c>
      <c r="C102" s="1">
        <v>45971</v>
      </c>
      <c r="D102" t="s">
        <v>19</v>
      </c>
      <c r="F102">
        <v>1</v>
      </c>
      <c r="H102" t="s">
        <v>28</v>
      </c>
      <c r="J102" t="s">
        <v>253</v>
      </c>
      <c r="K102" s="1">
        <v>45986</v>
      </c>
      <c r="L102" t="s">
        <v>395</v>
      </c>
      <c r="M102" t="e" vm="54">
        <v>#VALUE!</v>
      </c>
      <c r="N102" t="s">
        <v>15</v>
      </c>
      <c r="P102" t="s">
        <v>23</v>
      </c>
      <c r="Q102" s="1">
        <v>45982</v>
      </c>
      <c r="T102">
        <v>1</v>
      </c>
      <c r="U102">
        <v>1</v>
      </c>
      <c r="V102">
        <v>0</v>
      </c>
    </row>
    <row r="103" spans="1:22" x14ac:dyDescent="0.2">
      <c r="A103" s="4" t="s">
        <v>397</v>
      </c>
      <c r="B103" t="s">
        <v>399</v>
      </c>
      <c r="C103" s="1">
        <v>45971</v>
      </c>
      <c r="D103" t="s">
        <v>19</v>
      </c>
      <c r="F103">
        <v>2</v>
      </c>
      <c r="H103" t="s">
        <v>28</v>
      </c>
      <c r="J103" t="s">
        <v>253</v>
      </c>
      <c r="K103" s="1">
        <v>45986</v>
      </c>
      <c r="L103" t="s">
        <v>398</v>
      </c>
      <c r="M103" t="e" vm="26">
        <v>#VALUE!</v>
      </c>
      <c r="N103" t="s">
        <v>31</v>
      </c>
      <c r="P103" t="s">
        <v>23</v>
      </c>
      <c r="Q103" s="1">
        <v>45980</v>
      </c>
      <c r="T103">
        <v>1</v>
      </c>
      <c r="U103">
        <v>0</v>
      </c>
      <c r="V103">
        <v>0</v>
      </c>
    </row>
    <row r="104" spans="1:22" x14ac:dyDescent="0.2">
      <c r="A104" s="4" t="s">
        <v>128</v>
      </c>
      <c r="C104" s="1">
        <v>45976</v>
      </c>
      <c r="D104" t="s">
        <v>19</v>
      </c>
      <c r="E104" t="s">
        <v>129</v>
      </c>
      <c r="F104">
        <v>2</v>
      </c>
      <c r="H104" t="s">
        <v>28</v>
      </c>
      <c r="J104" t="s">
        <v>253</v>
      </c>
      <c r="K104" s="1">
        <v>45986</v>
      </c>
      <c r="L104" s="2" t="s">
        <v>127</v>
      </c>
      <c r="M104" t="e" vm="23">
        <v>#VALUE!</v>
      </c>
      <c r="N104" t="s">
        <v>15</v>
      </c>
      <c r="P104" t="s">
        <v>23</v>
      </c>
      <c r="Q104" s="1">
        <v>45988</v>
      </c>
      <c r="T104">
        <v>1</v>
      </c>
      <c r="U104">
        <v>0</v>
      </c>
      <c r="V104">
        <v>0</v>
      </c>
    </row>
    <row r="105" spans="1:22" x14ac:dyDescent="0.2">
      <c r="A105" s="4" t="s">
        <v>173</v>
      </c>
      <c r="C105" s="1">
        <v>45976</v>
      </c>
      <c r="D105" t="s">
        <v>19</v>
      </c>
      <c r="F105">
        <v>2</v>
      </c>
      <c r="G105" s="9" t="s">
        <v>175</v>
      </c>
      <c r="H105" t="s">
        <v>28</v>
      </c>
      <c r="J105" t="s">
        <v>253</v>
      </c>
      <c r="K105" s="1">
        <v>45986</v>
      </c>
      <c r="L105" s="2" t="s">
        <v>174</v>
      </c>
      <c r="M105" t="e" vm="55">
        <v>#VALUE!</v>
      </c>
      <c r="N105" t="s">
        <v>15</v>
      </c>
      <c r="P105" t="s">
        <v>23</v>
      </c>
      <c r="Q105" s="1">
        <v>45982</v>
      </c>
      <c r="T105">
        <v>1</v>
      </c>
      <c r="U105">
        <v>0</v>
      </c>
      <c r="V105">
        <v>0</v>
      </c>
    </row>
    <row r="106" spans="1:22" x14ac:dyDescent="0.2">
      <c r="A106" s="4" t="s">
        <v>147</v>
      </c>
      <c r="C106" s="1">
        <v>45976</v>
      </c>
      <c r="D106" t="s">
        <v>19</v>
      </c>
      <c r="F106">
        <v>1</v>
      </c>
      <c r="H106" t="s">
        <v>28</v>
      </c>
      <c r="J106" t="s">
        <v>253</v>
      </c>
      <c r="K106" s="1">
        <v>45986</v>
      </c>
      <c r="L106" s="2" t="s">
        <v>148</v>
      </c>
      <c r="M106" t="e" vm="56">
        <v>#VALUE!</v>
      </c>
      <c r="N106" t="s">
        <v>15</v>
      </c>
      <c r="P106" t="s">
        <v>23</v>
      </c>
      <c r="Q106" s="1">
        <v>45986</v>
      </c>
      <c r="T106">
        <v>1</v>
      </c>
      <c r="U106">
        <v>1</v>
      </c>
      <c r="V106">
        <v>1</v>
      </c>
    </row>
    <row r="107" spans="1:22" x14ac:dyDescent="0.2">
      <c r="A107" s="4" t="s">
        <v>149</v>
      </c>
      <c r="C107" s="1">
        <v>45976</v>
      </c>
      <c r="D107" t="s">
        <v>19</v>
      </c>
      <c r="F107">
        <v>2</v>
      </c>
      <c r="H107" t="s">
        <v>28</v>
      </c>
      <c r="J107" t="s">
        <v>253</v>
      </c>
      <c r="K107" s="1">
        <v>45986</v>
      </c>
      <c r="L107" s="2" t="s">
        <v>150</v>
      </c>
      <c r="M107" t="e" vm="56">
        <v>#VALUE!</v>
      </c>
      <c r="N107" t="s">
        <v>15</v>
      </c>
      <c r="P107" t="s">
        <v>23</v>
      </c>
      <c r="Q107" s="1">
        <v>45989</v>
      </c>
      <c r="T107">
        <v>1</v>
      </c>
      <c r="U107">
        <v>0</v>
      </c>
      <c r="V107">
        <v>0</v>
      </c>
    </row>
    <row r="108" spans="1:22" x14ac:dyDescent="0.2">
      <c r="A108" t="s">
        <v>116</v>
      </c>
      <c r="C108" s="1">
        <v>45976</v>
      </c>
      <c r="D108" t="s">
        <v>19</v>
      </c>
      <c r="G108" s="1"/>
      <c r="H108" t="s">
        <v>28</v>
      </c>
      <c r="L108" t="s">
        <v>117</v>
      </c>
      <c r="M108" t="e" vm="12">
        <v>#VALUE!</v>
      </c>
      <c r="N108" t="s">
        <v>15</v>
      </c>
      <c r="P108" t="s">
        <v>23</v>
      </c>
      <c r="Q108" s="1">
        <v>45981</v>
      </c>
      <c r="T108">
        <v>1</v>
      </c>
      <c r="U108">
        <v>0</v>
      </c>
      <c r="V108">
        <v>0</v>
      </c>
    </row>
    <row r="109" spans="1:22" x14ac:dyDescent="0.2">
      <c r="A109" t="s">
        <v>389</v>
      </c>
      <c r="C109" s="1">
        <v>45976</v>
      </c>
      <c r="D109" t="s">
        <v>19</v>
      </c>
      <c r="H109" t="s">
        <v>104</v>
      </c>
      <c r="L109" t="s">
        <v>388</v>
      </c>
      <c r="M109" t="e" vm="26">
        <v>#VALUE!</v>
      </c>
      <c r="N109" t="s">
        <v>15</v>
      </c>
      <c r="P109" t="s">
        <v>23</v>
      </c>
      <c r="Q109" s="1">
        <v>45985</v>
      </c>
      <c r="T109">
        <v>1</v>
      </c>
      <c r="U109">
        <v>0</v>
      </c>
      <c r="V109">
        <v>0</v>
      </c>
    </row>
    <row r="110" spans="1:22" x14ac:dyDescent="0.2">
      <c r="A110" s="4" t="s">
        <v>162</v>
      </c>
      <c r="C110" s="1">
        <v>45981</v>
      </c>
      <c r="D110" t="s">
        <v>19</v>
      </c>
      <c r="F110">
        <v>1</v>
      </c>
      <c r="G110" s="9" t="s">
        <v>164</v>
      </c>
      <c r="H110" t="s">
        <v>28</v>
      </c>
      <c r="J110" t="s">
        <v>253</v>
      </c>
      <c r="K110" s="1">
        <v>45992</v>
      </c>
      <c r="L110" s="2" t="s">
        <v>163</v>
      </c>
      <c r="M110" t="e" vm="33">
        <v>#VALUE!</v>
      </c>
      <c r="N110" t="s">
        <v>31</v>
      </c>
      <c r="P110" t="s">
        <v>23</v>
      </c>
      <c r="Q110" s="1">
        <v>45991</v>
      </c>
      <c r="T110">
        <v>1</v>
      </c>
      <c r="U110">
        <v>1</v>
      </c>
      <c r="V110">
        <v>0</v>
      </c>
    </row>
    <row r="111" spans="1:22" x14ac:dyDescent="0.2">
      <c r="A111" s="4" t="s">
        <v>166</v>
      </c>
      <c r="C111" s="1">
        <v>45981</v>
      </c>
      <c r="D111" t="s">
        <v>19</v>
      </c>
      <c r="F111">
        <v>1</v>
      </c>
      <c r="H111" t="s">
        <v>28</v>
      </c>
      <c r="J111" t="s">
        <v>253</v>
      </c>
      <c r="K111" s="1">
        <v>45992</v>
      </c>
      <c r="L111" s="2" t="s">
        <v>167</v>
      </c>
      <c r="M111" t="e" vm="33">
        <v>#VALUE!</v>
      </c>
      <c r="N111" t="s">
        <v>31</v>
      </c>
      <c r="P111" t="s">
        <v>23</v>
      </c>
      <c r="Q111" s="1">
        <v>45992</v>
      </c>
      <c r="T111">
        <v>1</v>
      </c>
      <c r="U111">
        <v>1</v>
      </c>
      <c r="V111">
        <v>0</v>
      </c>
    </row>
    <row r="112" spans="1:22" x14ac:dyDescent="0.2">
      <c r="A112" t="s">
        <v>247</v>
      </c>
      <c r="C112" s="1">
        <v>45981</v>
      </c>
      <c r="D112" t="s">
        <v>45</v>
      </c>
      <c r="E112" s="2" t="s">
        <v>249</v>
      </c>
      <c r="H112" t="s">
        <v>28</v>
      </c>
      <c r="L112" t="s">
        <v>248</v>
      </c>
      <c r="M112" t="e" vm="57">
        <v>#VALUE!</v>
      </c>
      <c r="N112" t="s">
        <v>15</v>
      </c>
      <c r="O112" t="s">
        <v>72</v>
      </c>
      <c r="P112" t="s">
        <v>23</v>
      </c>
      <c r="Q112" s="1">
        <v>45992</v>
      </c>
      <c r="T112">
        <v>1</v>
      </c>
      <c r="U112">
        <v>0</v>
      </c>
      <c r="V112">
        <v>0</v>
      </c>
    </row>
    <row r="113" spans="1:22" x14ac:dyDescent="0.2">
      <c r="A113" t="s">
        <v>384</v>
      </c>
      <c r="C113" s="1">
        <v>45981</v>
      </c>
      <c r="D113" t="s">
        <v>19</v>
      </c>
      <c r="F113">
        <v>1</v>
      </c>
      <c r="G113" t="s">
        <v>257</v>
      </c>
      <c r="H113" t="s">
        <v>28</v>
      </c>
      <c r="L113" t="s">
        <v>256</v>
      </c>
      <c r="M113" t="e" vm="49">
        <v>#VALUE!</v>
      </c>
      <c r="N113" t="s">
        <v>15</v>
      </c>
      <c r="P113" t="s">
        <v>23</v>
      </c>
      <c r="Q113" s="1">
        <v>46045</v>
      </c>
      <c r="T113">
        <v>1</v>
      </c>
      <c r="U113">
        <v>0</v>
      </c>
      <c r="V113">
        <v>0</v>
      </c>
    </row>
    <row r="114" spans="1:22" x14ac:dyDescent="0.2">
      <c r="A114" t="s">
        <v>259</v>
      </c>
      <c r="C114" s="1">
        <v>45981</v>
      </c>
      <c r="D114" t="s">
        <v>19</v>
      </c>
      <c r="G114" s="10" t="s">
        <v>260</v>
      </c>
      <c r="H114" t="s">
        <v>28</v>
      </c>
      <c r="L114" t="s">
        <v>258</v>
      </c>
      <c r="M114" t="e" vm="58">
        <v>#VALUE!</v>
      </c>
      <c r="N114" t="s">
        <v>31</v>
      </c>
      <c r="P114" t="s">
        <v>23</v>
      </c>
      <c r="Q114" s="1">
        <v>46006</v>
      </c>
      <c r="T114">
        <v>1</v>
      </c>
      <c r="U114">
        <v>0</v>
      </c>
      <c r="V114">
        <v>0</v>
      </c>
    </row>
    <row r="115" spans="1:22" x14ac:dyDescent="0.2">
      <c r="A115" t="s">
        <v>263</v>
      </c>
      <c r="C115" s="1">
        <v>45981</v>
      </c>
      <c r="D115" t="s">
        <v>19</v>
      </c>
      <c r="H115" t="s">
        <v>28</v>
      </c>
      <c r="L115" t="s">
        <v>262</v>
      </c>
      <c r="M115" t="e" vm="59">
        <v>#VALUE!</v>
      </c>
      <c r="N115" t="s">
        <v>15</v>
      </c>
      <c r="P115" t="s">
        <v>23</v>
      </c>
      <c r="Q115" s="1">
        <v>46022</v>
      </c>
      <c r="T115">
        <v>1</v>
      </c>
      <c r="U115">
        <v>0</v>
      </c>
      <c r="V115">
        <v>0</v>
      </c>
    </row>
    <row r="116" spans="1:22" x14ac:dyDescent="0.2">
      <c r="A116" t="s">
        <v>268</v>
      </c>
      <c r="C116" s="1">
        <v>45981</v>
      </c>
      <c r="D116" t="s">
        <v>19</v>
      </c>
      <c r="H116" t="s">
        <v>28</v>
      </c>
      <c r="L116" t="s">
        <v>267</v>
      </c>
      <c r="M116" t="e" vm="33">
        <v>#VALUE!</v>
      </c>
      <c r="P116" t="s">
        <v>23</v>
      </c>
      <c r="Q116" s="1">
        <v>45998</v>
      </c>
      <c r="T116">
        <v>1</v>
      </c>
      <c r="U116">
        <v>0</v>
      </c>
      <c r="V116">
        <v>0</v>
      </c>
    </row>
    <row r="117" spans="1:22" x14ac:dyDescent="0.2">
      <c r="A117" t="s">
        <v>269</v>
      </c>
      <c r="C117" s="1">
        <v>45981</v>
      </c>
      <c r="D117" t="s">
        <v>19</v>
      </c>
      <c r="G117" t="s">
        <v>271</v>
      </c>
      <c r="H117" t="s">
        <v>28</v>
      </c>
      <c r="L117" t="s">
        <v>270</v>
      </c>
      <c r="M117" t="e" vm="60">
        <v>#VALUE!</v>
      </c>
      <c r="P117" t="s">
        <v>23</v>
      </c>
      <c r="Q117" s="1">
        <v>45994</v>
      </c>
      <c r="T117">
        <v>1</v>
      </c>
      <c r="U117">
        <v>0</v>
      </c>
      <c r="V117">
        <v>0</v>
      </c>
    </row>
    <row r="118" spans="1:22" x14ac:dyDescent="0.2">
      <c r="A118" t="s">
        <v>275</v>
      </c>
      <c r="C118" s="1">
        <v>45981</v>
      </c>
      <c r="D118" t="s">
        <v>19</v>
      </c>
      <c r="H118" t="s">
        <v>28</v>
      </c>
      <c r="L118" t="s">
        <v>274</v>
      </c>
      <c r="M118" t="e" vm="48">
        <v>#VALUE!</v>
      </c>
      <c r="N118" t="s">
        <v>31</v>
      </c>
      <c r="P118" t="s">
        <v>23</v>
      </c>
      <c r="Q118" s="1">
        <v>45992</v>
      </c>
      <c r="T118">
        <v>1</v>
      </c>
      <c r="U118">
        <v>1</v>
      </c>
      <c r="V118">
        <v>0</v>
      </c>
    </row>
    <row r="119" spans="1:22" x14ac:dyDescent="0.2">
      <c r="A119" t="s">
        <v>276</v>
      </c>
      <c r="C119" s="1">
        <v>45981</v>
      </c>
      <c r="D119" t="s">
        <v>19</v>
      </c>
      <c r="F119">
        <v>1</v>
      </c>
      <c r="H119" t="s">
        <v>28</v>
      </c>
      <c r="L119" t="s">
        <v>277</v>
      </c>
      <c r="M119" t="e" vm="61">
        <v>#VALUE!</v>
      </c>
      <c r="N119" t="s">
        <v>15</v>
      </c>
      <c r="P119" t="s">
        <v>23</v>
      </c>
      <c r="Q119" s="1">
        <v>45991</v>
      </c>
      <c r="T119">
        <v>1</v>
      </c>
      <c r="U119">
        <v>0</v>
      </c>
      <c r="V119">
        <v>0</v>
      </c>
    </row>
    <row r="120" spans="1:22" x14ac:dyDescent="0.2">
      <c r="A120" t="s">
        <v>290</v>
      </c>
      <c r="C120" s="1">
        <v>45981</v>
      </c>
      <c r="D120" t="s">
        <v>19</v>
      </c>
      <c r="H120" t="s">
        <v>28</v>
      </c>
      <c r="L120" t="s">
        <v>291</v>
      </c>
      <c r="M120" t="e" vm="53">
        <v>#VALUE!</v>
      </c>
      <c r="P120" t="s">
        <v>23</v>
      </c>
      <c r="Q120" s="1">
        <v>45991</v>
      </c>
      <c r="T120">
        <v>1</v>
      </c>
      <c r="U120">
        <v>0</v>
      </c>
      <c r="V120">
        <v>0</v>
      </c>
    </row>
    <row r="121" spans="1:22" x14ac:dyDescent="0.2">
      <c r="A121" t="s">
        <v>292</v>
      </c>
      <c r="C121" s="1">
        <v>45981</v>
      </c>
      <c r="D121" t="s">
        <v>19</v>
      </c>
      <c r="H121" t="s">
        <v>28</v>
      </c>
      <c r="L121" t="s">
        <v>293</v>
      </c>
      <c r="M121" t="e" vm="62">
        <v>#VALUE!</v>
      </c>
      <c r="P121" t="s">
        <v>23</v>
      </c>
      <c r="Q121" s="1">
        <v>45991</v>
      </c>
      <c r="T121">
        <v>1</v>
      </c>
      <c r="U121">
        <v>0</v>
      </c>
      <c r="V121">
        <v>0</v>
      </c>
    </row>
    <row r="122" spans="1:22" x14ac:dyDescent="0.2">
      <c r="A122" t="s">
        <v>297</v>
      </c>
      <c r="C122" s="1">
        <v>45981</v>
      </c>
      <c r="D122" t="s">
        <v>19</v>
      </c>
      <c r="H122" t="s">
        <v>28</v>
      </c>
      <c r="L122" t="s">
        <v>296</v>
      </c>
      <c r="M122" t="e" vm="48">
        <v>#VALUE!</v>
      </c>
      <c r="N122" t="s">
        <v>15</v>
      </c>
      <c r="P122" t="s">
        <v>23</v>
      </c>
      <c r="Q122" s="1">
        <v>45991</v>
      </c>
      <c r="T122">
        <v>1</v>
      </c>
      <c r="U122">
        <v>1</v>
      </c>
      <c r="V122">
        <v>1</v>
      </c>
    </row>
    <row r="123" spans="1:22" x14ac:dyDescent="0.2">
      <c r="A123" t="s">
        <v>301</v>
      </c>
      <c r="C123" s="1">
        <v>45981</v>
      </c>
      <c r="D123" t="s">
        <v>19</v>
      </c>
      <c r="G123" t="s">
        <v>302</v>
      </c>
      <c r="H123" t="s">
        <v>28</v>
      </c>
      <c r="L123" t="s">
        <v>300</v>
      </c>
      <c r="M123" t="e" vm="23">
        <v>#VALUE!</v>
      </c>
      <c r="N123" t="s">
        <v>15</v>
      </c>
      <c r="P123" t="s">
        <v>23</v>
      </c>
      <c r="Q123" s="1">
        <v>45989</v>
      </c>
      <c r="T123">
        <v>1</v>
      </c>
      <c r="U123">
        <v>0</v>
      </c>
      <c r="V123">
        <v>0</v>
      </c>
    </row>
    <row r="124" spans="1:22" x14ac:dyDescent="0.2">
      <c r="A124" t="s">
        <v>304</v>
      </c>
      <c r="C124" s="1">
        <v>45981</v>
      </c>
      <c r="D124" t="s">
        <v>19</v>
      </c>
      <c r="G124" s="2" t="s">
        <v>305</v>
      </c>
      <c r="H124" t="s">
        <v>28</v>
      </c>
      <c r="L124" t="s">
        <v>303</v>
      </c>
      <c r="M124" t="e" vm="40">
        <v>#VALUE!</v>
      </c>
      <c r="N124" t="s">
        <v>15</v>
      </c>
      <c r="O124" t="s">
        <v>72</v>
      </c>
      <c r="P124" t="s">
        <v>23</v>
      </c>
      <c r="Q124" s="1">
        <v>45989</v>
      </c>
      <c r="T124">
        <v>1</v>
      </c>
      <c r="U124">
        <v>0</v>
      </c>
      <c r="V124">
        <v>0</v>
      </c>
    </row>
    <row r="125" spans="1:22" x14ac:dyDescent="0.2">
      <c r="A125" t="s">
        <v>213</v>
      </c>
      <c r="C125" s="1">
        <v>45981</v>
      </c>
      <c r="D125" t="s">
        <v>45</v>
      </c>
      <c r="H125" t="s">
        <v>28</v>
      </c>
      <c r="L125" s="2" t="s">
        <v>214</v>
      </c>
      <c r="M125" t="e" vm="5">
        <v>#VALUE!</v>
      </c>
      <c r="P125" t="s">
        <v>23</v>
      </c>
      <c r="Q125" s="1">
        <v>46053</v>
      </c>
      <c r="T125">
        <v>1</v>
      </c>
      <c r="U125">
        <v>0</v>
      </c>
      <c r="V125">
        <v>0</v>
      </c>
    </row>
    <row r="126" spans="1:22" x14ac:dyDescent="0.2">
      <c r="A126" t="s">
        <v>347</v>
      </c>
      <c r="C126" s="1">
        <v>45981</v>
      </c>
      <c r="D126" t="s">
        <v>45</v>
      </c>
      <c r="H126" t="s">
        <v>28</v>
      </c>
      <c r="L126" t="s">
        <v>348</v>
      </c>
      <c r="M126" t="e" vm="56">
        <v>#VALUE!</v>
      </c>
      <c r="N126" t="s">
        <v>15</v>
      </c>
      <c r="P126" t="s">
        <v>23</v>
      </c>
      <c r="Q126" s="1">
        <v>45661</v>
      </c>
      <c r="T126">
        <v>1</v>
      </c>
      <c r="U126">
        <v>0</v>
      </c>
      <c r="V126">
        <v>0</v>
      </c>
    </row>
    <row r="127" spans="1:22" x14ac:dyDescent="0.2">
      <c r="A127" t="s">
        <v>362</v>
      </c>
      <c r="C127" s="1">
        <v>45981</v>
      </c>
      <c r="D127" t="s">
        <v>45</v>
      </c>
      <c r="H127" t="s">
        <v>28</v>
      </c>
      <c r="L127" t="s">
        <v>361</v>
      </c>
      <c r="M127" t="e" vm="63">
        <v>#VALUE!</v>
      </c>
      <c r="N127" t="s">
        <v>15</v>
      </c>
      <c r="P127" t="s">
        <v>23</v>
      </c>
      <c r="Q127" s="1">
        <v>45987</v>
      </c>
      <c r="T127">
        <v>1</v>
      </c>
      <c r="U127">
        <v>0</v>
      </c>
      <c r="V127">
        <v>1</v>
      </c>
    </row>
    <row r="128" spans="1:22" x14ac:dyDescent="0.2">
      <c r="A128" t="s">
        <v>386</v>
      </c>
      <c r="C128" s="1">
        <v>45981</v>
      </c>
      <c r="D128" s="2" t="s">
        <v>387</v>
      </c>
      <c r="H128" t="s">
        <v>28</v>
      </c>
      <c r="L128" t="s">
        <v>385</v>
      </c>
      <c r="M128" t="e" vm="26">
        <v>#VALUE!</v>
      </c>
      <c r="N128" t="s">
        <v>31</v>
      </c>
      <c r="P128" t="s">
        <v>23</v>
      </c>
      <c r="Q128" s="1">
        <v>45991</v>
      </c>
      <c r="T128">
        <v>1</v>
      </c>
      <c r="U128">
        <v>0</v>
      </c>
      <c r="V128">
        <v>0</v>
      </c>
    </row>
    <row r="129" spans="1:22" x14ac:dyDescent="0.2">
      <c r="A129" t="s">
        <v>391</v>
      </c>
      <c r="C129" s="1">
        <v>45981</v>
      </c>
      <c r="D129" t="s">
        <v>19</v>
      </c>
      <c r="H129" t="s">
        <v>28</v>
      </c>
      <c r="L129" t="s">
        <v>392</v>
      </c>
      <c r="M129" t="e" vm="48">
        <v>#VALUE!</v>
      </c>
      <c r="P129" t="s">
        <v>23</v>
      </c>
      <c r="Q129" s="1">
        <v>45985</v>
      </c>
      <c r="T129">
        <v>1</v>
      </c>
      <c r="U129">
        <v>0</v>
      </c>
      <c r="V129">
        <v>0</v>
      </c>
    </row>
    <row r="130" spans="1:22" x14ac:dyDescent="0.2">
      <c r="A130" t="s">
        <v>364</v>
      </c>
      <c r="C130" s="1">
        <v>45986</v>
      </c>
      <c r="D130" t="s">
        <v>366</v>
      </c>
      <c r="H130" t="s">
        <v>28</v>
      </c>
      <c r="L130" t="s">
        <v>363</v>
      </c>
      <c r="M130" t="e" vm="14">
        <v>#VALUE!</v>
      </c>
      <c r="N130" t="s">
        <v>15</v>
      </c>
      <c r="P130" t="s">
        <v>23</v>
      </c>
      <c r="Q130" s="1">
        <v>46006</v>
      </c>
      <c r="T130">
        <v>1</v>
      </c>
      <c r="U130">
        <v>1</v>
      </c>
      <c r="V130">
        <v>1</v>
      </c>
    </row>
    <row r="131" spans="1:22" x14ac:dyDescent="0.2">
      <c r="A131" t="s">
        <v>264</v>
      </c>
      <c r="D131" t="s">
        <v>19</v>
      </c>
      <c r="E131" s="2" t="s">
        <v>266</v>
      </c>
      <c r="H131" t="s">
        <v>104</v>
      </c>
      <c r="L131" t="s">
        <v>265</v>
      </c>
      <c r="M131" t="e" vm="24">
        <v>#VALUE!</v>
      </c>
      <c r="N131" t="s">
        <v>15</v>
      </c>
      <c r="P131" t="s">
        <v>23</v>
      </c>
      <c r="T131">
        <v>0</v>
      </c>
      <c r="U131">
        <v>0</v>
      </c>
      <c r="V131">
        <v>0</v>
      </c>
    </row>
    <row r="132" spans="1:22" x14ac:dyDescent="0.2">
      <c r="A132" t="s">
        <v>418</v>
      </c>
      <c r="C132" s="1">
        <v>45981</v>
      </c>
      <c r="D132" s="2" t="s">
        <v>419</v>
      </c>
      <c r="E132" s="2" t="s">
        <v>420</v>
      </c>
      <c r="G132" t="s">
        <v>421</v>
      </c>
      <c r="H132" t="s">
        <v>28</v>
      </c>
      <c r="L132" t="s">
        <v>117</v>
      </c>
      <c r="M132" t="e" vm="57">
        <v>#VALUE!</v>
      </c>
      <c r="N132" t="s">
        <v>15</v>
      </c>
      <c r="P132" t="s">
        <v>23</v>
      </c>
      <c r="Q132" s="1">
        <v>45991</v>
      </c>
      <c r="T132">
        <v>1</v>
      </c>
      <c r="U132">
        <v>1</v>
      </c>
      <c r="V132">
        <v>0</v>
      </c>
    </row>
    <row r="133" spans="1:22" x14ac:dyDescent="0.2">
      <c r="A133" t="s">
        <v>422</v>
      </c>
      <c r="C133" s="1">
        <v>45981</v>
      </c>
      <c r="D133" t="s">
        <v>423</v>
      </c>
      <c r="H133" t="s">
        <v>28</v>
      </c>
      <c r="L133" t="s">
        <v>110</v>
      </c>
      <c r="M133" t="e" vm="33">
        <v>#VALUE!</v>
      </c>
      <c r="N133" t="s">
        <v>15</v>
      </c>
      <c r="P133" t="s">
        <v>23</v>
      </c>
      <c r="Q133" s="1">
        <v>45984</v>
      </c>
      <c r="T133">
        <v>1</v>
      </c>
      <c r="U133">
        <v>0</v>
      </c>
      <c r="V133">
        <v>0</v>
      </c>
    </row>
    <row r="134" spans="1:22" x14ac:dyDescent="0.2">
      <c r="A134" t="s">
        <v>424</v>
      </c>
      <c r="C134" s="1">
        <v>45992</v>
      </c>
      <c r="D134" t="s">
        <v>45</v>
      </c>
      <c r="H134" t="s">
        <v>28</v>
      </c>
      <c r="L134" t="s">
        <v>425</v>
      </c>
      <c r="M134" t="e" vm="64">
        <v>#VALUE!</v>
      </c>
      <c r="N134" t="s">
        <v>31</v>
      </c>
      <c r="P134" t="s">
        <v>23</v>
      </c>
      <c r="Q134" s="1">
        <v>45688</v>
      </c>
      <c r="T134">
        <v>1</v>
      </c>
      <c r="U134">
        <v>1</v>
      </c>
      <c r="V134">
        <v>0</v>
      </c>
    </row>
    <row r="135" spans="1:22" x14ac:dyDescent="0.2">
      <c r="A135" t="s">
        <v>426</v>
      </c>
      <c r="C135" s="1">
        <v>45971</v>
      </c>
      <c r="D135" t="s">
        <v>427</v>
      </c>
      <c r="H135" t="s">
        <v>28</v>
      </c>
      <c r="L135" t="s">
        <v>428</v>
      </c>
      <c r="M135" t="e" vm="11">
        <v>#VALUE!</v>
      </c>
      <c r="N135" t="s">
        <v>24</v>
      </c>
      <c r="P135" t="s">
        <v>24</v>
      </c>
      <c r="Q135" s="1">
        <v>45981</v>
      </c>
      <c r="T135">
        <v>1</v>
      </c>
      <c r="U135">
        <v>0</v>
      </c>
      <c r="V135">
        <v>1</v>
      </c>
    </row>
    <row r="136" spans="1:22" x14ac:dyDescent="0.2">
      <c r="A136" t="s">
        <v>431</v>
      </c>
      <c r="C136" s="1">
        <v>45962</v>
      </c>
      <c r="D136" s="2" t="s">
        <v>430</v>
      </c>
      <c r="E136" t="s">
        <v>429</v>
      </c>
      <c r="H136" t="s">
        <v>28</v>
      </c>
      <c r="L136" t="s">
        <v>432</v>
      </c>
      <c r="M136" t="e" vm="65">
        <v>#VALUE!</v>
      </c>
      <c r="N136" t="s">
        <v>15</v>
      </c>
      <c r="P136" t="s">
        <v>23</v>
      </c>
      <c r="Q136" s="1">
        <v>45981</v>
      </c>
      <c r="T136">
        <v>1</v>
      </c>
      <c r="U136">
        <v>1</v>
      </c>
      <c r="V136">
        <v>1</v>
      </c>
    </row>
    <row r="137" spans="1:22" x14ac:dyDescent="0.2">
      <c r="A137" t="s">
        <v>433</v>
      </c>
      <c r="C137" s="1">
        <v>45981</v>
      </c>
      <c r="D137" t="s">
        <v>435</v>
      </c>
      <c r="E137" t="s">
        <v>434</v>
      </c>
      <c r="H137" t="s">
        <v>28</v>
      </c>
      <c r="L137" t="s">
        <v>436</v>
      </c>
      <c r="M137" t="e" vm="65">
        <v>#VALUE!</v>
      </c>
      <c r="N137" t="s">
        <v>15</v>
      </c>
      <c r="P137" t="s">
        <v>23</v>
      </c>
      <c r="Q137" s="1">
        <v>45992</v>
      </c>
      <c r="T137">
        <v>1</v>
      </c>
      <c r="U137">
        <v>1</v>
      </c>
      <c r="V137">
        <v>1</v>
      </c>
    </row>
    <row r="138" spans="1:22" x14ac:dyDescent="0.2">
      <c r="A138" t="s">
        <v>437</v>
      </c>
      <c r="C138" s="1">
        <v>45966</v>
      </c>
      <c r="D138" t="s">
        <v>438</v>
      </c>
      <c r="H138" t="s">
        <v>28</v>
      </c>
      <c r="L138" t="s">
        <v>439</v>
      </c>
      <c r="M138" t="e" vm="65">
        <v>#VALUE!</v>
      </c>
      <c r="N138" t="s">
        <v>15</v>
      </c>
      <c r="P138" t="s">
        <v>23</v>
      </c>
      <c r="Q138" s="1">
        <v>45977</v>
      </c>
      <c r="T138">
        <v>1</v>
      </c>
      <c r="U138">
        <v>0</v>
      </c>
      <c r="V138">
        <v>0</v>
      </c>
    </row>
    <row r="139" spans="1:22" x14ac:dyDescent="0.2">
      <c r="A139" t="s">
        <v>440</v>
      </c>
      <c r="C139" s="1">
        <v>45971</v>
      </c>
      <c r="D139" t="s">
        <v>19</v>
      </c>
      <c r="H139" t="s">
        <v>28</v>
      </c>
      <c r="L139" t="s">
        <v>441</v>
      </c>
      <c r="M139" t="e" vm="33">
        <v>#VALUE!</v>
      </c>
      <c r="N139" t="s">
        <v>15</v>
      </c>
      <c r="P139" t="s">
        <v>23</v>
      </c>
      <c r="Q139" s="1">
        <v>45974</v>
      </c>
      <c r="T139">
        <v>1</v>
      </c>
      <c r="U139">
        <v>0</v>
      </c>
      <c r="V139">
        <v>0</v>
      </c>
    </row>
    <row r="140" spans="1:22" x14ac:dyDescent="0.2">
      <c r="A140" t="s">
        <v>442</v>
      </c>
      <c r="B140" t="s">
        <v>444</v>
      </c>
      <c r="C140" s="1">
        <v>45971</v>
      </c>
      <c r="D140" t="s">
        <v>19</v>
      </c>
      <c r="E140" t="s">
        <v>443</v>
      </c>
      <c r="F140">
        <v>1</v>
      </c>
      <c r="H140" t="s">
        <v>28</v>
      </c>
      <c r="L140" t="s">
        <v>445</v>
      </c>
      <c r="M140" t="e" vm="47">
        <v>#VALUE!</v>
      </c>
      <c r="N140" t="s">
        <v>15</v>
      </c>
      <c r="P140" t="s">
        <v>23</v>
      </c>
      <c r="Q140" s="1">
        <v>45977</v>
      </c>
      <c r="T140">
        <v>1</v>
      </c>
      <c r="U140">
        <v>0</v>
      </c>
      <c r="V140">
        <v>0</v>
      </c>
    </row>
    <row r="141" spans="1:22" x14ac:dyDescent="0.2">
      <c r="A141" t="s">
        <v>446</v>
      </c>
      <c r="B141" t="s">
        <v>449</v>
      </c>
      <c r="C141" s="1">
        <v>45966</v>
      </c>
      <c r="D141" t="s">
        <v>19</v>
      </c>
      <c r="E141" t="s">
        <v>447</v>
      </c>
      <c r="H141" t="s">
        <v>28</v>
      </c>
      <c r="L141" t="s">
        <v>448</v>
      </c>
      <c r="M141" t="e" vm="66">
        <v>#VALUE!</v>
      </c>
      <c r="N141" t="s">
        <v>15</v>
      </c>
      <c r="P141" t="s">
        <v>23</v>
      </c>
      <c r="Q141" s="1">
        <v>45975</v>
      </c>
      <c r="T141">
        <v>1</v>
      </c>
      <c r="U141">
        <v>1</v>
      </c>
      <c r="V141">
        <v>1</v>
      </c>
    </row>
    <row r="142" spans="1:22" x14ac:dyDescent="0.2">
      <c r="A142" t="s">
        <v>451</v>
      </c>
      <c r="C142" s="1">
        <v>45971</v>
      </c>
      <c r="D142" t="s">
        <v>45</v>
      </c>
      <c r="H142" t="s">
        <v>28</v>
      </c>
      <c r="L142" t="s">
        <v>368</v>
      </c>
      <c r="M142" t="e" vm="53">
        <v>#VALUE!</v>
      </c>
      <c r="N142" t="s">
        <v>15</v>
      </c>
      <c r="P142" t="s">
        <v>23</v>
      </c>
      <c r="Q142" s="1">
        <v>45982</v>
      </c>
      <c r="T142">
        <v>1</v>
      </c>
      <c r="U142">
        <v>0</v>
      </c>
      <c r="V142">
        <v>0</v>
      </c>
    </row>
    <row r="143" spans="1:22" x14ac:dyDescent="0.2">
      <c r="A143" t="s">
        <v>452</v>
      </c>
      <c r="C143" s="1">
        <v>45950</v>
      </c>
      <c r="D143" t="s">
        <v>453</v>
      </c>
      <c r="H143" t="s">
        <v>28</v>
      </c>
      <c r="L143" t="s">
        <v>454</v>
      </c>
      <c r="M143" t="e" vm="67">
        <v>#VALUE!</v>
      </c>
      <c r="N143" t="s">
        <v>15</v>
      </c>
      <c r="P143" t="s">
        <v>23</v>
      </c>
      <c r="Q143" s="1">
        <v>45960</v>
      </c>
      <c r="T143">
        <v>1</v>
      </c>
      <c r="U143">
        <v>1</v>
      </c>
      <c r="V143">
        <v>1</v>
      </c>
    </row>
    <row r="144" spans="1:22" x14ac:dyDescent="0.2">
      <c r="A144" t="s">
        <v>455</v>
      </c>
      <c r="B144" t="s">
        <v>458</v>
      </c>
      <c r="C144" s="1">
        <v>45966</v>
      </c>
      <c r="D144" t="s">
        <v>456</v>
      </c>
      <c r="H144" t="s">
        <v>28</v>
      </c>
      <c r="L144" t="s">
        <v>457</v>
      </c>
      <c r="M144" t="e" vm="68">
        <v>#VALUE!</v>
      </c>
      <c r="N144" t="s">
        <v>15</v>
      </c>
      <c r="P144" t="s">
        <v>23</v>
      </c>
      <c r="Q144" s="1">
        <v>45972</v>
      </c>
      <c r="T144">
        <v>1</v>
      </c>
      <c r="U144">
        <v>1</v>
      </c>
      <c r="V144">
        <v>1</v>
      </c>
    </row>
    <row r="145" spans="1:22" x14ac:dyDescent="0.2">
      <c r="A145" t="s">
        <v>459</v>
      </c>
      <c r="B145" t="s">
        <v>461</v>
      </c>
      <c r="C145" s="1">
        <v>45981</v>
      </c>
      <c r="D145" t="s">
        <v>45</v>
      </c>
      <c r="E145" t="s">
        <v>460</v>
      </c>
      <c r="H145" t="s">
        <v>28</v>
      </c>
      <c r="L145" t="s">
        <v>462</v>
      </c>
      <c r="M145" t="e" vm="69">
        <v>#VALUE!</v>
      </c>
      <c r="N145" t="s">
        <v>15</v>
      </c>
      <c r="P145" t="s">
        <v>23</v>
      </c>
      <c r="Q145" s="1">
        <v>46003</v>
      </c>
      <c r="T145">
        <v>1</v>
      </c>
      <c r="U145">
        <v>0</v>
      </c>
      <c r="V145">
        <v>1</v>
      </c>
    </row>
    <row r="146" spans="1:22" x14ac:dyDescent="0.2">
      <c r="A146" t="s">
        <v>463</v>
      </c>
      <c r="B146" t="s">
        <v>466</v>
      </c>
      <c r="C146" s="1">
        <v>45966</v>
      </c>
      <c r="D146" t="s">
        <v>45</v>
      </c>
      <c r="E146" t="s">
        <v>464</v>
      </c>
      <c r="F146">
        <v>1</v>
      </c>
      <c r="H146" t="s">
        <v>28</v>
      </c>
      <c r="L146" t="s">
        <v>465</v>
      </c>
      <c r="M146" t="e" vm="70">
        <v>#VALUE!</v>
      </c>
      <c r="N146" t="s">
        <v>15</v>
      </c>
      <c r="P146" t="s">
        <v>23</v>
      </c>
      <c r="Q146" s="1">
        <v>45977</v>
      </c>
      <c r="T146">
        <v>1</v>
      </c>
      <c r="U146">
        <v>0</v>
      </c>
      <c r="V146">
        <v>0</v>
      </c>
    </row>
    <row r="147" spans="1:22" x14ac:dyDescent="0.2">
      <c r="A147" t="s">
        <v>467</v>
      </c>
      <c r="C147" s="1">
        <v>45966</v>
      </c>
      <c r="D147" t="s">
        <v>45</v>
      </c>
      <c r="F147">
        <v>1</v>
      </c>
      <c r="H147" t="s">
        <v>28</v>
      </c>
      <c r="L147" t="s">
        <v>468</v>
      </c>
      <c r="M147" t="e" vm="71">
        <v>#VALUE!</v>
      </c>
      <c r="N147" t="s">
        <v>15</v>
      </c>
      <c r="P147" t="s">
        <v>23</v>
      </c>
      <c r="Q147" s="1">
        <v>45976</v>
      </c>
      <c r="T147">
        <v>1</v>
      </c>
      <c r="U147">
        <v>1</v>
      </c>
      <c r="V147">
        <v>1</v>
      </c>
    </row>
    <row r="148" spans="1:22" x14ac:dyDescent="0.2">
      <c r="A148" t="s">
        <v>469</v>
      </c>
      <c r="C148" s="1">
        <v>45976</v>
      </c>
      <c r="D148" t="s">
        <v>45</v>
      </c>
      <c r="E148" t="s">
        <v>470</v>
      </c>
      <c r="H148" t="s">
        <v>28</v>
      </c>
      <c r="L148" t="s">
        <v>471</v>
      </c>
      <c r="M148" t="e" vm="72">
        <v>#VALUE!</v>
      </c>
      <c r="N148" t="s">
        <v>15</v>
      </c>
      <c r="P148" t="s">
        <v>23</v>
      </c>
      <c r="Q148" s="1">
        <v>45985</v>
      </c>
      <c r="T148">
        <v>1</v>
      </c>
      <c r="U148">
        <v>1</v>
      </c>
      <c r="V148">
        <v>1</v>
      </c>
    </row>
    <row r="149" spans="1:22" x14ac:dyDescent="0.2">
      <c r="A149" t="s">
        <v>472</v>
      </c>
      <c r="C149" s="1">
        <v>45962</v>
      </c>
      <c r="D149" t="s">
        <v>474</v>
      </c>
      <c r="H149" t="s">
        <v>28</v>
      </c>
      <c r="L149" t="s">
        <v>473</v>
      </c>
      <c r="M149" t="e" vm="73">
        <v>#VALUE!</v>
      </c>
      <c r="N149" t="s">
        <v>15</v>
      </c>
      <c r="P149" t="s">
        <v>23</v>
      </c>
      <c r="Q149" s="1">
        <v>46244</v>
      </c>
      <c r="T149">
        <v>1</v>
      </c>
      <c r="U149">
        <v>0</v>
      </c>
      <c r="V149">
        <v>0</v>
      </c>
    </row>
    <row r="150" spans="1:22" x14ac:dyDescent="0.2">
      <c r="A150" t="s">
        <v>475</v>
      </c>
      <c r="C150" s="1">
        <v>45966</v>
      </c>
      <c r="D150" t="s">
        <v>476</v>
      </c>
      <c r="H150" t="s">
        <v>28</v>
      </c>
      <c r="L150" t="s">
        <v>477</v>
      </c>
      <c r="M150" t="e" vm="66">
        <v>#VALUE!</v>
      </c>
      <c r="N150" t="s">
        <v>15</v>
      </c>
      <c r="P150" t="s">
        <v>23</v>
      </c>
      <c r="Q150" s="1">
        <v>45976</v>
      </c>
      <c r="T150">
        <v>1</v>
      </c>
      <c r="U150">
        <v>0</v>
      </c>
      <c r="V150">
        <v>1</v>
      </c>
    </row>
    <row r="151" spans="1:22" x14ac:dyDescent="0.2">
      <c r="A151" t="s">
        <v>478</v>
      </c>
      <c r="C151" s="1">
        <v>45966</v>
      </c>
      <c r="D151" s="2" t="s">
        <v>479</v>
      </c>
      <c r="H151" t="s">
        <v>28</v>
      </c>
      <c r="L151" t="s">
        <v>480</v>
      </c>
      <c r="M151" t="e" vm="74">
        <v>#VALUE!</v>
      </c>
      <c r="N151" t="s">
        <v>15</v>
      </c>
      <c r="P151" t="s">
        <v>23</v>
      </c>
      <c r="Q151" s="1">
        <v>45975</v>
      </c>
      <c r="T151">
        <v>1</v>
      </c>
      <c r="U151">
        <v>1</v>
      </c>
      <c r="V151">
        <v>1</v>
      </c>
    </row>
  </sheetData>
  <autoFilter ref="A1:Y19" xr:uid="{F7772053-9363-CA4A-A53F-040B7C700753}"/>
  <conditionalFormatting sqref="A1:A1048576">
    <cfRule type="duplicateValues" dxfId="73" priority="8"/>
  </conditionalFormatting>
  <conditionalFormatting sqref="A2:A22">
    <cfRule type="duplicateValues" dxfId="72" priority="9"/>
  </conditionalFormatting>
  <conditionalFormatting sqref="A61">
    <cfRule type="duplicateValues" dxfId="71" priority="7"/>
  </conditionalFormatting>
  <conditionalFormatting sqref="H1:H1048576">
    <cfRule type="containsText" dxfId="70" priority="1" operator="containsText" text="abandoned">
      <formula>NOT(ISERROR(SEARCH("abandoned",H1)))</formula>
    </cfRule>
    <cfRule type="containsText" dxfId="69" priority="3" operator="containsText" text="late app">
      <formula>NOT(ISERROR(SEARCH("late app",H1)))</formula>
    </cfRule>
  </conditionalFormatting>
  <conditionalFormatting sqref="H2:K1048576 N78:N80 N83:N89 N92:N112 N115:N124 N126:N128 Q137 H1:I1 N130:N151 P87:P151">
    <cfRule type="containsText" dxfId="68" priority="6" operator="containsText" text="completed">
      <formula>NOT(ISERROR(SEARCH("completed",H1)))</formula>
    </cfRule>
  </conditionalFormatting>
  <conditionalFormatting sqref="J1:K1048576 N78:N80 N83:N89 N92:N112 N115:N124 N126:N128 Q137 N130:N151 P87:P151">
    <cfRule type="containsText" dxfId="67" priority="4" operator="containsText" text="NO">
      <formula>NOT(ISERROR(SEARCH("NO",J1)))</formula>
    </cfRule>
    <cfRule type="containsText" dxfId="66" priority="5" operator="containsText" text="YES">
      <formula>NOT(ISERROR(SEARCH("YES",J1)))</formula>
    </cfRule>
  </conditionalFormatting>
  <hyperlinks>
    <hyperlink ref="L3" r:id="rId1" xr:uid="{2FD67E99-97D4-6F4F-9C23-F094A4E233EB}"/>
    <hyperlink ref="L4" r:id="rId2" xr:uid="{C466BD2C-2D71-FD47-B267-C9470B42EAAE}"/>
    <hyperlink ref="L95" r:id="rId3" xr:uid="{7E4575FB-8BA7-8343-9270-E933C2CF052A}"/>
    <hyperlink ref="L96" r:id="rId4" xr:uid="{7DE2DCC0-6910-AF4A-ADA1-2F0A7CE7A46A}"/>
    <hyperlink ref="L62" r:id="rId5" xr:uid="{9F5721B0-AA94-954A-B077-53D294EE0006}"/>
    <hyperlink ref="E62" r:id="rId6" xr:uid="{E9AC54D1-D414-9A4A-8F10-99810DECDF26}"/>
    <hyperlink ref="L70" r:id="rId7" xr:uid="{3DA7C680-99C0-9744-A5E3-8B70509CE1C7}"/>
    <hyperlink ref="L7" r:id="rId8" xr:uid="{F2E0FCCF-BB13-0240-931E-487798981CC9}"/>
    <hyperlink ref="L71" r:id="rId9" xr:uid="{DF00AD54-0273-B54C-B9CE-46119BBDF932}"/>
    <hyperlink ref="L5" r:id="rId10" display="American Uiversity" xr:uid="{4368F24E-5E4F-B944-AB45-4045D2296D5A}"/>
    <hyperlink ref="L6" r:id="rId11" display="American Uiversity" xr:uid="{0B28A4E3-9367-5B4E-821E-8878EF62879B}"/>
    <hyperlink ref="R7" r:id="rId12" xr:uid="{F8BB08B3-A5E4-0244-9B87-74DC5560EA9C}"/>
    <hyperlink ref="L36" r:id="rId13" xr:uid="{1A802253-386D-0248-869E-8A0EA127D432}"/>
    <hyperlink ref="L37" r:id="rId14" xr:uid="{D10E5030-47DD-F84B-A85A-CB7F9EEF20B4}"/>
    <hyperlink ref="L9" r:id="rId15" xr:uid="{AF10C3AC-DC3E-8F4B-A325-8137F8872365}"/>
    <hyperlink ref="L10" r:id="rId16" xr:uid="{DAADFE53-28FB-BF47-B382-1AE9637B0AC9}"/>
    <hyperlink ref="L32" r:id="rId17" xr:uid="{055B8A95-C64C-8344-8D9A-88ADC3E4C5A7}"/>
    <hyperlink ref="L72" r:id="rId18" xr:uid="{557D8143-61B7-124A-9EC7-930988E1B3DE}"/>
    <hyperlink ref="L33" r:id="rId19" xr:uid="{0B9459D2-C194-B546-B890-EDF488B5E508}"/>
    <hyperlink ref="L8" r:id="rId20" xr:uid="{3E8CCC0C-C03D-0642-8D93-6D5E4E29B155}"/>
    <hyperlink ref="L93" r:id="rId21" xr:uid="{360892F0-CC7D-924A-95AF-9E897ECEE570}"/>
    <hyperlink ref="L11" r:id="rId22" xr:uid="{0D66B73F-990C-044A-BA9A-C5887E710F92}"/>
    <hyperlink ref="L73" r:id="rId23" xr:uid="{79C92412-1EFA-834C-AE35-D77CA8C36A12}"/>
    <hyperlink ref="L74" r:id="rId24" xr:uid="{DAE0AF5F-F94A-294E-86E2-555898BF42FB}"/>
    <hyperlink ref="L63" r:id="rId25" xr:uid="{8E758C4D-96FF-B44B-AE0D-70D6A17B4A4D}"/>
    <hyperlink ref="L64" r:id="rId26" xr:uid="{B2DCF82F-FDBE-B54E-A0A8-BB5059FDE3DE}"/>
    <hyperlink ref="L12" r:id="rId27" xr:uid="{5CDD97D8-5C25-5D42-AA6C-3EFD455D0937}"/>
    <hyperlink ref="L13" r:id="rId28" xr:uid="{4C952912-61F2-7F48-A61F-8171FB512E69}"/>
    <hyperlink ref="R14" r:id="rId29" xr:uid="{97F45FF5-AD7B-2143-9F53-5C46956B35CE}"/>
    <hyperlink ref="E14" r:id="rId30" xr:uid="{3CBBC435-61F9-034D-A9A0-B71AD9A7CCE6}"/>
    <hyperlink ref="L44" r:id="rId31" xr:uid="{115DEFD3-6759-7C49-87C4-663720AFC0F3}"/>
    <hyperlink ref="L60" r:id="rId32" xr:uid="{B568129A-4C88-5D42-B367-90B46CA6E8A2}"/>
    <hyperlink ref="L104" r:id="rId33" xr:uid="{F3D886C1-081B-8F41-85EF-4C299E91BBDA}"/>
    <hyperlink ref="L34" r:id="rId34" xr:uid="{14B04134-DF47-DA43-BB43-BA8C1185A50E}"/>
    <hyperlink ref="L31" r:id="rId35" display="https://www.upf.edu/" xr:uid="{F90D7817-7AA8-1C4B-8992-6FF849FBECCA}"/>
    <hyperlink ref="G8" r:id="rId36" display="mailto:ferran.mane@urv.cat" xr:uid="{DFACBA33-6641-9A4D-B406-DC2FCC993612}"/>
    <hyperlink ref="L75" r:id="rId37" xr:uid="{EFED1D5F-B3C8-6445-899D-122DB5B26298}"/>
    <hyperlink ref="L76" r:id="rId38" xr:uid="{6E0CC17F-E103-7C43-850C-F0FC0B9A5278}"/>
    <hyperlink ref="L77" r:id="rId39" xr:uid="{58693CCE-AFC3-AF44-BB76-62CF466ED6EA}"/>
    <hyperlink ref="L35" r:id="rId40" xr:uid="{FC0BA615-15C1-F64A-BC32-60929732DD9E}"/>
    <hyperlink ref="L106" r:id="rId41" xr:uid="{14CF4841-2A37-9044-AE5B-371378C8D3B9}"/>
    <hyperlink ref="L107" r:id="rId42" xr:uid="{2E048D46-3518-2C4A-B061-479244E61709}"/>
    <hyperlink ref="L17" r:id="rId43" xr:uid="{BA26908B-8596-4249-946E-03161834E8E5}"/>
    <hyperlink ref="L45" r:id="rId44" xr:uid="{00B6A218-D9E8-3D4A-B0D7-CBDFA98EE6F3}"/>
    <hyperlink ref="D10" r:id="rId45" xr:uid="{8C412634-0F9A-E946-9A3F-CA7F4E73C3AB}"/>
    <hyperlink ref="L94" r:id="rId46" xr:uid="{1E1C35FB-7434-7842-A803-7D382F52F333}"/>
    <hyperlink ref="L19" r:id="rId47" xr:uid="{62B1AEBF-C899-0A4B-9923-A135752FBB1C}"/>
    <hyperlink ref="D5" r:id="rId48" xr:uid="{13514A0D-2C0E-5340-8AA2-077046FFB755}"/>
    <hyperlink ref="D37" r:id="rId49" xr:uid="{DE8E5F09-1A02-F148-8539-188D3ED5C9F4}"/>
    <hyperlink ref="D32" r:id="rId50" xr:uid="{84827B93-5057-1D4A-AD4E-C9D52677D58A}"/>
    <hyperlink ref="L110" r:id="rId51" location="/admin" xr:uid="{23CE2AD2-6E21-4241-978C-EFA7C5825B0A}"/>
    <hyperlink ref="G110" r:id="rId52" tooltip="https://www.pierrebiscaye.com/" display="https://nam10.safelinks.protection.outlook.com/?url=https%3A%2F%2Fwww.pierrebiscaye.com%2F&amp;data=05%7C02%7Cgonzalezjj%40mail.smu.edu%7Cf17b24ecae9644d5351608de0b2d3d88%7C0f450f2e334f4bada85c9adf76051d8b%7C0%7C0%7C638960486114093769%7CUnknown%7CTWFpbGZsb3d8eyJFbXB0eU1hcGkiOnRydWUsIlYiOiIwLjAuMDAwMCIsIlAiOiJXaW4zMiIsIkFOIjoiTWFpbCIsIldUIjoyfQ%3D%3D%7C0%7C%7C%7C&amp;sdata=G3tT9q0mvtmAIBnq6zF0gIXzpLRerNt4Zfffdrm2A2E%3D&amp;reserved=0" xr:uid="{B11A9620-8D5F-6A4D-A59A-6B6DCAC23722}"/>
    <hyperlink ref="L111" r:id="rId53" xr:uid="{7C2D96E2-AEFB-4140-A2EF-40B86E5741B1}"/>
    <hyperlink ref="L20" r:id="rId54" xr:uid="{35FAF041-CBFF-8A48-A4B3-B97381C00102}"/>
    <hyperlink ref="L61" r:id="rId55" xr:uid="{2D03A0F6-26F5-B24A-B91A-14D38A06B992}"/>
    <hyperlink ref="E61" r:id="rId56" display="https://academicjobsonline.org/ajo/jobs/30626" xr:uid="{46416258-D6E3-7B41-9A73-A9A4F4E6BB34}"/>
    <hyperlink ref="L105" r:id="rId57" xr:uid="{FEED16DA-CB82-0044-943C-358B6551EC5E}"/>
    <hyperlink ref="G105" r:id="rId58" display="mailto:a.gorbenko@ucl.co.uk" xr:uid="{5772A23E-5235-304E-A5C1-05CB3DAB9BFC}"/>
    <hyperlink ref="L21" r:id="rId59" xr:uid="{0F06344E-50D3-B54E-8250-7516D4B03802}"/>
    <hyperlink ref="E21" r:id="rId60" xr:uid="{B72DD765-9030-AC4B-9C6A-C3E6C6D825B0}"/>
    <hyperlink ref="L18" r:id="rId61" xr:uid="{521B9389-25EE-AC42-8631-0602B790BC9F}"/>
    <hyperlink ref="L22" r:id="rId62" xr:uid="{101CF9F0-3B9F-7741-9A08-0F724B9DFBAD}"/>
    <hyperlink ref="E22" r:id="rId63" xr:uid="{A1E87546-ABB3-B843-AEF8-C1E11BCA894E}"/>
    <hyperlink ref="L38" r:id="rId64" xr:uid="{CB47483F-A82F-854C-A1D3-484A5DDC11BF}"/>
    <hyperlink ref="L39" r:id="rId65" xr:uid="{7A6E251E-DB12-EA4C-BA94-B3B44FE73253}"/>
    <hyperlink ref="L40" r:id="rId66" xr:uid="{7C154F49-4A52-6A48-A99D-F3C3751ADC20}"/>
    <hyperlink ref="L46" r:id="rId67" xr:uid="{11631E55-FA21-864F-B682-18A03075BFEE}"/>
    <hyperlink ref="L47" r:id="rId68" xr:uid="{28BB29AB-D632-9C44-9739-DFD6875CA62C}"/>
    <hyperlink ref="E47" r:id="rId69" xr:uid="{70571E5D-37F6-864A-9EAB-DAEF5B46CD8B}"/>
    <hyperlink ref="L48" r:id="rId70" xr:uid="{DFCE3DEC-01C3-7D49-925B-BEFD13BC818A}"/>
    <hyperlink ref="E48" r:id="rId71" xr:uid="{DD5D337B-2CFC-8F41-A89C-2D8D571940BA}"/>
    <hyperlink ref="L49" r:id="rId72" xr:uid="{EA24C43B-23D8-4E4B-9DD8-AAD27BA385E7}"/>
    <hyperlink ref="L65" r:id="rId73" xr:uid="{8E7D4522-E2CE-7043-9079-1CE2F950B085}"/>
    <hyperlink ref="D11" r:id="rId74" xr:uid="{4517EA95-990E-DE45-A804-67126FDDD4C3}"/>
    <hyperlink ref="L23" r:id="rId75" xr:uid="{91C6A3A0-FE50-5B4F-8B20-8B6496F16211}"/>
    <hyperlink ref="L125" r:id="rId76" xr:uid="{5721E0FE-84BD-D943-BC9A-5350183D9688}"/>
    <hyperlink ref="L41" r:id="rId77" xr:uid="{FE7182CC-AEDE-E142-B842-B2FE5C063CCE}"/>
    <hyperlink ref="L25" r:id="rId78" xr:uid="{694E8A95-02AE-9249-91C7-1102518BA774}"/>
    <hyperlink ref="L15" r:id="rId79" xr:uid="{9A9A6BC9-B330-7842-A78C-4DCC88F5E19F}"/>
    <hyperlink ref="L27" r:id="rId80" xr:uid="{928CABEF-4FA6-E646-8140-7B6E43F8FB96}"/>
    <hyperlink ref="E112" r:id="rId81" xr:uid="{82BF1574-A6C6-1641-9FFE-615861E401FD}"/>
    <hyperlink ref="E131" r:id="rId82" xr:uid="{3562807E-7FDA-F046-BA03-5DDD43072DB7}"/>
    <hyperlink ref="G124" r:id="rId83" display="mailto:ivanpaya@ua.es" xr:uid="{DEFB77A5-E57F-714C-BAB9-56DE82BA0B2E}"/>
    <hyperlink ref="G89" r:id="rId84" display="mailto:ari.hyytinen@hanken.fi" xr:uid="{7777B12A-FD99-4A43-A14B-A15661B760DC}"/>
    <hyperlink ref="G97" r:id="rId85" display="mailto:peter.haan@fu-berlin.de" xr:uid="{3D1A69ED-8F06-1246-B586-201CB349DB62}"/>
    <hyperlink ref="D128" r:id="rId86" xr:uid="{C3771F9C-84FC-7A41-9911-ED3B01799C9C}"/>
    <hyperlink ref="D132" r:id="rId87" xr:uid="{A2B41E48-AA17-FE45-B67C-A5398A81BF2D}"/>
    <hyperlink ref="E132" r:id="rId88" xr:uid="{D2EC3FFA-793B-E54C-B216-5D503F8901AE}"/>
    <hyperlink ref="D136" r:id="rId89" xr:uid="{A30F6415-AE46-5540-B683-ED472CE378B6}"/>
  </hyperlinks>
  <pageMargins left="0.7" right="0.7" top="0.75" bottom="0.75" header="0.3" footer="0.3"/>
  <pageSetup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E81FA-B875-3C4E-A189-1A21268FA086}">
  <dimension ref="A1:C79"/>
  <sheetViews>
    <sheetView topLeftCell="A69" zoomScale="208" workbookViewId="0">
      <selection activeCell="A80" sqref="A80"/>
    </sheetView>
  </sheetViews>
  <sheetFormatPr baseColWidth="10" defaultRowHeight="16" x14ac:dyDescent="0.2"/>
  <cols>
    <col min="1" max="1" width="32.83203125" customWidth="1"/>
    <col min="2" max="2" width="14.1640625" customWidth="1"/>
    <col min="3" max="3" width="58.5" customWidth="1"/>
  </cols>
  <sheetData>
    <row r="1" spans="1:3" s="3" customFormat="1" ht="22" x14ac:dyDescent="0.3">
      <c r="A1" s="3" t="s">
        <v>8</v>
      </c>
      <c r="B1" s="3" t="s">
        <v>9</v>
      </c>
      <c r="C1" s="3" t="s">
        <v>10</v>
      </c>
    </row>
    <row r="2" spans="1:3" x14ac:dyDescent="0.2">
      <c r="A2" s="1">
        <v>45930</v>
      </c>
      <c r="C2" t="s">
        <v>77</v>
      </c>
    </row>
    <row r="3" spans="1:3" x14ac:dyDescent="0.2">
      <c r="A3" s="1">
        <v>45931</v>
      </c>
      <c r="C3" t="s">
        <v>84</v>
      </c>
    </row>
    <row r="4" spans="1:3" x14ac:dyDescent="0.2">
      <c r="A4" s="1">
        <v>45944</v>
      </c>
      <c r="B4" t="s">
        <v>11</v>
      </c>
      <c r="C4" t="s">
        <v>105</v>
      </c>
    </row>
    <row r="5" spans="1:3" x14ac:dyDescent="0.2">
      <c r="A5" s="1">
        <v>45944</v>
      </c>
      <c r="B5" t="s">
        <v>21</v>
      </c>
      <c r="C5" t="s">
        <v>105</v>
      </c>
    </row>
    <row r="6" spans="1:3" x14ac:dyDescent="0.2">
      <c r="A6" s="1">
        <v>45944</v>
      </c>
      <c r="C6" t="s">
        <v>130</v>
      </c>
    </row>
    <row r="7" spans="1:3" x14ac:dyDescent="0.2">
      <c r="A7" s="1">
        <v>45945</v>
      </c>
      <c r="C7" t="s">
        <v>184</v>
      </c>
    </row>
    <row r="8" spans="1:3" x14ac:dyDescent="0.2">
      <c r="A8" s="1">
        <v>45945</v>
      </c>
      <c r="B8" t="s">
        <v>85</v>
      </c>
      <c r="C8" t="s">
        <v>105</v>
      </c>
    </row>
    <row r="9" spans="1:3" x14ac:dyDescent="0.2">
      <c r="A9" s="1">
        <v>45946</v>
      </c>
      <c r="C9" t="s">
        <v>183</v>
      </c>
    </row>
    <row r="10" spans="1:3" x14ac:dyDescent="0.2">
      <c r="A10" s="1">
        <v>45946</v>
      </c>
      <c r="B10" t="s">
        <v>53</v>
      </c>
      <c r="C10" t="s">
        <v>105</v>
      </c>
    </row>
    <row r="11" spans="1:3" x14ac:dyDescent="0.2">
      <c r="A11" s="1">
        <v>45946</v>
      </c>
      <c r="B11" t="s">
        <v>60</v>
      </c>
      <c r="C11" t="s">
        <v>105</v>
      </c>
    </row>
    <row r="12" spans="1:3" x14ac:dyDescent="0.2">
      <c r="A12" s="1">
        <v>45946</v>
      </c>
      <c r="B12" t="s">
        <v>62</v>
      </c>
      <c r="C12" t="s">
        <v>105</v>
      </c>
    </row>
    <row r="13" spans="1:3" x14ac:dyDescent="0.2">
      <c r="A13" s="1">
        <v>45946</v>
      </c>
      <c r="B13" t="s">
        <v>151</v>
      </c>
      <c r="C13" t="s">
        <v>105</v>
      </c>
    </row>
    <row r="14" spans="1:3" x14ac:dyDescent="0.2">
      <c r="A14" s="1">
        <v>45946</v>
      </c>
      <c r="B14" t="s">
        <v>109</v>
      </c>
      <c r="C14" t="s">
        <v>105</v>
      </c>
    </row>
    <row r="15" spans="1:3" x14ac:dyDescent="0.2">
      <c r="A15" s="1">
        <v>45947</v>
      </c>
      <c r="B15" t="s">
        <v>90</v>
      </c>
      <c r="C15" t="s">
        <v>105</v>
      </c>
    </row>
    <row r="16" spans="1:3" x14ac:dyDescent="0.2">
      <c r="A16" s="1">
        <v>45947</v>
      </c>
      <c r="B16" t="s">
        <v>38</v>
      </c>
      <c r="C16" t="s">
        <v>105</v>
      </c>
    </row>
    <row r="17" spans="1:3" x14ac:dyDescent="0.2">
      <c r="A17" s="1">
        <v>45947</v>
      </c>
      <c r="B17" t="s">
        <v>74</v>
      </c>
      <c r="C17" t="s">
        <v>105</v>
      </c>
    </row>
    <row r="18" spans="1:3" x14ac:dyDescent="0.2">
      <c r="A18" s="1">
        <v>45947</v>
      </c>
      <c r="B18" t="s">
        <v>121</v>
      </c>
      <c r="C18" t="s">
        <v>105</v>
      </c>
    </row>
    <row r="19" spans="1:3" x14ac:dyDescent="0.2">
      <c r="A19" s="1">
        <v>45947</v>
      </c>
      <c r="B19" t="s">
        <v>204</v>
      </c>
      <c r="C19" t="s">
        <v>105</v>
      </c>
    </row>
    <row r="20" spans="1:3" x14ac:dyDescent="0.2">
      <c r="A20" s="1">
        <v>45947</v>
      </c>
      <c r="C20" t="s">
        <v>183</v>
      </c>
    </row>
    <row r="21" spans="1:3" x14ac:dyDescent="0.2">
      <c r="A21" s="1">
        <v>45947</v>
      </c>
      <c r="B21" t="s">
        <v>185</v>
      </c>
      <c r="C21" t="s">
        <v>105</v>
      </c>
    </row>
    <row r="22" spans="1:3" x14ac:dyDescent="0.2">
      <c r="A22" s="1">
        <v>45947</v>
      </c>
      <c r="B22" t="s">
        <v>114</v>
      </c>
      <c r="C22" t="s">
        <v>105</v>
      </c>
    </row>
    <row r="23" spans="1:3" x14ac:dyDescent="0.2">
      <c r="A23" s="1">
        <v>45947</v>
      </c>
      <c r="B23" t="s">
        <v>190</v>
      </c>
      <c r="C23" t="s">
        <v>105</v>
      </c>
    </row>
    <row r="24" spans="1:3" x14ac:dyDescent="0.2">
      <c r="A24" s="1">
        <v>45947</v>
      </c>
      <c r="B24" t="s">
        <v>176</v>
      </c>
      <c r="C24" t="s">
        <v>105</v>
      </c>
    </row>
    <row r="25" spans="1:3" x14ac:dyDescent="0.2">
      <c r="A25" s="1">
        <v>45947</v>
      </c>
      <c r="B25" s="7" t="s">
        <v>193</v>
      </c>
      <c r="C25" t="s">
        <v>105</v>
      </c>
    </row>
    <row r="26" spans="1:3" x14ac:dyDescent="0.2">
      <c r="A26" s="1">
        <v>45948</v>
      </c>
      <c r="C26" t="s">
        <v>245</v>
      </c>
    </row>
    <row r="27" spans="1:3" x14ac:dyDescent="0.2">
      <c r="A27" s="1">
        <v>45948</v>
      </c>
      <c r="B27" t="s">
        <v>234</v>
      </c>
      <c r="C27" t="s">
        <v>105</v>
      </c>
    </row>
    <row r="28" spans="1:3" x14ac:dyDescent="0.2">
      <c r="A28" s="1">
        <v>45948</v>
      </c>
      <c r="B28" t="s">
        <v>233</v>
      </c>
      <c r="C28" t="s">
        <v>105</v>
      </c>
    </row>
    <row r="29" spans="1:3" x14ac:dyDescent="0.2">
      <c r="A29" s="1">
        <v>45948</v>
      </c>
      <c r="B29" t="s">
        <v>211</v>
      </c>
      <c r="C29" t="s">
        <v>105</v>
      </c>
    </row>
    <row r="30" spans="1:3" x14ac:dyDescent="0.2">
      <c r="A30" s="1">
        <v>45948</v>
      </c>
      <c r="B30" t="s">
        <v>221</v>
      </c>
      <c r="C30" t="s">
        <v>105</v>
      </c>
    </row>
    <row r="31" spans="1:3" x14ac:dyDescent="0.2">
      <c r="A31" s="1">
        <v>45948</v>
      </c>
      <c r="B31" t="s">
        <v>228</v>
      </c>
      <c r="C31" t="s">
        <v>105</v>
      </c>
    </row>
    <row r="32" spans="1:3" x14ac:dyDescent="0.2">
      <c r="A32" s="1">
        <v>45948</v>
      </c>
      <c r="B32" t="s">
        <v>231</v>
      </c>
      <c r="C32" t="s">
        <v>105</v>
      </c>
    </row>
    <row r="33" spans="1:3" x14ac:dyDescent="0.2">
      <c r="A33" s="1">
        <v>45948</v>
      </c>
      <c r="B33" t="s">
        <v>196</v>
      </c>
      <c r="C33" t="s">
        <v>105</v>
      </c>
    </row>
    <row r="34" spans="1:3" x14ac:dyDescent="0.2">
      <c r="A34" s="1">
        <v>45948</v>
      </c>
      <c r="B34" t="s">
        <v>198</v>
      </c>
      <c r="C34" t="s">
        <v>105</v>
      </c>
    </row>
    <row r="35" spans="1:3" x14ac:dyDescent="0.2">
      <c r="A35" s="1">
        <v>45948</v>
      </c>
      <c r="B35" t="s">
        <v>200</v>
      </c>
      <c r="C35" t="s">
        <v>250</v>
      </c>
    </row>
    <row r="36" spans="1:3" x14ac:dyDescent="0.2">
      <c r="A36" s="1">
        <v>45948</v>
      </c>
      <c r="B36" t="s">
        <v>82</v>
      </c>
      <c r="C36" t="s">
        <v>251</v>
      </c>
    </row>
    <row r="37" spans="1:3" x14ac:dyDescent="0.2">
      <c r="A37" s="1">
        <v>45949</v>
      </c>
      <c r="B37" t="s">
        <v>264</v>
      </c>
      <c r="C37" t="s">
        <v>105</v>
      </c>
    </row>
    <row r="38" spans="1:3" x14ac:dyDescent="0.2">
      <c r="A38" s="1">
        <v>45949</v>
      </c>
      <c r="B38" t="s">
        <v>200</v>
      </c>
      <c r="C38" t="s">
        <v>105</v>
      </c>
    </row>
    <row r="39" spans="1:3" x14ac:dyDescent="0.2">
      <c r="A39" s="1">
        <v>45949</v>
      </c>
      <c r="C39" t="s">
        <v>278</v>
      </c>
    </row>
    <row r="40" spans="1:3" x14ac:dyDescent="0.2">
      <c r="A40" s="1">
        <v>45949</v>
      </c>
      <c r="B40" t="s">
        <v>95</v>
      </c>
      <c r="C40" t="s">
        <v>105</v>
      </c>
    </row>
    <row r="41" spans="1:3" x14ac:dyDescent="0.2">
      <c r="A41" s="1">
        <v>45949</v>
      </c>
      <c r="B41" t="s">
        <v>168</v>
      </c>
      <c r="C41" t="s">
        <v>105</v>
      </c>
    </row>
    <row r="42" spans="1:3" x14ac:dyDescent="0.2">
      <c r="A42" s="1">
        <v>45949</v>
      </c>
      <c r="B42" t="s">
        <v>192</v>
      </c>
      <c r="C42" t="s">
        <v>105</v>
      </c>
    </row>
    <row r="43" spans="1:3" x14ac:dyDescent="0.2">
      <c r="A43" s="1">
        <v>45949</v>
      </c>
      <c r="B43" t="s">
        <v>216</v>
      </c>
      <c r="C43" t="s">
        <v>105</v>
      </c>
    </row>
    <row r="44" spans="1:3" x14ac:dyDescent="0.2">
      <c r="A44" s="1">
        <v>45949</v>
      </c>
      <c r="B44" t="s">
        <v>223</v>
      </c>
      <c r="C44" t="s">
        <v>105</v>
      </c>
    </row>
    <row r="45" spans="1:3" x14ac:dyDescent="0.2">
      <c r="A45" s="1">
        <v>45949</v>
      </c>
      <c r="B45" t="s">
        <v>225</v>
      </c>
      <c r="C45" t="s">
        <v>250</v>
      </c>
    </row>
    <row r="46" spans="1:3" x14ac:dyDescent="0.2">
      <c r="A46" s="1">
        <v>45949</v>
      </c>
      <c r="B46" t="s">
        <v>243</v>
      </c>
      <c r="C46" t="s">
        <v>105</v>
      </c>
    </row>
    <row r="47" spans="1:3" x14ac:dyDescent="0.2">
      <c r="A47" s="1">
        <v>45950</v>
      </c>
      <c r="C47" t="s">
        <v>317</v>
      </c>
    </row>
    <row r="48" spans="1:3" x14ac:dyDescent="0.2">
      <c r="A48" s="1">
        <v>45950</v>
      </c>
      <c r="B48" t="s">
        <v>207</v>
      </c>
      <c r="C48" t="s">
        <v>105</v>
      </c>
    </row>
    <row r="49" spans="1:3" x14ac:dyDescent="0.2">
      <c r="A49" s="1">
        <v>45950</v>
      </c>
      <c r="B49" t="s">
        <v>225</v>
      </c>
      <c r="C49" t="s">
        <v>105</v>
      </c>
    </row>
    <row r="50" spans="1:3" x14ac:dyDescent="0.2">
      <c r="A50" s="1">
        <v>45950</v>
      </c>
      <c r="B50" t="s">
        <v>170</v>
      </c>
      <c r="C50" t="s">
        <v>250</v>
      </c>
    </row>
    <row r="51" spans="1:3" x14ac:dyDescent="0.2">
      <c r="A51" s="1">
        <v>45950</v>
      </c>
      <c r="B51" t="s">
        <v>40</v>
      </c>
      <c r="C51" t="s">
        <v>105</v>
      </c>
    </row>
    <row r="52" spans="1:3" x14ac:dyDescent="0.2">
      <c r="A52" s="1">
        <v>45950</v>
      </c>
      <c r="B52" t="s">
        <v>49</v>
      </c>
      <c r="C52" t="s">
        <v>105</v>
      </c>
    </row>
    <row r="53" spans="1:3" x14ac:dyDescent="0.2">
      <c r="A53" s="1">
        <v>45951</v>
      </c>
      <c r="B53" t="s">
        <v>170</v>
      </c>
      <c r="C53" t="s">
        <v>105</v>
      </c>
    </row>
    <row r="54" spans="1:3" x14ac:dyDescent="0.2">
      <c r="A54" s="1">
        <v>45951</v>
      </c>
      <c r="C54" t="s">
        <v>345</v>
      </c>
    </row>
    <row r="55" spans="1:3" x14ac:dyDescent="0.2">
      <c r="A55" s="1">
        <v>45951</v>
      </c>
      <c r="B55" t="s">
        <v>134</v>
      </c>
      <c r="C55" t="s">
        <v>105</v>
      </c>
    </row>
    <row r="56" spans="1:3" x14ac:dyDescent="0.2">
      <c r="A56" s="1">
        <v>45951</v>
      </c>
      <c r="B56" t="s">
        <v>82</v>
      </c>
      <c r="C56" t="s">
        <v>105</v>
      </c>
    </row>
    <row r="57" spans="1:3" x14ac:dyDescent="0.2">
      <c r="A57" s="1">
        <v>45951</v>
      </c>
      <c r="B57" t="s">
        <v>131</v>
      </c>
      <c r="C57" t="s">
        <v>105</v>
      </c>
    </row>
    <row r="58" spans="1:3" x14ac:dyDescent="0.2">
      <c r="A58" s="1">
        <v>45951</v>
      </c>
      <c r="B58" t="s">
        <v>320</v>
      </c>
      <c r="C58" t="s">
        <v>105</v>
      </c>
    </row>
    <row r="59" spans="1:3" x14ac:dyDescent="0.2">
      <c r="A59" s="1">
        <v>45951</v>
      </c>
      <c r="B59" t="s">
        <v>323</v>
      </c>
      <c r="C59" t="s">
        <v>105</v>
      </c>
    </row>
    <row r="60" spans="1:3" x14ac:dyDescent="0.2">
      <c r="A60" s="1">
        <v>45951</v>
      </c>
      <c r="B60" t="s">
        <v>326</v>
      </c>
      <c r="C60" t="s">
        <v>105</v>
      </c>
    </row>
    <row r="61" spans="1:3" x14ac:dyDescent="0.2">
      <c r="A61" s="1">
        <v>45951</v>
      </c>
      <c r="B61" t="s">
        <v>336</v>
      </c>
      <c r="C61" t="s">
        <v>105</v>
      </c>
    </row>
    <row r="62" spans="1:3" x14ac:dyDescent="0.2">
      <c r="A62" s="1">
        <v>45951</v>
      </c>
      <c r="B62" t="s">
        <v>338</v>
      </c>
      <c r="C62" t="s">
        <v>105</v>
      </c>
    </row>
    <row r="63" spans="1:3" x14ac:dyDescent="0.2">
      <c r="A63" s="1">
        <v>45951</v>
      </c>
      <c r="B63" t="s">
        <v>340</v>
      </c>
      <c r="C63" t="s">
        <v>105</v>
      </c>
    </row>
    <row r="64" spans="1:3" x14ac:dyDescent="0.2">
      <c r="A64" s="1">
        <v>45951</v>
      </c>
      <c r="B64" t="s">
        <v>343</v>
      </c>
      <c r="C64" t="s">
        <v>105</v>
      </c>
    </row>
    <row r="65" spans="1:3" x14ac:dyDescent="0.2">
      <c r="A65" s="1">
        <v>45952</v>
      </c>
      <c r="C65" t="s">
        <v>390</v>
      </c>
    </row>
    <row r="66" spans="1:3" x14ac:dyDescent="0.2">
      <c r="A66" s="1">
        <v>45953</v>
      </c>
      <c r="B66" t="s">
        <v>389</v>
      </c>
      <c r="C66" t="s">
        <v>105</v>
      </c>
    </row>
    <row r="67" spans="1:3" x14ac:dyDescent="0.2">
      <c r="A67" s="1">
        <v>45953</v>
      </c>
      <c r="B67" t="s">
        <v>372</v>
      </c>
      <c r="C67" t="s">
        <v>105</v>
      </c>
    </row>
    <row r="68" spans="1:3" x14ac:dyDescent="0.2">
      <c r="A68" s="1">
        <v>45953</v>
      </c>
      <c r="B68" t="s">
        <v>350</v>
      </c>
      <c r="C68" t="s">
        <v>105</v>
      </c>
    </row>
    <row r="69" spans="1:3" x14ac:dyDescent="0.2">
      <c r="A69" s="1">
        <v>45953</v>
      </c>
      <c r="B69" t="s">
        <v>377</v>
      </c>
      <c r="C69" t="s">
        <v>105</v>
      </c>
    </row>
    <row r="70" spans="1:3" x14ac:dyDescent="0.2">
      <c r="A70" s="1">
        <v>45953</v>
      </c>
      <c r="B70" t="s">
        <v>381</v>
      </c>
      <c r="C70" t="s">
        <v>105</v>
      </c>
    </row>
    <row r="71" spans="1:3" x14ac:dyDescent="0.2">
      <c r="A71" s="1">
        <v>45953</v>
      </c>
      <c r="B71" s="7" t="s">
        <v>97</v>
      </c>
      <c r="C71" t="s">
        <v>105</v>
      </c>
    </row>
    <row r="72" spans="1:3" x14ac:dyDescent="0.2">
      <c r="A72" s="1">
        <v>45953</v>
      </c>
      <c r="B72" t="s">
        <v>101</v>
      </c>
      <c r="C72" t="s">
        <v>105</v>
      </c>
    </row>
    <row r="73" spans="1:3" x14ac:dyDescent="0.2">
      <c r="A73" s="1">
        <v>45953</v>
      </c>
      <c r="B73" t="s">
        <v>374</v>
      </c>
      <c r="C73" t="s">
        <v>105</v>
      </c>
    </row>
    <row r="74" spans="1:3" x14ac:dyDescent="0.2">
      <c r="A74" s="1">
        <v>45953</v>
      </c>
      <c r="B74" t="s">
        <v>402</v>
      </c>
      <c r="C74" t="s">
        <v>105</v>
      </c>
    </row>
    <row r="75" spans="1:3" x14ac:dyDescent="0.2">
      <c r="A75" s="1">
        <v>45953</v>
      </c>
      <c r="B75" t="s">
        <v>327</v>
      </c>
      <c r="C75" t="s">
        <v>105</v>
      </c>
    </row>
    <row r="76" spans="1:3" x14ac:dyDescent="0.2">
      <c r="A76" s="1">
        <v>45953</v>
      </c>
      <c r="B76" t="s">
        <v>405</v>
      </c>
      <c r="C76" t="s">
        <v>105</v>
      </c>
    </row>
    <row r="77" spans="1:3" x14ac:dyDescent="0.2">
      <c r="A77" s="1">
        <v>45954</v>
      </c>
      <c r="B77" t="s">
        <v>218</v>
      </c>
      <c r="C77" t="s">
        <v>105</v>
      </c>
    </row>
    <row r="78" spans="1:3" x14ac:dyDescent="0.2">
      <c r="A78" s="1">
        <v>45954</v>
      </c>
      <c r="B78" t="s">
        <v>254</v>
      </c>
      <c r="C78" t="s">
        <v>105</v>
      </c>
    </row>
    <row r="79" spans="1:3" x14ac:dyDescent="0.2">
      <c r="A79" s="1">
        <v>45957</v>
      </c>
      <c r="C79" t="s">
        <v>450</v>
      </c>
    </row>
  </sheetData>
  <conditionalFormatting sqref="B5">
    <cfRule type="duplicateValues" dxfId="65" priority="64"/>
    <cfRule type="duplicateValues" dxfId="64" priority="63"/>
  </conditionalFormatting>
  <conditionalFormatting sqref="B10">
    <cfRule type="duplicateValues" dxfId="63" priority="62"/>
    <cfRule type="duplicateValues" dxfId="62" priority="61"/>
  </conditionalFormatting>
  <conditionalFormatting sqref="B11">
    <cfRule type="duplicateValues" dxfId="61" priority="60"/>
    <cfRule type="duplicateValues" dxfId="60" priority="59"/>
  </conditionalFormatting>
  <conditionalFormatting sqref="B12">
    <cfRule type="duplicateValues" dxfId="59" priority="58"/>
    <cfRule type="duplicateValues" dxfId="58" priority="57"/>
  </conditionalFormatting>
  <conditionalFormatting sqref="B15">
    <cfRule type="duplicateValues" dxfId="57" priority="56"/>
    <cfRule type="duplicateValues" dxfId="56" priority="55"/>
  </conditionalFormatting>
  <conditionalFormatting sqref="B16">
    <cfRule type="duplicateValues" dxfId="55" priority="54"/>
  </conditionalFormatting>
  <conditionalFormatting sqref="B17">
    <cfRule type="duplicateValues" dxfId="54" priority="53"/>
    <cfRule type="duplicateValues" dxfId="53" priority="52"/>
  </conditionalFormatting>
  <conditionalFormatting sqref="B18">
    <cfRule type="duplicateValues" dxfId="52" priority="50"/>
    <cfRule type="duplicateValues" dxfId="51" priority="51"/>
  </conditionalFormatting>
  <conditionalFormatting sqref="B19">
    <cfRule type="duplicateValues" dxfId="50" priority="49"/>
  </conditionalFormatting>
  <conditionalFormatting sqref="B22:B23">
    <cfRule type="duplicateValues" dxfId="49" priority="48"/>
    <cfRule type="duplicateValues" dxfId="48" priority="47"/>
  </conditionalFormatting>
  <conditionalFormatting sqref="B24">
    <cfRule type="duplicateValues" dxfId="47" priority="46"/>
    <cfRule type="duplicateValues" dxfId="46" priority="45"/>
  </conditionalFormatting>
  <conditionalFormatting sqref="B27">
    <cfRule type="duplicateValues" dxfId="45" priority="44"/>
    <cfRule type="duplicateValues" dxfId="44" priority="43"/>
  </conditionalFormatting>
  <conditionalFormatting sqref="B28">
    <cfRule type="duplicateValues" dxfId="43" priority="42"/>
  </conditionalFormatting>
  <conditionalFormatting sqref="B29">
    <cfRule type="duplicateValues" dxfId="42" priority="41"/>
    <cfRule type="duplicateValues" dxfId="41" priority="40"/>
  </conditionalFormatting>
  <conditionalFormatting sqref="B30">
    <cfRule type="duplicateValues" dxfId="40" priority="39"/>
  </conditionalFormatting>
  <conditionalFormatting sqref="B31">
    <cfRule type="duplicateValues" dxfId="39" priority="38"/>
  </conditionalFormatting>
  <conditionalFormatting sqref="B32">
    <cfRule type="duplicateValues" dxfId="38" priority="37"/>
  </conditionalFormatting>
  <conditionalFormatting sqref="B33">
    <cfRule type="duplicateValues" dxfId="37" priority="36"/>
  </conditionalFormatting>
  <conditionalFormatting sqref="B34">
    <cfRule type="duplicateValues" dxfId="36" priority="35"/>
  </conditionalFormatting>
  <conditionalFormatting sqref="B35">
    <cfRule type="duplicateValues" dxfId="35" priority="34"/>
  </conditionalFormatting>
  <conditionalFormatting sqref="B37">
    <cfRule type="duplicateValues" dxfId="34" priority="33"/>
  </conditionalFormatting>
  <conditionalFormatting sqref="B38">
    <cfRule type="duplicateValues" dxfId="33" priority="32"/>
  </conditionalFormatting>
  <conditionalFormatting sqref="B42">
    <cfRule type="duplicateValues" dxfId="32" priority="31"/>
  </conditionalFormatting>
  <conditionalFormatting sqref="B43">
    <cfRule type="duplicateValues" dxfId="31" priority="30"/>
  </conditionalFormatting>
  <conditionalFormatting sqref="B44:B45">
    <cfRule type="duplicateValues" dxfId="30" priority="29"/>
  </conditionalFormatting>
  <conditionalFormatting sqref="B46">
    <cfRule type="duplicateValues" dxfId="29" priority="28"/>
  </conditionalFormatting>
  <conditionalFormatting sqref="B48">
    <cfRule type="duplicateValues" dxfId="28" priority="27"/>
  </conditionalFormatting>
  <conditionalFormatting sqref="B49">
    <cfRule type="duplicateValues" dxfId="27" priority="26"/>
  </conditionalFormatting>
  <conditionalFormatting sqref="B51">
    <cfRule type="duplicateValues" dxfId="26" priority="25"/>
  </conditionalFormatting>
  <conditionalFormatting sqref="B52">
    <cfRule type="duplicateValues" dxfId="25" priority="24"/>
  </conditionalFormatting>
  <conditionalFormatting sqref="B58">
    <cfRule type="duplicateValues" dxfId="24" priority="22"/>
  </conditionalFormatting>
  <conditionalFormatting sqref="B59">
    <cfRule type="duplicateValues" dxfId="23" priority="20"/>
  </conditionalFormatting>
  <conditionalFormatting sqref="B63">
    <cfRule type="duplicateValues" dxfId="22" priority="19"/>
  </conditionalFormatting>
  <conditionalFormatting sqref="B64">
    <cfRule type="duplicateValues" dxfId="21" priority="17"/>
  </conditionalFormatting>
  <conditionalFormatting sqref="B66">
    <cfRule type="duplicateValues" dxfId="20" priority="16"/>
  </conditionalFormatting>
  <conditionalFormatting sqref="B67">
    <cfRule type="duplicateValues" dxfId="19" priority="15"/>
    <cfRule type="duplicateValues" dxfId="18" priority="14"/>
  </conditionalFormatting>
  <conditionalFormatting sqref="B68">
    <cfRule type="duplicateValues" dxfId="17" priority="13"/>
  </conditionalFormatting>
  <conditionalFormatting sqref="B69">
    <cfRule type="duplicateValues" dxfId="16" priority="12"/>
  </conditionalFormatting>
  <conditionalFormatting sqref="B70">
    <cfRule type="duplicateValues" dxfId="15" priority="10"/>
  </conditionalFormatting>
  <conditionalFormatting sqref="B72">
    <cfRule type="duplicateValues" dxfId="14" priority="9"/>
  </conditionalFormatting>
  <conditionalFormatting sqref="B73">
    <cfRule type="duplicateValues" dxfId="13" priority="7"/>
  </conditionalFormatting>
  <conditionalFormatting sqref="B74">
    <cfRule type="duplicateValues" dxfId="12" priority="6"/>
  </conditionalFormatting>
  <conditionalFormatting sqref="B75">
    <cfRule type="duplicateValues" dxfId="11" priority="5"/>
  </conditionalFormatting>
  <conditionalFormatting sqref="B76">
    <cfRule type="duplicateValues" dxfId="10" priority="4"/>
  </conditionalFormatting>
  <conditionalFormatting sqref="B77">
    <cfRule type="duplicateValues" dxfId="9" priority="2"/>
  </conditionalFormatting>
  <conditionalFormatting sqref="B78">
    <cfRule type="duplicateValues" dxfId="8"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B2CA5-879F-3640-8AF9-56395EF3FA0F}">
  <dimension ref="A1:C10"/>
  <sheetViews>
    <sheetView zoomScale="208" workbookViewId="0">
      <selection activeCell="C1" sqref="C1"/>
    </sheetView>
  </sheetViews>
  <sheetFormatPr baseColWidth="10" defaultRowHeight="16" x14ac:dyDescent="0.2"/>
  <cols>
    <col min="1" max="1" width="15.83203125" style="14" customWidth="1"/>
    <col min="2" max="2" width="10.83203125" style="18"/>
    <col min="3" max="3" width="10.83203125" style="12"/>
  </cols>
  <sheetData>
    <row r="1" spans="1:3" ht="27" x14ac:dyDescent="0.35">
      <c r="A1" s="13" t="s">
        <v>408</v>
      </c>
      <c r="B1" s="17">
        <f>COUNTA(sum!A:A) -1</f>
        <v>150</v>
      </c>
      <c r="C1" s="16">
        <f>COUNTIF(sum!H:H, "completed")/B1</f>
        <v>0.44666666666666666</v>
      </c>
    </row>
    <row r="2" spans="1:3" ht="22" customHeight="1" x14ac:dyDescent="0.2">
      <c r="A2" s="15" t="s">
        <v>409</v>
      </c>
      <c r="B2" s="18">
        <f>COUNTA(sum!F:F) -1</f>
        <v>43</v>
      </c>
      <c r="C2" s="12">
        <f>COUNTIFS(sum!H:H,"completed", sum!F:F, "&lt;&gt;") / B2</f>
        <v>0.37209302325581395</v>
      </c>
    </row>
    <row r="3" spans="1:3" ht="21" customHeight="1" x14ac:dyDescent="0.2">
      <c r="A3" s="15" t="s">
        <v>410</v>
      </c>
      <c r="B3" s="18">
        <f>COUNTA(sum!J:J) -1</f>
        <v>28</v>
      </c>
      <c r="C3" s="12">
        <f>COUNTIFS(sum!H:H,"completed", sum!J:J, "&lt;&gt;") / B3</f>
        <v>0.35714285714285715</v>
      </c>
    </row>
    <row r="5" spans="1:3" ht="27" x14ac:dyDescent="0.35">
      <c r="A5" s="13" t="s">
        <v>411</v>
      </c>
      <c r="B5" s="17">
        <f>COUNTA(sum!I:I) -1</f>
        <v>0</v>
      </c>
      <c r="C5" s="16">
        <f>B5/B1</f>
        <v>0</v>
      </c>
    </row>
    <row r="6" spans="1:3" x14ac:dyDescent="0.2">
      <c r="A6" s="15" t="s">
        <v>412</v>
      </c>
      <c r="B6" s="18">
        <f>COUNTIFS(sum!I:I,"no news")</f>
        <v>0</v>
      </c>
      <c r="C6" s="12" t="e">
        <f>B6/$B$5</f>
        <v>#DIV/0!</v>
      </c>
    </row>
    <row r="7" spans="1:3" x14ac:dyDescent="0.2">
      <c r="A7" s="15" t="s">
        <v>413</v>
      </c>
      <c r="B7" s="18">
        <f>COUNTIFS(sum!I:I,"rejected")</f>
        <v>0</v>
      </c>
      <c r="C7" s="12" t="e">
        <f t="shared" ref="C7:C10" si="0">B7/$B$5</f>
        <v>#DIV/0!</v>
      </c>
    </row>
    <row r="8" spans="1:3" x14ac:dyDescent="0.2">
      <c r="A8" s="15" t="s">
        <v>414</v>
      </c>
      <c r="B8" s="18">
        <f>COUNTIFS(sum!I:I,"interview")</f>
        <v>0</v>
      </c>
      <c r="C8" s="12" t="e">
        <f t="shared" si="0"/>
        <v>#DIV/0!</v>
      </c>
    </row>
    <row r="9" spans="1:3" x14ac:dyDescent="0.2">
      <c r="A9" s="15" t="s">
        <v>415</v>
      </c>
      <c r="B9" s="18">
        <f>COUNTIFS(sum!I:I,"fly out")</f>
        <v>0</v>
      </c>
      <c r="C9" s="12" t="e">
        <f t="shared" si="0"/>
        <v>#DIV/0!</v>
      </c>
    </row>
    <row r="10" spans="1:3" x14ac:dyDescent="0.2">
      <c r="A10" s="15" t="s">
        <v>416</v>
      </c>
      <c r="B10" s="18">
        <f>COUNTIFS(sum!I:I,"offer")</f>
        <v>0</v>
      </c>
      <c r="C10" s="12" t="e">
        <f t="shared" si="0"/>
        <v>#DIV/0!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sum</vt:lpstr>
      <vt:lpstr>timeline</vt:lpstr>
      <vt:lpstr>stats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Javier Jose gonzalez</dc:creator>
  <cp:lastModifiedBy>Javier Jose gonzalez</cp:lastModifiedBy>
  <dcterms:created xsi:type="dcterms:W3CDTF">2025-09-09T01:31:50Z</dcterms:created>
  <dcterms:modified xsi:type="dcterms:W3CDTF">2025-10-29T00:28:21Z</dcterms:modified>
</cp:coreProperties>
</file>